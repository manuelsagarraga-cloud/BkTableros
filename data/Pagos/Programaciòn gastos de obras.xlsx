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tables/table12.xml" ContentType="application/vnd.openxmlformats-officedocument.spreadsheetml.table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tables/table13.xml" ContentType="application/vnd.openxmlformats-officedocument.spreadsheetml.table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tables/table14.xml" ContentType="application/vnd.openxmlformats-officedocument.spreadsheetml.table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tables/table15.xml" ContentType="application/vnd.openxmlformats-officedocument.spreadsheetml.table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tables/table16.xml" ContentType="application/vnd.openxmlformats-officedocument.spreadsheetml.table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tables/table17.xml" ContentType="application/vnd.openxmlformats-officedocument.spreadsheetml.table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tables/table18.xml" ContentType="application/vnd.openxmlformats-officedocument.spreadsheetml.table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tables/table19.xml" ContentType="application/vnd.openxmlformats-officedocument.spreadsheetml.table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tables/table20.xml" ContentType="application/vnd.openxmlformats-officedocument.spreadsheetml.table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a366f6a46512bd76/1-Obras Bauvek/"/>
    </mc:Choice>
  </mc:AlternateContent>
  <xr:revisionPtr revIDLastSave="3990" documentId="13_ncr:1_{629F63DF-9AF7-42E7-AB60-50C0C590379E}" xr6:coauthVersionLast="47" xr6:coauthVersionMax="47" xr10:uidLastSave="{B3631C0E-BD15-4E24-948A-157ABE731605}"/>
  <bookViews>
    <workbookView xWindow="-108" yWindow="-108" windowWidth="23256" windowHeight="12456" tabRatio="908" firstSheet="20" activeTab="8" xr2:uid="{00000000-000D-0000-FFFF-FFFF00000000}"/>
  </bookViews>
  <sheets>
    <sheet name="Proveedores" sheetId="39" r:id="rId1"/>
    <sheet name="Calendario" sheetId="49" r:id="rId2"/>
    <sheet name="Obra SG" sheetId="41" state="hidden" r:id="rId3"/>
    <sheet name="Obra HR" sheetId="42" state="hidden" r:id="rId4"/>
    <sheet name="Obra FAR" sheetId="44" state="hidden" r:id="rId5"/>
    <sheet name="Obra JS" sheetId="43" r:id="rId6"/>
    <sheet name="Obra Cañuelas" sheetId="52" state="hidden" r:id="rId7"/>
    <sheet name="Obra EC" sheetId="50" state="hidden" r:id="rId8"/>
    <sheet name="Obra RR" sheetId="45" r:id="rId9"/>
    <sheet name="Obra EM" sheetId="58" r:id="rId10"/>
    <sheet name="Obra LS" sheetId="37" r:id="rId11"/>
    <sheet name="Obra RL" sheetId="48" r:id="rId12"/>
    <sheet name="Obra Bauvek(NE)" sheetId="53" r:id="rId13"/>
    <sheet name="Obra AV" sheetId="46" state="hidden" r:id="rId14"/>
    <sheet name="Obra LH" sheetId="47" state="hidden" r:id="rId15"/>
    <sheet name="Obra colegio" sheetId="54" state="hidden" r:id="rId16"/>
    <sheet name="Casa sietes soles" sheetId="55" r:id="rId17"/>
    <sheet name="Proyecto AZ" sheetId="56" r:id="rId18"/>
    <sheet name="Obra Mogetta" sheetId="57" state="hidden" r:id="rId19"/>
    <sheet name="Obra DC" sheetId="59" r:id="rId20"/>
    <sheet name="Obra CR" sheetId="60" r:id="rId21"/>
    <sheet name="Obra VB" sheetId="61" r:id="rId22"/>
    <sheet name="Resumens" sheetId="51" state="hidden" r:id="rId23"/>
    <sheet name="Consultas" sheetId="38" state="hidden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5" roundtripDataSignature="AMtx7mj4ay9xRTOoqMvgmzxlysUDFz8I9A=="/>
    </ext>
  </extLst>
</workbook>
</file>

<file path=xl/calcChain.xml><?xml version="1.0" encoding="utf-8"?>
<calcChain xmlns="http://schemas.openxmlformats.org/spreadsheetml/2006/main">
  <c r="B180" i="45" l="1"/>
  <c r="B182" i="45"/>
  <c r="B241" i="43"/>
  <c r="B242" i="43"/>
  <c r="B179" i="45"/>
  <c r="I186" i="45"/>
  <c r="B169" i="45"/>
  <c r="B230" i="43" l="1"/>
  <c r="B231" i="43"/>
  <c r="B229" i="43"/>
  <c r="B227" i="43"/>
  <c r="B228" i="43"/>
  <c r="B224" i="43"/>
  <c r="B225" i="43"/>
  <c r="B226" i="43"/>
  <c r="B20" i="61"/>
  <c r="I61" i="58"/>
  <c r="I60" i="58"/>
  <c r="B156" i="45"/>
  <c r="B157" i="45"/>
  <c r="B220" i="43"/>
  <c r="B219" i="43"/>
  <c r="B214" i="43"/>
  <c r="B28" i="48"/>
  <c r="B34" i="48"/>
  <c r="B24" i="60"/>
  <c r="B22" i="61"/>
  <c r="B29" i="60"/>
  <c r="B66" i="58"/>
  <c r="B40" i="59"/>
  <c r="B37" i="59"/>
  <c r="B38" i="59"/>
  <c r="B39" i="59"/>
  <c r="B41" i="59"/>
  <c r="B61" i="58"/>
  <c r="B62" i="58"/>
  <c r="B63" i="58"/>
  <c r="B64" i="58"/>
  <c r="B65" i="58"/>
  <c r="B67" i="58"/>
  <c r="B68" i="58"/>
  <c r="B18" i="61"/>
  <c r="B17" i="61"/>
  <c r="B23" i="60"/>
  <c r="B64" i="57"/>
  <c r="B63" i="57"/>
  <c r="B235" i="43"/>
  <c r="B236" i="43"/>
  <c r="B237" i="43"/>
  <c r="B238" i="43"/>
  <c r="B239" i="43"/>
  <c r="B240" i="43"/>
  <c r="B234" i="43"/>
  <c r="B233" i="43"/>
  <c r="B170" i="45"/>
  <c r="B161" i="45"/>
  <c r="B162" i="45"/>
  <c r="B163" i="45"/>
  <c r="B164" i="45"/>
  <c r="B165" i="45"/>
  <c r="B166" i="45"/>
  <c r="B167" i="45"/>
  <c r="B168" i="45"/>
  <c r="B171" i="45"/>
  <c r="B172" i="45"/>
  <c r="B173" i="45"/>
  <c r="B174" i="45"/>
  <c r="B175" i="45"/>
  <c r="B176" i="45"/>
  <c r="B177" i="45"/>
  <c r="B178" i="45"/>
  <c r="B181" i="45"/>
  <c r="B54" i="53"/>
  <c r="B216" i="43" l="1"/>
  <c r="B155" i="45"/>
  <c r="B153" i="45"/>
  <c r="B154" i="45"/>
  <c r="B56" i="58"/>
  <c r="B55" i="58"/>
  <c r="B218" i="43"/>
  <c r="B212" i="43"/>
  <c r="B62" i="57"/>
  <c r="B71" i="37" l="1"/>
  <c r="B67" i="37"/>
  <c r="B66" i="37"/>
  <c r="B65" i="37"/>
  <c r="B61" i="37"/>
  <c r="B72" i="37"/>
  <c r="B70" i="37"/>
  <c r="B69" i="37"/>
  <c r="B45" i="53"/>
  <c r="B60" i="57"/>
  <c r="B57" i="57"/>
  <c r="B55" i="57"/>
  <c r="B65" i="57"/>
  <c r="B56" i="57"/>
  <c r="B58" i="57"/>
  <c r="B59" i="57"/>
  <c r="B61" i="57"/>
  <c r="B66" i="57"/>
  <c r="B49" i="53"/>
  <c r="B46" i="53"/>
  <c r="B48" i="53"/>
  <c r="B50" i="53"/>
  <c r="B51" i="53"/>
  <c r="B52" i="53"/>
  <c r="B53" i="53"/>
  <c r="B55" i="53"/>
  <c r="B56" i="53"/>
  <c r="B58" i="58"/>
  <c r="B52" i="58"/>
  <c r="B53" i="58"/>
  <c r="B54" i="58"/>
  <c r="B57" i="58"/>
  <c r="B59" i="58"/>
  <c r="B44" i="58"/>
  <c r="B22" i="60"/>
  <c r="B27" i="60"/>
  <c r="B28" i="60"/>
  <c r="B30" i="60"/>
  <c r="B31" i="60"/>
  <c r="B32" i="60"/>
  <c r="B25" i="60"/>
  <c r="B34" i="59"/>
  <c r="B32" i="59"/>
  <c r="B33" i="59"/>
  <c r="B35" i="59"/>
  <c r="B36" i="59"/>
  <c r="B27" i="59"/>
  <c r="B26" i="59"/>
  <c r="B28" i="59"/>
  <c r="B29" i="59"/>
  <c r="B30" i="59"/>
  <c r="B31" i="59"/>
  <c r="B42" i="59"/>
  <c r="B25" i="59"/>
  <c r="B48" i="58"/>
  <c r="B47" i="58"/>
  <c r="B49" i="58"/>
  <c r="B50" i="58"/>
  <c r="B51" i="58"/>
  <c r="B60" i="58"/>
  <c r="B69" i="58"/>
  <c r="B207" i="43"/>
  <c r="B208" i="43"/>
  <c r="B209" i="43"/>
  <c r="B210" i="43"/>
  <c r="B211" i="43"/>
  <c r="B213" i="43"/>
  <c r="B215" i="43"/>
  <c r="B217" i="43"/>
  <c r="B221" i="43"/>
  <c r="B222" i="43"/>
  <c r="B223" i="43"/>
  <c r="B232" i="43"/>
  <c r="B73" i="37"/>
  <c r="B150" i="45"/>
  <c r="B146" i="45"/>
  <c r="B147" i="45"/>
  <c r="B148" i="45"/>
  <c r="B149" i="45"/>
  <c r="B151" i="45"/>
  <c r="B152" i="45"/>
  <c r="B158" i="45"/>
  <c r="B159" i="45"/>
  <c r="B160" i="45"/>
  <c r="B183" i="45"/>
  <c r="B205" i="43"/>
  <c r="B206" i="43"/>
  <c r="B43" i="53" l="1"/>
  <c r="B200" i="43"/>
  <c r="B201" i="43"/>
  <c r="B202" i="43"/>
  <c r="B203" i="43"/>
  <c r="B204" i="43"/>
  <c r="B198" i="43"/>
  <c r="B199" i="43"/>
  <c r="B142" i="45"/>
  <c r="B143" i="45"/>
  <c r="B144" i="45"/>
  <c r="B145" i="45"/>
  <c r="B193" i="43"/>
  <c r="B192" i="43"/>
  <c r="B62" i="37"/>
  <c r="B63" i="37"/>
  <c r="B64" i="37"/>
  <c r="B68" i="37"/>
  <c r="B18" i="60"/>
  <c r="B22" i="59"/>
  <c r="B17" i="60"/>
  <c r="B19" i="60"/>
  <c r="B16" i="60"/>
  <c r="B15" i="60"/>
  <c r="B14" i="60"/>
  <c r="B19" i="59"/>
  <c r="B23" i="59"/>
  <c r="B21" i="59"/>
  <c r="B24" i="59"/>
  <c r="B41" i="58"/>
  <c r="B39" i="58"/>
  <c r="B40" i="58"/>
  <c r="B42" i="58"/>
  <c r="B43" i="58"/>
  <c r="B37" i="58"/>
  <c r="B94" i="45"/>
  <c r="B40" i="53"/>
  <c r="B41" i="53"/>
  <c r="B42" i="53"/>
  <c r="B44" i="53"/>
  <c r="B47" i="53"/>
  <c r="B138" i="45"/>
  <c r="B139" i="45"/>
  <c r="B140" i="45"/>
  <c r="B183" i="43"/>
  <c r="B182" i="43" l="1"/>
  <c r="B132" i="45"/>
  <c r="B181" i="43"/>
  <c r="B38" i="58"/>
  <c r="B178" i="43"/>
  <c r="B179" i="43"/>
  <c r="B180" i="43"/>
  <c r="B176" i="43"/>
  <c r="B177" i="43"/>
  <c r="I28" i="61"/>
  <c r="B26" i="61"/>
  <c r="B25" i="61"/>
  <c r="B24" i="61"/>
  <c r="B23" i="61"/>
  <c r="B21" i="61"/>
  <c r="B19" i="61"/>
  <c r="B16" i="61"/>
  <c r="B15" i="61"/>
  <c r="B14" i="61"/>
  <c r="B13" i="61"/>
  <c r="B12" i="61"/>
  <c r="B11" i="61"/>
  <c r="B10" i="61"/>
  <c r="B136" i="45"/>
  <c r="B131" i="45"/>
  <c r="B133" i="45"/>
  <c r="B134" i="45"/>
  <c r="B135" i="45"/>
  <c r="B137" i="45"/>
  <c r="B141" i="45"/>
  <c r="B175" i="43"/>
  <c r="B174" i="43"/>
  <c r="B184" i="43"/>
  <c r="B185" i="43"/>
  <c r="B186" i="43"/>
  <c r="B187" i="43"/>
  <c r="B188" i="43"/>
  <c r="B189" i="43"/>
  <c r="B190" i="43"/>
  <c r="B191" i="43"/>
  <c r="B194" i="43"/>
  <c r="B195" i="43"/>
  <c r="B196" i="43"/>
  <c r="B45" i="58" l="1"/>
  <c r="B46" i="58"/>
  <c r="B34" i="58"/>
  <c r="B35" i="58"/>
  <c r="B36" i="58"/>
  <c r="B122" i="45"/>
  <c r="B11" i="60"/>
  <c r="B12" i="60"/>
  <c r="B13" i="60"/>
  <c r="B167" i="43"/>
  <c r="B168" i="43"/>
  <c r="B166" i="43"/>
  <c r="B165" i="43"/>
  <c r="B164" i="43"/>
  <c r="I162" i="43"/>
  <c r="I245" i="43" s="1"/>
  <c r="B162" i="43"/>
  <c r="B30" i="58"/>
  <c r="B14" i="59" l="1"/>
  <c r="B15" i="59"/>
  <c r="I35" i="60"/>
  <c r="B33" i="60"/>
  <c r="B26" i="60"/>
  <c r="B21" i="60"/>
  <c r="B20" i="60"/>
  <c r="B10" i="60"/>
  <c r="B17" i="59"/>
  <c r="B32" i="58"/>
  <c r="B31" i="58"/>
  <c r="B33" i="58"/>
  <c r="B53" i="57"/>
  <c r="B51" i="57"/>
  <c r="B169" i="43"/>
  <c r="B160" i="43"/>
  <c r="B123" i="45"/>
  <c r="B121" i="45"/>
  <c r="B124" i="45"/>
  <c r="B125" i="45"/>
  <c r="B126" i="45"/>
  <c r="B127" i="45"/>
  <c r="B128" i="45"/>
  <c r="B129" i="45"/>
  <c r="B130" i="45"/>
  <c r="B107" i="45"/>
  <c r="B115" i="45"/>
  <c r="B151" i="43"/>
  <c r="B152" i="43"/>
  <c r="B153" i="43"/>
  <c r="B148" i="43"/>
  <c r="B149" i="43"/>
  <c r="B150" i="43"/>
  <c r="B105" i="45"/>
  <c r="B106" i="45"/>
  <c r="B108" i="45"/>
  <c r="B109" i="45"/>
  <c r="B110" i="45"/>
  <c r="B111" i="45"/>
  <c r="B112" i="45"/>
  <c r="B113" i="45"/>
  <c r="B154" i="43"/>
  <c r="B146" i="43"/>
  <c r="B144" i="43"/>
  <c r="B145" i="43"/>
  <c r="B143" i="43"/>
  <c r="B147" i="43"/>
  <c r="B142" i="43"/>
  <c r="B104" i="45"/>
  <c r="B114" i="45"/>
  <c r="B99" i="45"/>
  <c r="B102" i="45"/>
  <c r="B103" i="45"/>
  <c r="B19" i="48"/>
  <c r="B37" i="53"/>
  <c r="B155" i="43"/>
  <c r="B156" i="43"/>
  <c r="B157" i="43"/>
  <c r="B158" i="43"/>
  <c r="B159" i="43"/>
  <c r="B161" i="43"/>
  <c r="B163" i="43"/>
  <c r="B170" i="43"/>
  <c r="B171" i="43"/>
  <c r="B172" i="43"/>
  <c r="B173" i="43"/>
  <c r="B10" i="59"/>
  <c r="B11" i="59"/>
  <c r="B12" i="59"/>
  <c r="B18" i="59"/>
  <c r="B20" i="59"/>
  <c r="B13" i="59"/>
  <c r="B16" i="59"/>
  <c r="B43" i="59"/>
  <c r="I45" i="59"/>
  <c r="B29" i="55"/>
  <c r="B30" i="55"/>
  <c r="B31" i="55"/>
  <c r="B28" i="55"/>
  <c r="B21" i="56"/>
  <c r="B22" i="56"/>
  <c r="B23" i="56"/>
  <c r="B19" i="56"/>
  <c r="B49" i="57"/>
  <c r="B46" i="57"/>
  <c r="B38" i="53"/>
  <c r="B35" i="53"/>
  <c r="B34" i="53"/>
  <c r="B33" i="53"/>
  <c r="B36" i="53"/>
  <c r="B28" i="58"/>
  <c r="B25" i="58"/>
  <c r="B26" i="58"/>
  <c r="B27" i="58"/>
  <c r="B29" i="58"/>
  <c r="B24" i="58"/>
  <c r="B139" i="43"/>
  <c r="B140" i="43"/>
  <c r="B141" i="43"/>
  <c r="B197" i="43"/>
  <c r="B136" i="43"/>
  <c r="B100" i="45"/>
  <c r="B101" i="45"/>
  <c r="B133" i="43"/>
  <c r="B134" i="43"/>
  <c r="B130" i="43"/>
  <c r="B131" i="43"/>
  <c r="B132" i="43"/>
  <c r="B135" i="43"/>
  <c r="B95" i="45"/>
  <c r="B96" i="45"/>
  <c r="B97" i="45"/>
  <c r="B98" i="45"/>
  <c r="B129" i="43"/>
  <c r="B93" i="45"/>
  <c r="B92" i="45"/>
  <c r="B128" i="43"/>
  <c r="B127" i="43"/>
  <c r="B124" i="43"/>
  <c r="B125" i="43"/>
  <c r="B126" i="43"/>
  <c r="B88" i="45"/>
  <c r="B23" i="58"/>
  <c r="B43" i="57"/>
  <c r="B18" i="56"/>
  <c r="B25" i="55"/>
  <c r="B23" i="54"/>
  <c r="B28" i="47"/>
  <c r="B48" i="46"/>
  <c r="B32" i="53"/>
  <c r="B60" i="37"/>
  <c r="B21" i="48"/>
  <c r="B21" i="50"/>
  <c r="B28" i="52"/>
  <c r="B116" i="45"/>
  <c r="B137" i="43"/>
  <c r="B122" i="43"/>
  <c r="B123" i="43"/>
  <c r="B120" i="43"/>
  <c r="B55" i="37"/>
  <c r="B22" i="55"/>
  <c r="B28" i="53"/>
  <c r="B39" i="57"/>
  <c r="B38" i="57"/>
  <c r="B36" i="57"/>
  <c r="B35" i="57"/>
  <c r="B34" i="57"/>
  <c r="B32" i="57"/>
  <c r="B29" i="57"/>
  <c r="B57" i="37"/>
  <c r="B56" i="37"/>
  <c r="B13" i="48"/>
  <c r="B15" i="48"/>
  <c r="B17" i="58"/>
  <c r="B18" i="58"/>
  <c r="B14" i="58"/>
  <c r="B13" i="58"/>
  <c r="B118" i="43"/>
  <c r="B119" i="43"/>
  <c r="B121" i="43"/>
  <c r="B80" i="45"/>
  <c r="B115" i="43" l="1"/>
  <c r="B116" i="43"/>
  <c r="B19" i="58"/>
  <c r="B40" i="57"/>
  <c r="B17" i="56"/>
  <c r="B23" i="55"/>
  <c r="B22" i="54"/>
  <c r="B27" i="47"/>
  <c r="B47" i="46"/>
  <c r="B29" i="53"/>
  <c r="B58" i="37"/>
  <c r="B16" i="48"/>
  <c r="B20" i="50"/>
  <c r="B27" i="52"/>
  <c r="B86" i="45"/>
  <c r="B109" i="44"/>
  <c r="B110" i="44"/>
  <c r="B89" i="45"/>
  <c r="B90" i="45"/>
  <c r="B91" i="45"/>
  <c r="B117" i="45"/>
  <c r="B118" i="45"/>
  <c r="B119" i="45"/>
  <c r="B120" i="45"/>
  <c r="B50" i="37"/>
  <c r="B49" i="37"/>
  <c r="B117" i="43" l="1"/>
  <c r="B138" i="43"/>
  <c r="B114" i="43"/>
  <c r="B113" i="43"/>
  <c r="B112" i="43"/>
  <c r="B110" i="43"/>
  <c r="B111" i="43"/>
  <c r="B11" i="58"/>
  <c r="B24" i="53"/>
  <c r="B82" i="45"/>
  <c r="B76" i="45"/>
  <c r="B105" i="43"/>
  <c r="B106" i="43"/>
  <c r="B107" i="43"/>
  <c r="B108" i="43"/>
  <c r="B109" i="43"/>
  <c r="B103" i="43"/>
  <c r="B18" i="55"/>
  <c r="B111" i="44"/>
  <c r="B108" i="44"/>
  <c r="B107" i="44"/>
  <c r="B115" i="44"/>
  <c r="B114" i="44"/>
  <c r="B113" i="44"/>
  <c r="B112" i="44"/>
  <c r="B101" i="44"/>
  <c r="B45" i="37"/>
  <c r="B25" i="52"/>
  <c r="B10" i="48"/>
  <c r="B24" i="47"/>
  <c r="B25" i="47"/>
  <c r="B46" i="37"/>
  <c r="B47" i="37"/>
  <c r="B16" i="50"/>
  <c r="B17" i="50"/>
  <c r="B18" i="50"/>
  <c r="B15" i="50"/>
  <c r="B73" i="45"/>
  <c r="B72" i="45"/>
  <c r="B74" i="45"/>
  <c r="B75" i="45"/>
  <c r="B77" i="45"/>
  <c r="B78" i="45"/>
  <c r="B79" i="45"/>
  <c r="B81" i="45"/>
  <c r="B83" i="45"/>
  <c r="B84" i="45"/>
  <c r="B85" i="45"/>
  <c r="B87" i="45"/>
  <c r="B23" i="47" l="1"/>
  <c r="B22" i="47"/>
  <c r="B21" i="47"/>
  <c r="I28" i="46"/>
  <c r="I27" i="46"/>
  <c r="B34" i="46"/>
  <c r="B35" i="46"/>
  <c r="B36" i="46"/>
  <c r="B37" i="46"/>
  <c r="B38" i="46"/>
  <c r="B39" i="46"/>
  <c r="B40" i="46"/>
  <c r="B41" i="46"/>
  <c r="B42" i="46"/>
  <c r="B43" i="46"/>
  <c r="B44" i="46"/>
  <c r="B93" i="43"/>
  <c r="B94" i="43"/>
  <c r="B97" i="44"/>
  <c r="B91" i="43"/>
  <c r="B92" i="43"/>
  <c r="B64" i="45"/>
  <c r="B65" i="45"/>
  <c r="B43" i="37"/>
  <c r="B20" i="47"/>
  <c r="B19" i="47"/>
  <c r="B18" i="47"/>
  <c r="B27" i="57"/>
  <c r="B15" i="57"/>
  <c r="B14" i="57"/>
  <c r="B13" i="57"/>
  <c r="B26" i="57"/>
  <c r="B25" i="57"/>
  <c r="B87" i="43"/>
  <c r="B88" i="43"/>
  <c r="B89" i="43"/>
  <c r="I72" i="58" l="1"/>
  <c r="B70" i="58"/>
  <c r="B22" i="58"/>
  <c r="B21" i="58"/>
  <c r="B20" i="58"/>
  <c r="B16" i="58"/>
  <c r="B15" i="58"/>
  <c r="B12" i="58"/>
  <c r="B10" i="58"/>
  <c r="B14" i="54"/>
  <c r="B21" i="52"/>
  <c r="C13" i="51"/>
  <c r="C14" i="51"/>
  <c r="C15" i="51"/>
  <c r="C16" i="51"/>
  <c r="C17" i="51"/>
  <c r="C18" i="51"/>
  <c r="C19" i="51"/>
  <c r="C20" i="51"/>
  <c r="C21" i="51"/>
  <c r="C22" i="51"/>
  <c r="C23" i="51"/>
  <c r="C24" i="51"/>
  <c r="C25" i="51"/>
  <c r="C26" i="51"/>
  <c r="C27" i="51"/>
  <c r="C28" i="51"/>
  <c r="C29" i="51"/>
  <c r="C30" i="51"/>
  <c r="C6" i="51"/>
  <c r="C7" i="51"/>
  <c r="C8" i="51"/>
  <c r="C9" i="51"/>
  <c r="C10" i="51"/>
  <c r="C11" i="51"/>
  <c r="C12" i="51"/>
  <c r="C5" i="51"/>
  <c r="A5" i="51"/>
  <c r="F977" i="51"/>
  <c r="E977" i="51"/>
  <c r="D977" i="51"/>
  <c r="C977" i="51"/>
  <c r="B977" i="51"/>
  <c r="A977" i="51"/>
  <c r="F976" i="51"/>
  <c r="E976" i="51"/>
  <c r="D976" i="51"/>
  <c r="C976" i="51"/>
  <c r="B976" i="51"/>
  <c r="A976" i="51"/>
  <c r="F975" i="51"/>
  <c r="E975" i="51"/>
  <c r="D975" i="51"/>
  <c r="C975" i="51"/>
  <c r="B975" i="51"/>
  <c r="A975" i="51"/>
  <c r="F974" i="51"/>
  <c r="E974" i="51"/>
  <c r="D974" i="51"/>
  <c r="C974" i="51"/>
  <c r="B974" i="51"/>
  <c r="A974" i="51"/>
  <c r="F973" i="51"/>
  <c r="E973" i="51"/>
  <c r="D973" i="51"/>
  <c r="C973" i="51"/>
  <c r="B973" i="51"/>
  <c r="A973" i="51"/>
  <c r="F972" i="51"/>
  <c r="E972" i="51"/>
  <c r="D972" i="51"/>
  <c r="C972" i="51"/>
  <c r="B972" i="51"/>
  <c r="A972" i="51"/>
  <c r="F971" i="51"/>
  <c r="E971" i="51"/>
  <c r="D971" i="51"/>
  <c r="C971" i="51"/>
  <c r="B971" i="51"/>
  <c r="A971" i="51"/>
  <c r="F970" i="51"/>
  <c r="E970" i="51"/>
  <c r="D970" i="51"/>
  <c r="C970" i="51"/>
  <c r="B970" i="51"/>
  <c r="A970" i="51"/>
  <c r="F969" i="51"/>
  <c r="E969" i="51"/>
  <c r="D969" i="51"/>
  <c r="C969" i="51"/>
  <c r="B969" i="51"/>
  <c r="A969" i="51"/>
  <c r="F968" i="51"/>
  <c r="E968" i="51"/>
  <c r="D968" i="51"/>
  <c r="C968" i="51"/>
  <c r="B968" i="51"/>
  <c r="A968" i="51"/>
  <c r="F967" i="51"/>
  <c r="E967" i="51"/>
  <c r="D967" i="51"/>
  <c r="C967" i="51"/>
  <c r="B967" i="51"/>
  <c r="A967" i="51"/>
  <c r="F966" i="51"/>
  <c r="E966" i="51"/>
  <c r="D966" i="51"/>
  <c r="C966" i="51"/>
  <c r="B966" i="51"/>
  <c r="A966" i="51"/>
  <c r="F965" i="51"/>
  <c r="E965" i="51"/>
  <c r="D965" i="51"/>
  <c r="C965" i="51"/>
  <c r="B965" i="51"/>
  <c r="A965" i="51"/>
  <c r="F964" i="51"/>
  <c r="E964" i="51"/>
  <c r="D964" i="51"/>
  <c r="C964" i="51"/>
  <c r="B964" i="51"/>
  <c r="A964" i="51"/>
  <c r="F963" i="51"/>
  <c r="E963" i="51"/>
  <c r="D963" i="51"/>
  <c r="C963" i="51"/>
  <c r="B963" i="51"/>
  <c r="A963" i="51"/>
  <c r="F962" i="51"/>
  <c r="E962" i="51"/>
  <c r="D962" i="51"/>
  <c r="C962" i="51"/>
  <c r="B962" i="51"/>
  <c r="A962" i="51"/>
  <c r="F961" i="51"/>
  <c r="E961" i="51"/>
  <c r="D961" i="51"/>
  <c r="C961" i="51"/>
  <c r="B961" i="51"/>
  <c r="A961" i="51"/>
  <c r="F960" i="51"/>
  <c r="E960" i="51"/>
  <c r="D960" i="51"/>
  <c r="C960" i="51"/>
  <c r="B960" i="51"/>
  <c r="A960" i="51"/>
  <c r="F959" i="51"/>
  <c r="E959" i="51"/>
  <c r="D959" i="51"/>
  <c r="C959" i="51"/>
  <c r="B959" i="51"/>
  <c r="A959" i="51"/>
  <c r="F958" i="51"/>
  <c r="E958" i="51"/>
  <c r="D958" i="51"/>
  <c r="C958" i="51"/>
  <c r="B958" i="51"/>
  <c r="A958" i="51"/>
  <c r="F957" i="51"/>
  <c r="E957" i="51"/>
  <c r="D957" i="51"/>
  <c r="C957" i="51"/>
  <c r="B957" i="51"/>
  <c r="A957" i="51"/>
  <c r="F956" i="51"/>
  <c r="E956" i="51"/>
  <c r="D956" i="51"/>
  <c r="C956" i="51"/>
  <c r="B956" i="51"/>
  <c r="A956" i="51"/>
  <c r="F955" i="51"/>
  <c r="E955" i="51"/>
  <c r="D955" i="51"/>
  <c r="C955" i="51"/>
  <c r="B955" i="51"/>
  <c r="A955" i="51"/>
  <c r="F954" i="51"/>
  <c r="E954" i="51"/>
  <c r="D954" i="51"/>
  <c r="C954" i="51"/>
  <c r="B954" i="51"/>
  <c r="A954" i="51"/>
  <c r="F953" i="51"/>
  <c r="E953" i="51"/>
  <c r="D953" i="51"/>
  <c r="C953" i="51"/>
  <c r="B953" i="51"/>
  <c r="A953" i="51"/>
  <c r="F952" i="51"/>
  <c r="E952" i="51"/>
  <c r="D952" i="51"/>
  <c r="C952" i="51"/>
  <c r="B952" i="51"/>
  <c r="A952" i="51"/>
  <c r="F951" i="51"/>
  <c r="E951" i="51"/>
  <c r="D951" i="51"/>
  <c r="C951" i="51"/>
  <c r="B951" i="51"/>
  <c r="A951" i="51"/>
  <c r="F950" i="51"/>
  <c r="E950" i="51"/>
  <c r="D950" i="51"/>
  <c r="C950" i="51"/>
  <c r="B950" i="51"/>
  <c r="A950" i="51"/>
  <c r="F949" i="51"/>
  <c r="E949" i="51"/>
  <c r="D949" i="51"/>
  <c r="C949" i="51"/>
  <c r="B949" i="51"/>
  <c r="A949" i="51"/>
  <c r="F948" i="51"/>
  <c r="E948" i="51"/>
  <c r="D948" i="51"/>
  <c r="C948" i="51"/>
  <c r="B948" i="51"/>
  <c r="A948" i="51"/>
  <c r="F947" i="51"/>
  <c r="E947" i="51"/>
  <c r="D947" i="51"/>
  <c r="C947" i="51"/>
  <c r="B947" i="51"/>
  <c r="A947" i="51"/>
  <c r="F946" i="51"/>
  <c r="E946" i="51"/>
  <c r="D946" i="51"/>
  <c r="C946" i="51"/>
  <c r="B946" i="51"/>
  <c r="A946" i="51"/>
  <c r="F945" i="51"/>
  <c r="E945" i="51"/>
  <c r="D945" i="51"/>
  <c r="C945" i="51"/>
  <c r="B945" i="51"/>
  <c r="A945" i="51"/>
  <c r="F944" i="51"/>
  <c r="E944" i="51"/>
  <c r="D944" i="51"/>
  <c r="C944" i="51"/>
  <c r="B944" i="51"/>
  <c r="A944" i="51"/>
  <c r="F943" i="51"/>
  <c r="E943" i="51"/>
  <c r="D943" i="51"/>
  <c r="C943" i="51"/>
  <c r="B943" i="51"/>
  <c r="A943" i="51"/>
  <c r="F942" i="51"/>
  <c r="E942" i="51"/>
  <c r="D942" i="51"/>
  <c r="C942" i="51"/>
  <c r="B942" i="51"/>
  <c r="A942" i="51"/>
  <c r="F941" i="51"/>
  <c r="E941" i="51"/>
  <c r="D941" i="51"/>
  <c r="C941" i="51"/>
  <c r="B941" i="51"/>
  <c r="A941" i="51"/>
  <c r="F940" i="51"/>
  <c r="E940" i="51"/>
  <c r="D940" i="51"/>
  <c r="C940" i="51"/>
  <c r="B940" i="51"/>
  <c r="A940" i="51"/>
  <c r="F939" i="51"/>
  <c r="E939" i="51"/>
  <c r="D939" i="51"/>
  <c r="C939" i="51"/>
  <c r="B939" i="51"/>
  <c r="A939" i="51"/>
  <c r="F938" i="51"/>
  <c r="E938" i="51"/>
  <c r="D938" i="51"/>
  <c r="C938" i="51"/>
  <c r="B938" i="51"/>
  <c r="A938" i="51"/>
  <c r="F937" i="51"/>
  <c r="E937" i="51"/>
  <c r="D937" i="51"/>
  <c r="C937" i="51"/>
  <c r="B937" i="51"/>
  <c r="A937" i="51"/>
  <c r="F936" i="51"/>
  <c r="E936" i="51"/>
  <c r="D936" i="51"/>
  <c r="C936" i="51"/>
  <c r="B936" i="51"/>
  <c r="A936" i="51"/>
  <c r="F935" i="51"/>
  <c r="E935" i="51"/>
  <c r="D935" i="51"/>
  <c r="C935" i="51"/>
  <c r="B935" i="51"/>
  <c r="A935" i="51"/>
  <c r="F934" i="51"/>
  <c r="E934" i="51"/>
  <c r="D934" i="51"/>
  <c r="C934" i="51"/>
  <c r="B934" i="51"/>
  <c r="A934" i="51"/>
  <c r="F933" i="51"/>
  <c r="E933" i="51"/>
  <c r="D933" i="51"/>
  <c r="C933" i="51"/>
  <c r="B933" i="51"/>
  <c r="A933" i="51"/>
  <c r="F932" i="51"/>
  <c r="E932" i="51"/>
  <c r="D932" i="51"/>
  <c r="C932" i="51"/>
  <c r="B932" i="51"/>
  <c r="A932" i="51"/>
  <c r="F931" i="51"/>
  <c r="E931" i="51"/>
  <c r="D931" i="51"/>
  <c r="C931" i="51"/>
  <c r="B931" i="51"/>
  <c r="A931" i="51"/>
  <c r="F930" i="51"/>
  <c r="E930" i="51"/>
  <c r="D930" i="51"/>
  <c r="C930" i="51"/>
  <c r="B930" i="51"/>
  <c r="A930" i="51"/>
  <c r="F929" i="51"/>
  <c r="E929" i="51"/>
  <c r="D929" i="51"/>
  <c r="C929" i="51"/>
  <c r="B929" i="51"/>
  <c r="A929" i="51"/>
  <c r="F928" i="51"/>
  <c r="E928" i="51"/>
  <c r="D928" i="51"/>
  <c r="C928" i="51"/>
  <c r="B928" i="51"/>
  <c r="A928" i="51"/>
  <c r="F927" i="51"/>
  <c r="E927" i="51"/>
  <c r="D927" i="51"/>
  <c r="C927" i="51"/>
  <c r="B927" i="51"/>
  <c r="A927" i="51"/>
  <c r="F926" i="51"/>
  <c r="E926" i="51"/>
  <c r="D926" i="51"/>
  <c r="C926" i="51"/>
  <c r="B926" i="51"/>
  <c r="A926" i="51"/>
  <c r="F925" i="51"/>
  <c r="E925" i="51"/>
  <c r="D925" i="51"/>
  <c r="C925" i="51"/>
  <c r="B925" i="51"/>
  <c r="A925" i="51"/>
  <c r="F924" i="51"/>
  <c r="E924" i="51"/>
  <c r="D924" i="51"/>
  <c r="C924" i="51"/>
  <c r="B924" i="51"/>
  <c r="A924" i="51"/>
  <c r="F923" i="51"/>
  <c r="E923" i="51"/>
  <c r="D923" i="51"/>
  <c r="C923" i="51"/>
  <c r="B923" i="51"/>
  <c r="A923" i="51"/>
  <c r="F922" i="51"/>
  <c r="E922" i="51"/>
  <c r="D922" i="51"/>
  <c r="C922" i="51"/>
  <c r="B922" i="51"/>
  <c r="A922" i="51"/>
  <c r="F921" i="51"/>
  <c r="E921" i="51"/>
  <c r="D921" i="51"/>
  <c r="C921" i="51"/>
  <c r="B921" i="51"/>
  <c r="A921" i="51"/>
  <c r="F920" i="51"/>
  <c r="E920" i="51"/>
  <c r="D920" i="51"/>
  <c r="C920" i="51"/>
  <c r="B920" i="51"/>
  <c r="A920" i="51"/>
  <c r="F919" i="51"/>
  <c r="E919" i="51"/>
  <c r="D919" i="51"/>
  <c r="C919" i="51"/>
  <c r="B919" i="51"/>
  <c r="A919" i="51"/>
  <c r="F918" i="51"/>
  <c r="E918" i="51"/>
  <c r="D918" i="51"/>
  <c r="C918" i="51"/>
  <c r="B918" i="51"/>
  <c r="A918" i="51"/>
  <c r="F916" i="51"/>
  <c r="E916" i="51"/>
  <c r="D916" i="51"/>
  <c r="C916" i="51"/>
  <c r="B916" i="51"/>
  <c r="A916" i="51"/>
  <c r="F915" i="51"/>
  <c r="E915" i="51"/>
  <c r="D915" i="51"/>
  <c r="C915" i="51"/>
  <c r="B915" i="51"/>
  <c r="A915" i="51"/>
  <c r="F914" i="51"/>
  <c r="E914" i="51"/>
  <c r="D914" i="51"/>
  <c r="C914" i="51"/>
  <c r="B914" i="51"/>
  <c r="A914" i="51"/>
  <c r="F913" i="51"/>
  <c r="E913" i="51"/>
  <c r="D913" i="51"/>
  <c r="C913" i="51"/>
  <c r="B913" i="51"/>
  <c r="A913" i="51"/>
  <c r="F912" i="51"/>
  <c r="E912" i="51"/>
  <c r="D912" i="51"/>
  <c r="C912" i="51"/>
  <c r="B912" i="51"/>
  <c r="A912" i="51"/>
  <c r="F911" i="51"/>
  <c r="E911" i="51"/>
  <c r="D911" i="51"/>
  <c r="C911" i="51"/>
  <c r="B911" i="51"/>
  <c r="A911" i="51"/>
  <c r="F910" i="51"/>
  <c r="E910" i="51"/>
  <c r="D910" i="51"/>
  <c r="C910" i="51"/>
  <c r="B910" i="51"/>
  <c r="A910" i="51"/>
  <c r="F909" i="51"/>
  <c r="E909" i="51"/>
  <c r="D909" i="51"/>
  <c r="C909" i="51"/>
  <c r="B909" i="51"/>
  <c r="A909" i="51"/>
  <c r="F908" i="51"/>
  <c r="E908" i="51"/>
  <c r="D908" i="51"/>
  <c r="C908" i="51"/>
  <c r="B908" i="51"/>
  <c r="A908" i="51"/>
  <c r="F907" i="51"/>
  <c r="E907" i="51"/>
  <c r="D907" i="51"/>
  <c r="C907" i="51"/>
  <c r="B907" i="51"/>
  <c r="A907" i="51"/>
  <c r="F906" i="51"/>
  <c r="E906" i="51"/>
  <c r="D906" i="51"/>
  <c r="C906" i="51"/>
  <c r="B906" i="51"/>
  <c r="A906" i="51"/>
  <c r="F905" i="51"/>
  <c r="E905" i="51"/>
  <c r="D905" i="51"/>
  <c r="C905" i="51"/>
  <c r="B905" i="51"/>
  <c r="A905" i="51"/>
  <c r="F904" i="51"/>
  <c r="E904" i="51"/>
  <c r="D904" i="51"/>
  <c r="C904" i="51"/>
  <c r="B904" i="51"/>
  <c r="A904" i="51"/>
  <c r="F903" i="51"/>
  <c r="E903" i="51"/>
  <c r="D903" i="51"/>
  <c r="C903" i="51"/>
  <c r="B903" i="51"/>
  <c r="A903" i="51"/>
  <c r="F902" i="51"/>
  <c r="E902" i="51"/>
  <c r="D902" i="51"/>
  <c r="C902" i="51"/>
  <c r="B902" i="51"/>
  <c r="A902" i="51"/>
  <c r="F901" i="51"/>
  <c r="E901" i="51"/>
  <c r="D901" i="51"/>
  <c r="C901" i="51"/>
  <c r="B901" i="51"/>
  <c r="A901" i="51"/>
  <c r="F900" i="51"/>
  <c r="E900" i="51"/>
  <c r="D900" i="51"/>
  <c r="C900" i="51"/>
  <c r="B900" i="51"/>
  <c r="A900" i="51"/>
  <c r="F899" i="51"/>
  <c r="E899" i="51"/>
  <c r="D899" i="51"/>
  <c r="C899" i="51"/>
  <c r="B899" i="51"/>
  <c r="A899" i="51"/>
  <c r="F898" i="51"/>
  <c r="E898" i="51"/>
  <c r="D898" i="51"/>
  <c r="C898" i="51"/>
  <c r="B898" i="51"/>
  <c r="A898" i="51"/>
  <c r="F897" i="51"/>
  <c r="E897" i="51"/>
  <c r="D897" i="51"/>
  <c r="C897" i="51"/>
  <c r="B897" i="51"/>
  <c r="A897" i="51"/>
  <c r="F896" i="51"/>
  <c r="E896" i="51"/>
  <c r="D896" i="51"/>
  <c r="C896" i="51"/>
  <c r="B896" i="51"/>
  <c r="A896" i="51"/>
  <c r="F895" i="51"/>
  <c r="E895" i="51"/>
  <c r="D895" i="51"/>
  <c r="C895" i="51"/>
  <c r="B895" i="51"/>
  <c r="A895" i="51"/>
  <c r="F894" i="51"/>
  <c r="E894" i="51"/>
  <c r="D894" i="51"/>
  <c r="C894" i="51"/>
  <c r="B894" i="51"/>
  <c r="A894" i="51"/>
  <c r="F893" i="51"/>
  <c r="E893" i="51"/>
  <c r="D893" i="51"/>
  <c r="C893" i="51"/>
  <c r="B893" i="51"/>
  <c r="A893" i="51"/>
  <c r="F892" i="51"/>
  <c r="E892" i="51"/>
  <c r="D892" i="51"/>
  <c r="C892" i="51"/>
  <c r="B892" i="51"/>
  <c r="A892" i="51"/>
  <c r="F891" i="51"/>
  <c r="E891" i="51"/>
  <c r="D891" i="51"/>
  <c r="C891" i="51"/>
  <c r="B891" i="51"/>
  <c r="A891" i="51"/>
  <c r="F890" i="51"/>
  <c r="E890" i="51"/>
  <c r="D890" i="51"/>
  <c r="C890" i="51"/>
  <c r="B890" i="51"/>
  <c r="A890" i="51"/>
  <c r="F889" i="51"/>
  <c r="E889" i="51"/>
  <c r="D889" i="51"/>
  <c r="C889" i="51"/>
  <c r="B889" i="51"/>
  <c r="A889" i="51"/>
  <c r="F888" i="51"/>
  <c r="E888" i="51"/>
  <c r="D888" i="51"/>
  <c r="C888" i="51"/>
  <c r="B888" i="51"/>
  <c r="A888" i="51"/>
  <c r="F887" i="51"/>
  <c r="E887" i="51"/>
  <c r="D887" i="51"/>
  <c r="C887" i="51"/>
  <c r="B887" i="51"/>
  <c r="A887" i="51"/>
  <c r="F886" i="51"/>
  <c r="E886" i="51"/>
  <c r="D886" i="51"/>
  <c r="C886" i="51"/>
  <c r="B886" i="51"/>
  <c r="A886" i="51"/>
  <c r="F885" i="51"/>
  <c r="E885" i="51"/>
  <c r="D885" i="51"/>
  <c r="C885" i="51"/>
  <c r="B885" i="51"/>
  <c r="A885" i="51"/>
  <c r="F884" i="51"/>
  <c r="E884" i="51"/>
  <c r="D884" i="51"/>
  <c r="C884" i="51"/>
  <c r="B884" i="51"/>
  <c r="A884" i="51"/>
  <c r="F883" i="51"/>
  <c r="E883" i="51"/>
  <c r="D883" i="51"/>
  <c r="C883" i="51"/>
  <c r="B883" i="51"/>
  <c r="A883" i="51"/>
  <c r="F882" i="51"/>
  <c r="E882" i="51"/>
  <c r="D882" i="51"/>
  <c r="C882" i="51"/>
  <c r="B882" i="51"/>
  <c r="A882" i="51"/>
  <c r="F881" i="51"/>
  <c r="E881" i="51"/>
  <c r="D881" i="51"/>
  <c r="C881" i="51"/>
  <c r="B881" i="51"/>
  <c r="A881" i="51"/>
  <c r="F880" i="51"/>
  <c r="E880" i="51"/>
  <c r="D880" i="51"/>
  <c r="C880" i="51"/>
  <c r="B880" i="51"/>
  <c r="A880" i="51"/>
  <c r="F879" i="51"/>
  <c r="E879" i="51"/>
  <c r="D879" i="51"/>
  <c r="C879" i="51"/>
  <c r="B879" i="51"/>
  <c r="A879" i="51"/>
  <c r="F878" i="51"/>
  <c r="E878" i="51"/>
  <c r="D878" i="51"/>
  <c r="C878" i="51"/>
  <c r="B878" i="51"/>
  <c r="A878" i="51"/>
  <c r="F877" i="51"/>
  <c r="E877" i="51"/>
  <c r="D877" i="51"/>
  <c r="C877" i="51"/>
  <c r="B877" i="51"/>
  <c r="A877" i="51"/>
  <c r="F876" i="51"/>
  <c r="E876" i="51"/>
  <c r="D876" i="51"/>
  <c r="C876" i="51"/>
  <c r="B876" i="51"/>
  <c r="A876" i="51"/>
  <c r="F875" i="51"/>
  <c r="E875" i="51"/>
  <c r="D875" i="51"/>
  <c r="C875" i="51"/>
  <c r="B875" i="51"/>
  <c r="A875" i="51"/>
  <c r="F874" i="51"/>
  <c r="E874" i="51"/>
  <c r="D874" i="51"/>
  <c r="C874" i="51"/>
  <c r="B874" i="51"/>
  <c r="A874" i="51"/>
  <c r="F873" i="51"/>
  <c r="E873" i="51"/>
  <c r="D873" i="51"/>
  <c r="C873" i="51"/>
  <c r="B873" i="51"/>
  <c r="A873" i="51"/>
  <c r="F872" i="51"/>
  <c r="E872" i="51"/>
  <c r="D872" i="51"/>
  <c r="C872" i="51"/>
  <c r="B872" i="51"/>
  <c r="A872" i="51"/>
  <c r="F871" i="51"/>
  <c r="E871" i="51"/>
  <c r="D871" i="51"/>
  <c r="C871" i="51"/>
  <c r="B871" i="51"/>
  <c r="A871" i="51"/>
  <c r="F870" i="51"/>
  <c r="E870" i="51"/>
  <c r="D870" i="51"/>
  <c r="C870" i="51"/>
  <c r="B870" i="51"/>
  <c r="A870" i="51"/>
  <c r="F869" i="51"/>
  <c r="E869" i="51"/>
  <c r="D869" i="51"/>
  <c r="C869" i="51"/>
  <c r="B869" i="51"/>
  <c r="A869" i="51"/>
  <c r="F868" i="51"/>
  <c r="E868" i="51"/>
  <c r="D868" i="51"/>
  <c r="C868" i="51"/>
  <c r="B868" i="51"/>
  <c r="A868" i="51"/>
  <c r="F867" i="51"/>
  <c r="E867" i="51"/>
  <c r="D867" i="51"/>
  <c r="C867" i="51"/>
  <c r="B867" i="51"/>
  <c r="A867" i="51"/>
  <c r="F866" i="51"/>
  <c r="E866" i="51"/>
  <c r="D866" i="51"/>
  <c r="C866" i="51"/>
  <c r="B866" i="51"/>
  <c r="A866" i="51"/>
  <c r="F865" i="51"/>
  <c r="E865" i="51"/>
  <c r="D865" i="51"/>
  <c r="C865" i="51"/>
  <c r="B865" i="51"/>
  <c r="A865" i="51"/>
  <c r="F864" i="51"/>
  <c r="E864" i="51"/>
  <c r="D864" i="51"/>
  <c r="C864" i="51"/>
  <c r="B864" i="51"/>
  <c r="A864" i="51"/>
  <c r="F863" i="51"/>
  <c r="E863" i="51"/>
  <c r="D863" i="51"/>
  <c r="C863" i="51"/>
  <c r="B863" i="51"/>
  <c r="A863" i="51"/>
  <c r="F862" i="51"/>
  <c r="E862" i="51"/>
  <c r="D862" i="51"/>
  <c r="C862" i="51"/>
  <c r="B862" i="51"/>
  <c r="A862" i="51"/>
  <c r="F861" i="51"/>
  <c r="E861" i="51"/>
  <c r="D861" i="51"/>
  <c r="C861" i="51"/>
  <c r="B861" i="51"/>
  <c r="A861" i="51"/>
  <c r="F860" i="51"/>
  <c r="E860" i="51"/>
  <c r="D860" i="51"/>
  <c r="C860" i="51"/>
  <c r="B860" i="51"/>
  <c r="A860" i="51"/>
  <c r="F859" i="51"/>
  <c r="E859" i="51"/>
  <c r="D859" i="51"/>
  <c r="C859" i="51"/>
  <c r="B859" i="51"/>
  <c r="A859" i="51"/>
  <c r="F858" i="51"/>
  <c r="E858" i="51"/>
  <c r="D858" i="51"/>
  <c r="C858" i="51"/>
  <c r="B858" i="51"/>
  <c r="A858" i="51"/>
  <c r="F857" i="51"/>
  <c r="E857" i="51"/>
  <c r="D857" i="51"/>
  <c r="C857" i="51"/>
  <c r="B857" i="51"/>
  <c r="A857" i="51"/>
  <c r="F855" i="51"/>
  <c r="E855" i="51"/>
  <c r="D855" i="51"/>
  <c r="C855" i="51"/>
  <c r="B855" i="51"/>
  <c r="A855" i="51"/>
  <c r="F854" i="51"/>
  <c r="E854" i="51"/>
  <c r="D854" i="51"/>
  <c r="C854" i="51"/>
  <c r="B854" i="51"/>
  <c r="A854" i="51"/>
  <c r="F853" i="51"/>
  <c r="E853" i="51"/>
  <c r="D853" i="51"/>
  <c r="C853" i="51"/>
  <c r="B853" i="51"/>
  <c r="A853" i="51"/>
  <c r="F852" i="51"/>
  <c r="E852" i="51"/>
  <c r="D852" i="51"/>
  <c r="C852" i="51"/>
  <c r="B852" i="51"/>
  <c r="A852" i="51"/>
  <c r="F851" i="51"/>
  <c r="E851" i="51"/>
  <c r="D851" i="51"/>
  <c r="C851" i="51"/>
  <c r="B851" i="51"/>
  <c r="A851" i="51"/>
  <c r="F850" i="51"/>
  <c r="E850" i="51"/>
  <c r="D850" i="51"/>
  <c r="C850" i="51"/>
  <c r="B850" i="51"/>
  <c r="A850" i="51"/>
  <c r="F849" i="51"/>
  <c r="E849" i="51"/>
  <c r="D849" i="51"/>
  <c r="C849" i="51"/>
  <c r="B849" i="51"/>
  <c r="A849" i="51"/>
  <c r="F848" i="51"/>
  <c r="E848" i="51"/>
  <c r="D848" i="51"/>
  <c r="C848" i="51"/>
  <c r="B848" i="51"/>
  <c r="A848" i="51"/>
  <c r="F847" i="51"/>
  <c r="E847" i="51"/>
  <c r="D847" i="51"/>
  <c r="C847" i="51"/>
  <c r="B847" i="51"/>
  <c r="A847" i="51"/>
  <c r="F846" i="51"/>
  <c r="E846" i="51"/>
  <c r="D846" i="51"/>
  <c r="C846" i="51"/>
  <c r="B846" i="51"/>
  <c r="A846" i="51"/>
  <c r="F845" i="51"/>
  <c r="E845" i="51"/>
  <c r="D845" i="51"/>
  <c r="C845" i="51"/>
  <c r="B845" i="51"/>
  <c r="A845" i="51"/>
  <c r="F844" i="51"/>
  <c r="E844" i="51"/>
  <c r="D844" i="51"/>
  <c r="C844" i="51"/>
  <c r="B844" i="51"/>
  <c r="A844" i="51"/>
  <c r="F843" i="51"/>
  <c r="E843" i="51"/>
  <c r="D843" i="51"/>
  <c r="C843" i="51"/>
  <c r="B843" i="51"/>
  <c r="A843" i="51"/>
  <c r="F842" i="51"/>
  <c r="E842" i="51"/>
  <c r="D842" i="51"/>
  <c r="C842" i="51"/>
  <c r="B842" i="51"/>
  <c r="A842" i="51"/>
  <c r="F841" i="51"/>
  <c r="E841" i="51"/>
  <c r="D841" i="51"/>
  <c r="C841" i="51"/>
  <c r="B841" i="51"/>
  <c r="A841" i="51"/>
  <c r="F840" i="51"/>
  <c r="E840" i="51"/>
  <c r="D840" i="51"/>
  <c r="C840" i="51"/>
  <c r="B840" i="51"/>
  <c r="A840" i="51"/>
  <c r="F839" i="51"/>
  <c r="E839" i="51"/>
  <c r="D839" i="51"/>
  <c r="C839" i="51"/>
  <c r="B839" i="51"/>
  <c r="A839" i="51"/>
  <c r="F838" i="51"/>
  <c r="E838" i="51"/>
  <c r="D838" i="51"/>
  <c r="C838" i="51"/>
  <c r="B838" i="51"/>
  <c r="A838" i="51"/>
  <c r="F837" i="51"/>
  <c r="E837" i="51"/>
  <c r="D837" i="51"/>
  <c r="C837" i="51"/>
  <c r="B837" i="51"/>
  <c r="A837" i="51"/>
  <c r="F836" i="51"/>
  <c r="E836" i="51"/>
  <c r="D836" i="51"/>
  <c r="C836" i="51"/>
  <c r="B836" i="51"/>
  <c r="A836" i="51"/>
  <c r="F835" i="51"/>
  <c r="E835" i="51"/>
  <c r="D835" i="51"/>
  <c r="C835" i="51"/>
  <c r="B835" i="51"/>
  <c r="A835" i="51"/>
  <c r="F834" i="51"/>
  <c r="E834" i="51"/>
  <c r="D834" i="51"/>
  <c r="C834" i="51"/>
  <c r="B834" i="51"/>
  <c r="A834" i="51"/>
  <c r="F833" i="51"/>
  <c r="E833" i="51"/>
  <c r="D833" i="51"/>
  <c r="C833" i="51"/>
  <c r="B833" i="51"/>
  <c r="A833" i="51"/>
  <c r="F832" i="51"/>
  <c r="E832" i="51"/>
  <c r="D832" i="51"/>
  <c r="C832" i="51"/>
  <c r="B832" i="51"/>
  <c r="A832" i="51"/>
  <c r="F831" i="51"/>
  <c r="E831" i="51"/>
  <c r="D831" i="51"/>
  <c r="C831" i="51"/>
  <c r="B831" i="51"/>
  <c r="A831" i="51"/>
  <c r="F830" i="51"/>
  <c r="E830" i="51"/>
  <c r="D830" i="51"/>
  <c r="C830" i="51"/>
  <c r="B830" i="51"/>
  <c r="A830" i="51"/>
  <c r="F829" i="51"/>
  <c r="E829" i="51"/>
  <c r="D829" i="51"/>
  <c r="C829" i="51"/>
  <c r="B829" i="51"/>
  <c r="A829" i="51"/>
  <c r="F828" i="51"/>
  <c r="E828" i="51"/>
  <c r="D828" i="51"/>
  <c r="C828" i="51"/>
  <c r="B828" i="51"/>
  <c r="A828" i="51"/>
  <c r="F827" i="51"/>
  <c r="E827" i="51"/>
  <c r="D827" i="51"/>
  <c r="C827" i="51"/>
  <c r="B827" i="51"/>
  <c r="A827" i="51"/>
  <c r="F826" i="51"/>
  <c r="E826" i="51"/>
  <c r="D826" i="51"/>
  <c r="C826" i="51"/>
  <c r="B826" i="51"/>
  <c r="A826" i="51"/>
  <c r="F825" i="51"/>
  <c r="E825" i="51"/>
  <c r="D825" i="51"/>
  <c r="C825" i="51"/>
  <c r="B825" i="51"/>
  <c r="A825" i="51"/>
  <c r="F824" i="51"/>
  <c r="E824" i="51"/>
  <c r="D824" i="51"/>
  <c r="C824" i="51"/>
  <c r="B824" i="51"/>
  <c r="A824" i="51"/>
  <c r="F823" i="51"/>
  <c r="E823" i="51"/>
  <c r="D823" i="51"/>
  <c r="C823" i="51"/>
  <c r="B823" i="51"/>
  <c r="A823" i="51"/>
  <c r="F822" i="51"/>
  <c r="E822" i="51"/>
  <c r="D822" i="51"/>
  <c r="C822" i="51"/>
  <c r="B822" i="51"/>
  <c r="A822" i="51"/>
  <c r="F821" i="51"/>
  <c r="E821" i="51"/>
  <c r="D821" i="51"/>
  <c r="C821" i="51"/>
  <c r="B821" i="51"/>
  <c r="A821" i="51"/>
  <c r="F820" i="51"/>
  <c r="E820" i="51"/>
  <c r="D820" i="51"/>
  <c r="C820" i="51"/>
  <c r="B820" i="51"/>
  <c r="A820" i="51"/>
  <c r="F819" i="51"/>
  <c r="E819" i="51"/>
  <c r="D819" i="51"/>
  <c r="C819" i="51"/>
  <c r="B819" i="51"/>
  <c r="A819" i="51"/>
  <c r="F818" i="51"/>
  <c r="E818" i="51"/>
  <c r="D818" i="51"/>
  <c r="C818" i="51"/>
  <c r="B818" i="51"/>
  <c r="A818" i="51"/>
  <c r="F817" i="51"/>
  <c r="E817" i="51"/>
  <c r="D817" i="51"/>
  <c r="C817" i="51"/>
  <c r="B817" i="51"/>
  <c r="A817" i="51"/>
  <c r="F816" i="51"/>
  <c r="E816" i="51"/>
  <c r="D816" i="51"/>
  <c r="C816" i="51"/>
  <c r="B816" i="51"/>
  <c r="A816" i="51"/>
  <c r="F815" i="51"/>
  <c r="E815" i="51"/>
  <c r="D815" i="51"/>
  <c r="C815" i="51"/>
  <c r="B815" i="51"/>
  <c r="A815" i="51"/>
  <c r="F814" i="51"/>
  <c r="E814" i="51"/>
  <c r="D814" i="51"/>
  <c r="C814" i="51"/>
  <c r="B814" i="51"/>
  <c r="A814" i="51"/>
  <c r="F813" i="51"/>
  <c r="E813" i="51"/>
  <c r="D813" i="51"/>
  <c r="C813" i="51"/>
  <c r="B813" i="51"/>
  <c r="A813" i="51"/>
  <c r="F812" i="51"/>
  <c r="E812" i="51"/>
  <c r="D812" i="51"/>
  <c r="C812" i="51"/>
  <c r="B812" i="51"/>
  <c r="A812" i="51"/>
  <c r="F811" i="51"/>
  <c r="E811" i="51"/>
  <c r="D811" i="51"/>
  <c r="C811" i="51"/>
  <c r="B811" i="51"/>
  <c r="A811" i="51"/>
  <c r="F810" i="51"/>
  <c r="E810" i="51"/>
  <c r="D810" i="51"/>
  <c r="C810" i="51"/>
  <c r="B810" i="51"/>
  <c r="A810" i="51"/>
  <c r="F809" i="51"/>
  <c r="E809" i="51"/>
  <c r="D809" i="51"/>
  <c r="C809" i="51"/>
  <c r="B809" i="51"/>
  <c r="A809" i="51"/>
  <c r="F808" i="51"/>
  <c r="E808" i="51"/>
  <c r="D808" i="51"/>
  <c r="C808" i="51"/>
  <c r="B808" i="51"/>
  <c r="A808" i="51"/>
  <c r="F807" i="51"/>
  <c r="E807" i="51"/>
  <c r="D807" i="51"/>
  <c r="C807" i="51"/>
  <c r="B807" i="51"/>
  <c r="A807" i="51"/>
  <c r="F806" i="51"/>
  <c r="E806" i="51"/>
  <c r="D806" i="51"/>
  <c r="C806" i="51"/>
  <c r="B806" i="51"/>
  <c r="A806" i="51"/>
  <c r="F805" i="51"/>
  <c r="E805" i="51"/>
  <c r="D805" i="51"/>
  <c r="C805" i="51"/>
  <c r="B805" i="51"/>
  <c r="A805" i="51"/>
  <c r="F804" i="51"/>
  <c r="E804" i="51"/>
  <c r="D804" i="51"/>
  <c r="C804" i="51"/>
  <c r="B804" i="51"/>
  <c r="A804" i="51"/>
  <c r="F803" i="51"/>
  <c r="E803" i="51"/>
  <c r="D803" i="51"/>
  <c r="C803" i="51"/>
  <c r="B803" i="51"/>
  <c r="A803" i="51"/>
  <c r="F802" i="51"/>
  <c r="E802" i="51"/>
  <c r="D802" i="51"/>
  <c r="C802" i="51"/>
  <c r="B802" i="51"/>
  <c r="A802" i="51"/>
  <c r="F801" i="51"/>
  <c r="E801" i="51"/>
  <c r="D801" i="51"/>
  <c r="C801" i="51"/>
  <c r="B801" i="51"/>
  <c r="A801" i="51"/>
  <c r="F800" i="51"/>
  <c r="E800" i="51"/>
  <c r="D800" i="51"/>
  <c r="C800" i="51"/>
  <c r="B800" i="51"/>
  <c r="A800" i="51"/>
  <c r="F799" i="51"/>
  <c r="E799" i="51"/>
  <c r="D799" i="51"/>
  <c r="C799" i="51"/>
  <c r="B799" i="51"/>
  <c r="A799" i="51"/>
  <c r="F798" i="51"/>
  <c r="E798" i="51"/>
  <c r="D798" i="51"/>
  <c r="C798" i="51"/>
  <c r="B798" i="51"/>
  <c r="A798" i="51"/>
  <c r="F797" i="51"/>
  <c r="E797" i="51"/>
  <c r="D797" i="51"/>
  <c r="C797" i="51"/>
  <c r="B797" i="51"/>
  <c r="A797" i="51"/>
  <c r="F796" i="51"/>
  <c r="E796" i="51"/>
  <c r="D796" i="51"/>
  <c r="C796" i="51"/>
  <c r="B796" i="51"/>
  <c r="A796" i="51"/>
  <c r="F794" i="51"/>
  <c r="E794" i="51"/>
  <c r="D794" i="51"/>
  <c r="C794" i="51"/>
  <c r="B794" i="51"/>
  <c r="A794" i="51"/>
  <c r="F793" i="51"/>
  <c r="E793" i="51"/>
  <c r="D793" i="51"/>
  <c r="C793" i="51"/>
  <c r="B793" i="51"/>
  <c r="A793" i="51"/>
  <c r="F792" i="51"/>
  <c r="E792" i="51"/>
  <c r="D792" i="51"/>
  <c r="C792" i="51"/>
  <c r="B792" i="51"/>
  <c r="A792" i="51"/>
  <c r="F791" i="51"/>
  <c r="E791" i="51"/>
  <c r="D791" i="51"/>
  <c r="C791" i="51"/>
  <c r="B791" i="51"/>
  <c r="A791" i="51"/>
  <c r="F790" i="51"/>
  <c r="E790" i="51"/>
  <c r="D790" i="51"/>
  <c r="C790" i="51"/>
  <c r="B790" i="51"/>
  <c r="A790" i="51"/>
  <c r="F789" i="51"/>
  <c r="E789" i="51"/>
  <c r="D789" i="51"/>
  <c r="C789" i="51"/>
  <c r="B789" i="51"/>
  <c r="A789" i="51"/>
  <c r="F788" i="51"/>
  <c r="E788" i="51"/>
  <c r="D788" i="51"/>
  <c r="C788" i="51"/>
  <c r="B788" i="51"/>
  <c r="A788" i="51"/>
  <c r="F787" i="51"/>
  <c r="E787" i="51"/>
  <c r="D787" i="51"/>
  <c r="C787" i="51"/>
  <c r="B787" i="51"/>
  <c r="A787" i="51"/>
  <c r="F786" i="51"/>
  <c r="E786" i="51"/>
  <c r="D786" i="51"/>
  <c r="C786" i="51"/>
  <c r="B786" i="51"/>
  <c r="A786" i="51"/>
  <c r="F785" i="51"/>
  <c r="E785" i="51"/>
  <c r="D785" i="51"/>
  <c r="C785" i="51"/>
  <c r="B785" i="51"/>
  <c r="A785" i="51"/>
  <c r="F784" i="51"/>
  <c r="E784" i="51"/>
  <c r="D784" i="51"/>
  <c r="C784" i="51"/>
  <c r="B784" i="51"/>
  <c r="A784" i="51"/>
  <c r="F783" i="51"/>
  <c r="E783" i="51"/>
  <c r="D783" i="51"/>
  <c r="C783" i="51"/>
  <c r="B783" i="51"/>
  <c r="A783" i="51"/>
  <c r="F782" i="51"/>
  <c r="E782" i="51"/>
  <c r="D782" i="51"/>
  <c r="C782" i="51"/>
  <c r="B782" i="51"/>
  <c r="A782" i="51"/>
  <c r="F781" i="51"/>
  <c r="E781" i="51"/>
  <c r="D781" i="51"/>
  <c r="C781" i="51"/>
  <c r="B781" i="51"/>
  <c r="A781" i="51"/>
  <c r="F780" i="51"/>
  <c r="E780" i="51"/>
  <c r="D780" i="51"/>
  <c r="C780" i="51"/>
  <c r="B780" i="51"/>
  <c r="A780" i="51"/>
  <c r="F779" i="51"/>
  <c r="E779" i="51"/>
  <c r="D779" i="51"/>
  <c r="C779" i="51"/>
  <c r="B779" i="51"/>
  <c r="A779" i="51"/>
  <c r="F778" i="51"/>
  <c r="E778" i="51"/>
  <c r="D778" i="51"/>
  <c r="C778" i="51"/>
  <c r="B778" i="51"/>
  <c r="A778" i="51"/>
  <c r="F777" i="51"/>
  <c r="E777" i="51"/>
  <c r="D777" i="51"/>
  <c r="C777" i="51"/>
  <c r="B777" i="51"/>
  <c r="A777" i="51"/>
  <c r="F776" i="51"/>
  <c r="E776" i="51"/>
  <c r="D776" i="51"/>
  <c r="C776" i="51"/>
  <c r="B776" i="51"/>
  <c r="A776" i="51"/>
  <c r="F775" i="51"/>
  <c r="E775" i="51"/>
  <c r="D775" i="51"/>
  <c r="C775" i="51"/>
  <c r="B775" i="51"/>
  <c r="A775" i="51"/>
  <c r="F774" i="51"/>
  <c r="E774" i="51"/>
  <c r="D774" i="51"/>
  <c r="C774" i="51"/>
  <c r="B774" i="51"/>
  <c r="A774" i="51"/>
  <c r="F773" i="51"/>
  <c r="E773" i="51"/>
  <c r="D773" i="51"/>
  <c r="C773" i="51"/>
  <c r="B773" i="51"/>
  <c r="A773" i="51"/>
  <c r="F772" i="51"/>
  <c r="E772" i="51"/>
  <c r="D772" i="51"/>
  <c r="C772" i="51"/>
  <c r="B772" i="51"/>
  <c r="A772" i="51"/>
  <c r="F771" i="51"/>
  <c r="E771" i="51"/>
  <c r="D771" i="51"/>
  <c r="C771" i="51"/>
  <c r="B771" i="51"/>
  <c r="A771" i="51"/>
  <c r="F770" i="51"/>
  <c r="E770" i="51"/>
  <c r="D770" i="51"/>
  <c r="C770" i="51"/>
  <c r="B770" i="51"/>
  <c r="A770" i="51"/>
  <c r="F769" i="51"/>
  <c r="E769" i="51"/>
  <c r="D769" i="51"/>
  <c r="C769" i="51"/>
  <c r="B769" i="51"/>
  <c r="A769" i="51"/>
  <c r="F768" i="51"/>
  <c r="E768" i="51"/>
  <c r="D768" i="51"/>
  <c r="C768" i="51"/>
  <c r="B768" i="51"/>
  <c r="A768" i="51"/>
  <c r="F767" i="51"/>
  <c r="E767" i="51"/>
  <c r="D767" i="51"/>
  <c r="C767" i="51"/>
  <c r="B767" i="51"/>
  <c r="A767" i="51"/>
  <c r="F766" i="51"/>
  <c r="E766" i="51"/>
  <c r="D766" i="51"/>
  <c r="C766" i="51"/>
  <c r="B766" i="51"/>
  <c r="A766" i="51"/>
  <c r="F765" i="51"/>
  <c r="E765" i="51"/>
  <c r="D765" i="51"/>
  <c r="C765" i="51"/>
  <c r="B765" i="51"/>
  <c r="A765" i="51"/>
  <c r="F764" i="51"/>
  <c r="E764" i="51"/>
  <c r="D764" i="51"/>
  <c r="C764" i="51"/>
  <c r="B764" i="51"/>
  <c r="A764" i="51"/>
  <c r="F763" i="51"/>
  <c r="E763" i="51"/>
  <c r="D763" i="51"/>
  <c r="C763" i="51"/>
  <c r="B763" i="51"/>
  <c r="A763" i="51"/>
  <c r="F762" i="51"/>
  <c r="E762" i="51"/>
  <c r="D762" i="51"/>
  <c r="C762" i="51"/>
  <c r="B762" i="51"/>
  <c r="A762" i="51"/>
  <c r="F761" i="51"/>
  <c r="E761" i="51"/>
  <c r="D761" i="51"/>
  <c r="C761" i="51"/>
  <c r="B761" i="51"/>
  <c r="A761" i="51"/>
  <c r="F760" i="51"/>
  <c r="E760" i="51"/>
  <c r="D760" i="51"/>
  <c r="C760" i="51"/>
  <c r="B760" i="51"/>
  <c r="A760" i="51"/>
  <c r="F759" i="51"/>
  <c r="E759" i="51"/>
  <c r="D759" i="51"/>
  <c r="C759" i="51"/>
  <c r="B759" i="51"/>
  <c r="A759" i="51"/>
  <c r="F758" i="51"/>
  <c r="E758" i="51"/>
  <c r="D758" i="51"/>
  <c r="C758" i="51"/>
  <c r="B758" i="51"/>
  <c r="A758" i="51"/>
  <c r="F757" i="51"/>
  <c r="E757" i="51"/>
  <c r="D757" i="51"/>
  <c r="C757" i="51"/>
  <c r="B757" i="51"/>
  <c r="A757" i="51"/>
  <c r="F756" i="51"/>
  <c r="E756" i="51"/>
  <c r="D756" i="51"/>
  <c r="C756" i="51"/>
  <c r="B756" i="51"/>
  <c r="A756" i="51"/>
  <c r="F755" i="51"/>
  <c r="E755" i="51"/>
  <c r="D755" i="51"/>
  <c r="C755" i="51"/>
  <c r="B755" i="51"/>
  <c r="A755" i="51"/>
  <c r="F754" i="51"/>
  <c r="E754" i="51"/>
  <c r="D754" i="51"/>
  <c r="C754" i="51"/>
  <c r="B754" i="51"/>
  <c r="A754" i="51"/>
  <c r="F753" i="51"/>
  <c r="E753" i="51"/>
  <c r="D753" i="51"/>
  <c r="C753" i="51"/>
  <c r="B753" i="51"/>
  <c r="A753" i="51"/>
  <c r="F752" i="51"/>
  <c r="E752" i="51"/>
  <c r="D752" i="51"/>
  <c r="C752" i="51"/>
  <c r="B752" i="51"/>
  <c r="A752" i="51"/>
  <c r="F751" i="51"/>
  <c r="E751" i="51"/>
  <c r="D751" i="51"/>
  <c r="C751" i="51"/>
  <c r="B751" i="51"/>
  <c r="A751" i="51"/>
  <c r="F750" i="51"/>
  <c r="E750" i="51"/>
  <c r="D750" i="51"/>
  <c r="C750" i="51"/>
  <c r="B750" i="51"/>
  <c r="A750" i="51"/>
  <c r="F749" i="51"/>
  <c r="E749" i="51"/>
  <c r="D749" i="51"/>
  <c r="C749" i="51"/>
  <c r="B749" i="51"/>
  <c r="A749" i="51"/>
  <c r="F748" i="51"/>
  <c r="E748" i="51"/>
  <c r="D748" i="51"/>
  <c r="C748" i="51"/>
  <c r="B748" i="51"/>
  <c r="A748" i="51"/>
  <c r="F747" i="51"/>
  <c r="E747" i="51"/>
  <c r="D747" i="51"/>
  <c r="C747" i="51"/>
  <c r="B747" i="51"/>
  <c r="A747" i="51"/>
  <c r="F746" i="51"/>
  <c r="E746" i="51"/>
  <c r="D746" i="51"/>
  <c r="C746" i="51"/>
  <c r="B746" i="51"/>
  <c r="A746" i="51"/>
  <c r="F745" i="51"/>
  <c r="E745" i="51"/>
  <c r="D745" i="51"/>
  <c r="C745" i="51"/>
  <c r="B745" i="51"/>
  <c r="A745" i="51"/>
  <c r="F744" i="51"/>
  <c r="E744" i="51"/>
  <c r="D744" i="51"/>
  <c r="C744" i="51"/>
  <c r="B744" i="51"/>
  <c r="A744" i="51"/>
  <c r="F743" i="51"/>
  <c r="E743" i="51"/>
  <c r="D743" i="51"/>
  <c r="C743" i="51"/>
  <c r="B743" i="51"/>
  <c r="A743" i="51"/>
  <c r="F742" i="51"/>
  <c r="E742" i="51"/>
  <c r="D742" i="51"/>
  <c r="C742" i="51"/>
  <c r="B742" i="51"/>
  <c r="A742" i="51"/>
  <c r="F741" i="51"/>
  <c r="E741" i="51"/>
  <c r="D741" i="51"/>
  <c r="C741" i="51"/>
  <c r="B741" i="51"/>
  <c r="A741" i="51"/>
  <c r="F740" i="51"/>
  <c r="E740" i="51"/>
  <c r="D740" i="51"/>
  <c r="C740" i="51"/>
  <c r="B740" i="51"/>
  <c r="A740" i="51"/>
  <c r="F739" i="51"/>
  <c r="E739" i="51"/>
  <c r="D739" i="51"/>
  <c r="C739" i="51"/>
  <c r="B739" i="51"/>
  <c r="A739" i="51"/>
  <c r="F738" i="51"/>
  <c r="E738" i="51"/>
  <c r="D738" i="51"/>
  <c r="C738" i="51"/>
  <c r="B738" i="51"/>
  <c r="A738" i="51"/>
  <c r="F737" i="51"/>
  <c r="E737" i="51"/>
  <c r="D737" i="51"/>
  <c r="C737" i="51"/>
  <c r="B737" i="51"/>
  <c r="A737" i="51"/>
  <c r="F736" i="51"/>
  <c r="E736" i="51"/>
  <c r="D736" i="51"/>
  <c r="C736" i="51"/>
  <c r="B736" i="51"/>
  <c r="A736" i="51"/>
  <c r="F735" i="51"/>
  <c r="E735" i="51"/>
  <c r="D735" i="51"/>
  <c r="C735" i="51"/>
  <c r="B735" i="51"/>
  <c r="A735" i="51"/>
  <c r="F733" i="51"/>
  <c r="E733" i="51"/>
  <c r="D733" i="51"/>
  <c r="C733" i="51"/>
  <c r="B733" i="51"/>
  <c r="A733" i="51"/>
  <c r="F732" i="51"/>
  <c r="E732" i="51"/>
  <c r="D732" i="51"/>
  <c r="C732" i="51"/>
  <c r="B732" i="51"/>
  <c r="A732" i="51"/>
  <c r="F731" i="51"/>
  <c r="E731" i="51"/>
  <c r="D731" i="51"/>
  <c r="C731" i="51"/>
  <c r="B731" i="51"/>
  <c r="A731" i="51"/>
  <c r="F730" i="51"/>
  <c r="E730" i="51"/>
  <c r="D730" i="51"/>
  <c r="C730" i="51"/>
  <c r="B730" i="51"/>
  <c r="A730" i="51"/>
  <c r="F729" i="51"/>
  <c r="E729" i="51"/>
  <c r="D729" i="51"/>
  <c r="C729" i="51"/>
  <c r="B729" i="51"/>
  <c r="A729" i="51"/>
  <c r="F728" i="51"/>
  <c r="E728" i="51"/>
  <c r="D728" i="51"/>
  <c r="C728" i="51"/>
  <c r="B728" i="51"/>
  <c r="A728" i="51"/>
  <c r="F727" i="51"/>
  <c r="E727" i="51"/>
  <c r="D727" i="51"/>
  <c r="C727" i="51"/>
  <c r="B727" i="51"/>
  <c r="A727" i="51"/>
  <c r="F726" i="51"/>
  <c r="E726" i="51"/>
  <c r="D726" i="51"/>
  <c r="C726" i="51"/>
  <c r="B726" i="51"/>
  <c r="A726" i="51"/>
  <c r="F725" i="51"/>
  <c r="E725" i="51"/>
  <c r="D725" i="51"/>
  <c r="C725" i="51"/>
  <c r="B725" i="51"/>
  <c r="A725" i="51"/>
  <c r="F724" i="51"/>
  <c r="E724" i="51"/>
  <c r="D724" i="51"/>
  <c r="C724" i="51"/>
  <c r="B724" i="51"/>
  <c r="A724" i="51"/>
  <c r="F723" i="51"/>
  <c r="E723" i="51"/>
  <c r="D723" i="51"/>
  <c r="C723" i="51"/>
  <c r="B723" i="51"/>
  <c r="A723" i="51"/>
  <c r="F722" i="51"/>
  <c r="E722" i="51"/>
  <c r="D722" i="51"/>
  <c r="C722" i="51"/>
  <c r="B722" i="51"/>
  <c r="A722" i="51"/>
  <c r="F721" i="51"/>
  <c r="E721" i="51"/>
  <c r="D721" i="51"/>
  <c r="C721" i="51"/>
  <c r="B721" i="51"/>
  <c r="A721" i="51"/>
  <c r="F720" i="51"/>
  <c r="E720" i="51"/>
  <c r="D720" i="51"/>
  <c r="C720" i="51"/>
  <c r="B720" i="51"/>
  <c r="A720" i="51"/>
  <c r="F719" i="51"/>
  <c r="E719" i="51"/>
  <c r="D719" i="51"/>
  <c r="C719" i="51"/>
  <c r="B719" i="51"/>
  <c r="A719" i="51"/>
  <c r="F718" i="51"/>
  <c r="E718" i="51"/>
  <c r="D718" i="51"/>
  <c r="C718" i="51"/>
  <c r="B718" i="51"/>
  <c r="A718" i="51"/>
  <c r="F717" i="51"/>
  <c r="E717" i="51"/>
  <c r="D717" i="51"/>
  <c r="C717" i="51"/>
  <c r="B717" i="51"/>
  <c r="A717" i="51"/>
  <c r="F716" i="51"/>
  <c r="E716" i="51"/>
  <c r="D716" i="51"/>
  <c r="C716" i="51"/>
  <c r="B716" i="51"/>
  <c r="A716" i="51"/>
  <c r="F715" i="51"/>
  <c r="E715" i="51"/>
  <c r="D715" i="51"/>
  <c r="C715" i="51"/>
  <c r="B715" i="51"/>
  <c r="A715" i="51"/>
  <c r="F714" i="51"/>
  <c r="E714" i="51"/>
  <c r="D714" i="51"/>
  <c r="C714" i="51"/>
  <c r="B714" i="51"/>
  <c r="A714" i="51"/>
  <c r="F713" i="51"/>
  <c r="E713" i="51"/>
  <c r="D713" i="51"/>
  <c r="C713" i="51"/>
  <c r="B713" i="51"/>
  <c r="A713" i="51"/>
  <c r="F712" i="51"/>
  <c r="E712" i="51"/>
  <c r="D712" i="51"/>
  <c r="C712" i="51"/>
  <c r="B712" i="51"/>
  <c r="A712" i="51"/>
  <c r="F711" i="51"/>
  <c r="E711" i="51"/>
  <c r="D711" i="51"/>
  <c r="C711" i="51"/>
  <c r="B711" i="51"/>
  <c r="A711" i="51"/>
  <c r="F710" i="51"/>
  <c r="E710" i="51"/>
  <c r="D710" i="51"/>
  <c r="C710" i="51"/>
  <c r="B710" i="51"/>
  <c r="A710" i="51"/>
  <c r="F709" i="51"/>
  <c r="E709" i="51"/>
  <c r="D709" i="51"/>
  <c r="C709" i="51"/>
  <c r="B709" i="51"/>
  <c r="A709" i="51"/>
  <c r="F708" i="51"/>
  <c r="E708" i="51"/>
  <c r="D708" i="51"/>
  <c r="C708" i="51"/>
  <c r="B708" i="51"/>
  <c r="A708" i="51"/>
  <c r="F707" i="51"/>
  <c r="E707" i="51"/>
  <c r="D707" i="51"/>
  <c r="C707" i="51"/>
  <c r="B707" i="51"/>
  <c r="A707" i="51"/>
  <c r="F706" i="51"/>
  <c r="E706" i="51"/>
  <c r="D706" i="51"/>
  <c r="C706" i="51"/>
  <c r="B706" i="51"/>
  <c r="A706" i="51"/>
  <c r="F705" i="51"/>
  <c r="E705" i="51"/>
  <c r="D705" i="51"/>
  <c r="C705" i="51"/>
  <c r="B705" i="51"/>
  <c r="A705" i="51"/>
  <c r="F704" i="51"/>
  <c r="E704" i="51"/>
  <c r="D704" i="51"/>
  <c r="C704" i="51"/>
  <c r="B704" i="51"/>
  <c r="A704" i="51"/>
  <c r="F703" i="51"/>
  <c r="E703" i="51"/>
  <c r="D703" i="51"/>
  <c r="C703" i="51"/>
  <c r="B703" i="51"/>
  <c r="A703" i="51"/>
  <c r="F702" i="51"/>
  <c r="E702" i="51"/>
  <c r="D702" i="51"/>
  <c r="C702" i="51"/>
  <c r="B702" i="51"/>
  <c r="A702" i="51"/>
  <c r="F701" i="51"/>
  <c r="E701" i="51"/>
  <c r="D701" i="51"/>
  <c r="C701" i="51"/>
  <c r="B701" i="51"/>
  <c r="A701" i="51"/>
  <c r="F700" i="51"/>
  <c r="E700" i="51"/>
  <c r="D700" i="51"/>
  <c r="C700" i="51"/>
  <c r="B700" i="51"/>
  <c r="A700" i="51"/>
  <c r="F699" i="51"/>
  <c r="E699" i="51"/>
  <c r="D699" i="51"/>
  <c r="C699" i="51"/>
  <c r="B699" i="51"/>
  <c r="A699" i="51"/>
  <c r="F698" i="51"/>
  <c r="E698" i="51"/>
  <c r="D698" i="51"/>
  <c r="C698" i="51"/>
  <c r="B698" i="51"/>
  <c r="A698" i="51"/>
  <c r="F697" i="51"/>
  <c r="E697" i="51"/>
  <c r="D697" i="51"/>
  <c r="C697" i="51"/>
  <c r="B697" i="51"/>
  <c r="A697" i="51"/>
  <c r="F696" i="51"/>
  <c r="E696" i="51"/>
  <c r="D696" i="51"/>
  <c r="C696" i="51"/>
  <c r="B696" i="51"/>
  <c r="A696" i="51"/>
  <c r="F695" i="51"/>
  <c r="E695" i="51"/>
  <c r="D695" i="51"/>
  <c r="C695" i="51"/>
  <c r="B695" i="51"/>
  <c r="A695" i="51"/>
  <c r="F694" i="51"/>
  <c r="E694" i="51"/>
  <c r="D694" i="51"/>
  <c r="C694" i="51"/>
  <c r="B694" i="51"/>
  <c r="A694" i="51"/>
  <c r="F693" i="51"/>
  <c r="E693" i="51"/>
  <c r="D693" i="51"/>
  <c r="C693" i="51"/>
  <c r="B693" i="51"/>
  <c r="A693" i="51"/>
  <c r="F692" i="51"/>
  <c r="E692" i="51"/>
  <c r="D692" i="51"/>
  <c r="C692" i="51"/>
  <c r="B692" i="51"/>
  <c r="A692" i="51"/>
  <c r="F691" i="51"/>
  <c r="E691" i="51"/>
  <c r="D691" i="51"/>
  <c r="C691" i="51"/>
  <c r="B691" i="51"/>
  <c r="A691" i="51"/>
  <c r="F690" i="51"/>
  <c r="E690" i="51"/>
  <c r="D690" i="51"/>
  <c r="C690" i="51"/>
  <c r="B690" i="51"/>
  <c r="A690" i="51"/>
  <c r="F689" i="51"/>
  <c r="E689" i="51"/>
  <c r="D689" i="51"/>
  <c r="C689" i="51"/>
  <c r="B689" i="51"/>
  <c r="A689" i="51"/>
  <c r="F688" i="51"/>
  <c r="E688" i="51"/>
  <c r="D688" i="51"/>
  <c r="C688" i="51"/>
  <c r="B688" i="51"/>
  <c r="A688" i="51"/>
  <c r="F687" i="51"/>
  <c r="E687" i="51"/>
  <c r="D687" i="51"/>
  <c r="C687" i="51"/>
  <c r="B687" i="51"/>
  <c r="A687" i="51"/>
  <c r="F686" i="51"/>
  <c r="E686" i="51"/>
  <c r="D686" i="51"/>
  <c r="C686" i="51"/>
  <c r="B686" i="51"/>
  <c r="A686" i="51"/>
  <c r="F685" i="51"/>
  <c r="E685" i="51"/>
  <c r="D685" i="51"/>
  <c r="C685" i="51"/>
  <c r="B685" i="51"/>
  <c r="A685" i="51"/>
  <c r="F684" i="51"/>
  <c r="E684" i="51"/>
  <c r="D684" i="51"/>
  <c r="C684" i="51"/>
  <c r="B684" i="51"/>
  <c r="A684" i="51"/>
  <c r="F683" i="51"/>
  <c r="E683" i="51"/>
  <c r="D683" i="51"/>
  <c r="C683" i="51"/>
  <c r="B683" i="51"/>
  <c r="A683" i="51"/>
  <c r="F682" i="51"/>
  <c r="E682" i="51"/>
  <c r="D682" i="51"/>
  <c r="C682" i="51"/>
  <c r="B682" i="51"/>
  <c r="A682" i="51"/>
  <c r="F681" i="51"/>
  <c r="E681" i="51"/>
  <c r="D681" i="51"/>
  <c r="C681" i="51"/>
  <c r="B681" i="51"/>
  <c r="A681" i="51"/>
  <c r="F680" i="51"/>
  <c r="E680" i="51"/>
  <c r="D680" i="51"/>
  <c r="C680" i="51"/>
  <c r="B680" i="51"/>
  <c r="A680" i="51"/>
  <c r="F679" i="51"/>
  <c r="E679" i="51"/>
  <c r="D679" i="51"/>
  <c r="C679" i="51"/>
  <c r="B679" i="51"/>
  <c r="A679" i="51"/>
  <c r="F678" i="51"/>
  <c r="E678" i="51"/>
  <c r="D678" i="51"/>
  <c r="C678" i="51"/>
  <c r="B678" i="51"/>
  <c r="A678" i="51"/>
  <c r="F677" i="51"/>
  <c r="E677" i="51"/>
  <c r="D677" i="51"/>
  <c r="C677" i="51"/>
  <c r="B677" i="51"/>
  <c r="A677" i="51"/>
  <c r="F676" i="51"/>
  <c r="E676" i="51"/>
  <c r="D676" i="51"/>
  <c r="C676" i="51"/>
  <c r="B676" i="51"/>
  <c r="A676" i="51"/>
  <c r="F675" i="51"/>
  <c r="E675" i="51"/>
  <c r="D675" i="51"/>
  <c r="C675" i="51"/>
  <c r="B675" i="51"/>
  <c r="A675" i="51"/>
  <c r="F674" i="51"/>
  <c r="E674" i="51"/>
  <c r="D674" i="51"/>
  <c r="C674" i="51"/>
  <c r="B674" i="51"/>
  <c r="A674" i="51"/>
  <c r="F672" i="51"/>
  <c r="E672" i="51"/>
  <c r="D672" i="51"/>
  <c r="C672" i="51"/>
  <c r="B672" i="51"/>
  <c r="A672" i="51"/>
  <c r="F671" i="51"/>
  <c r="E671" i="51"/>
  <c r="D671" i="51"/>
  <c r="C671" i="51"/>
  <c r="B671" i="51"/>
  <c r="A671" i="51"/>
  <c r="F670" i="51"/>
  <c r="E670" i="51"/>
  <c r="D670" i="51"/>
  <c r="C670" i="51"/>
  <c r="B670" i="51"/>
  <c r="A670" i="51"/>
  <c r="F669" i="51"/>
  <c r="E669" i="51"/>
  <c r="D669" i="51"/>
  <c r="C669" i="51"/>
  <c r="B669" i="51"/>
  <c r="A669" i="51"/>
  <c r="F668" i="51"/>
  <c r="E668" i="51"/>
  <c r="D668" i="51"/>
  <c r="C668" i="51"/>
  <c r="B668" i="51"/>
  <c r="A668" i="51"/>
  <c r="F667" i="51"/>
  <c r="E667" i="51"/>
  <c r="D667" i="51"/>
  <c r="C667" i="51"/>
  <c r="B667" i="51"/>
  <c r="A667" i="51"/>
  <c r="F666" i="51"/>
  <c r="E666" i="51"/>
  <c r="D666" i="51"/>
  <c r="C666" i="51"/>
  <c r="B666" i="51"/>
  <c r="A666" i="51"/>
  <c r="F665" i="51"/>
  <c r="E665" i="51"/>
  <c r="D665" i="51"/>
  <c r="C665" i="51"/>
  <c r="B665" i="51"/>
  <c r="A665" i="51"/>
  <c r="F664" i="51"/>
  <c r="E664" i="51"/>
  <c r="D664" i="51"/>
  <c r="C664" i="51"/>
  <c r="B664" i="51"/>
  <c r="A664" i="51"/>
  <c r="F663" i="51"/>
  <c r="E663" i="51"/>
  <c r="D663" i="51"/>
  <c r="C663" i="51"/>
  <c r="B663" i="51"/>
  <c r="A663" i="51"/>
  <c r="F662" i="51"/>
  <c r="E662" i="51"/>
  <c r="D662" i="51"/>
  <c r="C662" i="51"/>
  <c r="B662" i="51"/>
  <c r="A662" i="51"/>
  <c r="F661" i="51"/>
  <c r="E661" i="51"/>
  <c r="D661" i="51"/>
  <c r="C661" i="51"/>
  <c r="B661" i="51"/>
  <c r="A661" i="51"/>
  <c r="F660" i="51"/>
  <c r="E660" i="51"/>
  <c r="D660" i="51"/>
  <c r="C660" i="51"/>
  <c r="B660" i="51"/>
  <c r="A660" i="51"/>
  <c r="F659" i="51"/>
  <c r="E659" i="51"/>
  <c r="D659" i="51"/>
  <c r="C659" i="51"/>
  <c r="B659" i="51"/>
  <c r="A659" i="51"/>
  <c r="F658" i="51"/>
  <c r="E658" i="51"/>
  <c r="D658" i="51"/>
  <c r="C658" i="51"/>
  <c r="B658" i="51"/>
  <c r="A658" i="51"/>
  <c r="F657" i="51"/>
  <c r="E657" i="51"/>
  <c r="D657" i="51"/>
  <c r="C657" i="51"/>
  <c r="B657" i="51"/>
  <c r="A657" i="51"/>
  <c r="F656" i="51"/>
  <c r="E656" i="51"/>
  <c r="D656" i="51"/>
  <c r="C656" i="51"/>
  <c r="B656" i="51"/>
  <c r="A656" i="51"/>
  <c r="F655" i="51"/>
  <c r="E655" i="51"/>
  <c r="D655" i="51"/>
  <c r="C655" i="51"/>
  <c r="B655" i="51"/>
  <c r="A655" i="51"/>
  <c r="F654" i="51"/>
  <c r="E654" i="51"/>
  <c r="D654" i="51"/>
  <c r="C654" i="51"/>
  <c r="B654" i="51"/>
  <c r="A654" i="51"/>
  <c r="F653" i="51"/>
  <c r="E653" i="51"/>
  <c r="D653" i="51"/>
  <c r="C653" i="51"/>
  <c r="B653" i="51"/>
  <c r="A653" i="51"/>
  <c r="F652" i="51"/>
  <c r="E652" i="51"/>
  <c r="D652" i="51"/>
  <c r="C652" i="51"/>
  <c r="B652" i="51"/>
  <c r="A652" i="51"/>
  <c r="F651" i="51"/>
  <c r="E651" i="51"/>
  <c r="D651" i="51"/>
  <c r="C651" i="51"/>
  <c r="B651" i="51"/>
  <c r="A651" i="51"/>
  <c r="F650" i="51"/>
  <c r="E650" i="51"/>
  <c r="D650" i="51"/>
  <c r="C650" i="51"/>
  <c r="B650" i="51"/>
  <c r="A650" i="51"/>
  <c r="F649" i="51"/>
  <c r="E649" i="51"/>
  <c r="D649" i="51"/>
  <c r="C649" i="51"/>
  <c r="B649" i="51"/>
  <c r="A649" i="51"/>
  <c r="F648" i="51"/>
  <c r="E648" i="51"/>
  <c r="D648" i="51"/>
  <c r="C648" i="51"/>
  <c r="B648" i="51"/>
  <c r="A648" i="51"/>
  <c r="F647" i="51"/>
  <c r="E647" i="51"/>
  <c r="D647" i="51"/>
  <c r="C647" i="51"/>
  <c r="B647" i="51"/>
  <c r="A647" i="51"/>
  <c r="F646" i="51"/>
  <c r="E646" i="51"/>
  <c r="D646" i="51"/>
  <c r="C646" i="51"/>
  <c r="B646" i="51"/>
  <c r="A646" i="51"/>
  <c r="F645" i="51"/>
  <c r="E645" i="51"/>
  <c r="D645" i="51"/>
  <c r="C645" i="51"/>
  <c r="B645" i="51"/>
  <c r="A645" i="51"/>
  <c r="F644" i="51"/>
  <c r="E644" i="51"/>
  <c r="D644" i="51"/>
  <c r="C644" i="51"/>
  <c r="B644" i="51"/>
  <c r="A644" i="51"/>
  <c r="F643" i="51"/>
  <c r="E643" i="51"/>
  <c r="D643" i="51"/>
  <c r="C643" i="51"/>
  <c r="B643" i="51"/>
  <c r="A643" i="51"/>
  <c r="F642" i="51"/>
  <c r="E642" i="51"/>
  <c r="D642" i="51"/>
  <c r="C642" i="51"/>
  <c r="B642" i="51"/>
  <c r="A642" i="51"/>
  <c r="F641" i="51"/>
  <c r="E641" i="51"/>
  <c r="D641" i="51"/>
  <c r="C641" i="51"/>
  <c r="B641" i="51"/>
  <c r="A641" i="51"/>
  <c r="F640" i="51"/>
  <c r="E640" i="51"/>
  <c r="D640" i="51"/>
  <c r="C640" i="51"/>
  <c r="B640" i="51"/>
  <c r="A640" i="51"/>
  <c r="F639" i="51"/>
  <c r="E639" i="51"/>
  <c r="D639" i="51"/>
  <c r="C639" i="51"/>
  <c r="B639" i="51"/>
  <c r="A639" i="51"/>
  <c r="F638" i="51"/>
  <c r="E638" i="51"/>
  <c r="D638" i="51"/>
  <c r="C638" i="51"/>
  <c r="B638" i="51"/>
  <c r="A638" i="51"/>
  <c r="F637" i="51"/>
  <c r="E637" i="51"/>
  <c r="D637" i="51"/>
  <c r="C637" i="51"/>
  <c r="B637" i="51"/>
  <c r="A637" i="51"/>
  <c r="F636" i="51"/>
  <c r="E636" i="51"/>
  <c r="D636" i="51"/>
  <c r="C636" i="51"/>
  <c r="B636" i="51"/>
  <c r="A636" i="51"/>
  <c r="F635" i="51"/>
  <c r="E635" i="51"/>
  <c r="D635" i="51"/>
  <c r="C635" i="51"/>
  <c r="B635" i="51"/>
  <c r="A635" i="51"/>
  <c r="F634" i="51"/>
  <c r="E634" i="51"/>
  <c r="D634" i="51"/>
  <c r="C634" i="51"/>
  <c r="B634" i="51"/>
  <c r="A634" i="51"/>
  <c r="F633" i="51"/>
  <c r="E633" i="51"/>
  <c r="D633" i="51"/>
  <c r="C633" i="51"/>
  <c r="B633" i="51"/>
  <c r="A633" i="51"/>
  <c r="F632" i="51"/>
  <c r="E632" i="51"/>
  <c r="D632" i="51"/>
  <c r="C632" i="51"/>
  <c r="B632" i="51"/>
  <c r="A632" i="51"/>
  <c r="F631" i="51"/>
  <c r="E631" i="51"/>
  <c r="D631" i="51"/>
  <c r="C631" i="51"/>
  <c r="B631" i="51"/>
  <c r="A631" i="51"/>
  <c r="F630" i="51"/>
  <c r="E630" i="51"/>
  <c r="D630" i="51"/>
  <c r="C630" i="51"/>
  <c r="B630" i="51"/>
  <c r="A630" i="51"/>
  <c r="F629" i="51"/>
  <c r="E629" i="51"/>
  <c r="D629" i="51"/>
  <c r="C629" i="51"/>
  <c r="B629" i="51"/>
  <c r="A629" i="51"/>
  <c r="F628" i="51"/>
  <c r="E628" i="51"/>
  <c r="D628" i="51"/>
  <c r="C628" i="51"/>
  <c r="B628" i="51"/>
  <c r="A628" i="51"/>
  <c r="F627" i="51"/>
  <c r="E627" i="51"/>
  <c r="D627" i="51"/>
  <c r="C627" i="51"/>
  <c r="B627" i="51"/>
  <c r="A627" i="51"/>
  <c r="F626" i="51"/>
  <c r="E626" i="51"/>
  <c r="D626" i="51"/>
  <c r="C626" i="51"/>
  <c r="B626" i="51"/>
  <c r="A626" i="51"/>
  <c r="F625" i="51"/>
  <c r="E625" i="51"/>
  <c r="D625" i="51"/>
  <c r="C625" i="51"/>
  <c r="B625" i="51"/>
  <c r="A625" i="51"/>
  <c r="F624" i="51"/>
  <c r="E624" i="51"/>
  <c r="D624" i="51"/>
  <c r="C624" i="51"/>
  <c r="B624" i="51"/>
  <c r="A624" i="51"/>
  <c r="F623" i="51"/>
  <c r="E623" i="51"/>
  <c r="D623" i="51"/>
  <c r="C623" i="51"/>
  <c r="B623" i="51"/>
  <c r="A623" i="51"/>
  <c r="F622" i="51"/>
  <c r="E622" i="51"/>
  <c r="D622" i="51"/>
  <c r="C622" i="51"/>
  <c r="B622" i="51"/>
  <c r="A622" i="51"/>
  <c r="F621" i="51"/>
  <c r="E621" i="51"/>
  <c r="D621" i="51"/>
  <c r="C621" i="51"/>
  <c r="B621" i="51"/>
  <c r="A621" i="51"/>
  <c r="F620" i="51"/>
  <c r="E620" i="51"/>
  <c r="D620" i="51"/>
  <c r="C620" i="51"/>
  <c r="B620" i="51"/>
  <c r="A620" i="51"/>
  <c r="F619" i="51"/>
  <c r="E619" i="51"/>
  <c r="D619" i="51"/>
  <c r="C619" i="51"/>
  <c r="B619" i="51"/>
  <c r="A619" i="51"/>
  <c r="F618" i="51"/>
  <c r="E618" i="51"/>
  <c r="D618" i="51"/>
  <c r="C618" i="51"/>
  <c r="B618" i="51"/>
  <c r="A618" i="51"/>
  <c r="F617" i="51"/>
  <c r="E617" i="51"/>
  <c r="D617" i="51"/>
  <c r="C617" i="51"/>
  <c r="B617" i="51"/>
  <c r="A617" i="51"/>
  <c r="F616" i="51"/>
  <c r="E616" i="51"/>
  <c r="D616" i="51"/>
  <c r="C616" i="51"/>
  <c r="B616" i="51"/>
  <c r="A616" i="51"/>
  <c r="F615" i="51"/>
  <c r="E615" i="51"/>
  <c r="D615" i="51"/>
  <c r="C615" i="51"/>
  <c r="B615" i="51"/>
  <c r="A615" i="51"/>
  <c r="F614" i="51"/>
  <c r="E614" i="51"/>
  <c r="D614" i="51"/>
  <c r="C614" i="51"/>
  <c r="B614" i="51"/>
  <c r="A614" i="51"/>
  <c r="F613" i="51"/>
  <c r="E613" i="51"/>
  <c r="D613" i="51"/>
  <c r="C613" i="51"/>
  <c r="B613" i="51"/>
  <c r="A613" i="51"/>
  <c r="F611" i="51"/>
  <c r="E611" i="51"/>
  <c r="D611" i="51"/>
  <c r="C611" i="51"/>
  <c r="B611" i="51"/>
  <c r="A611" i="51"/>
  <c r="F610" i="51"/>
  <c r="E610" i="51"/>
  <c r="D610" i="51"/>
  <c r="C610" i="51"/>
  <c r="B610" i="51"/>
  <c r="A610" i="51"/>
  <c r="F609" i="51"/>
  <c r="E609" i="51"/>
  <c r="D609" i="51"/>
  <c r="C609" i="51"/>
  <c r="B609" i="51"/>
  <c r="A609" i="51"/>
  <c r="F608" i="51"/>
  <c r="E608" i="51"/>
  <c r="D608" i="51"/>
  <c r="C608" i="51"/>
  <c r="B608" i="51"/>
  <c r="A608" i="51"/>
  <c r="F607" i="51"/>
  <c r="E607" i="51"/>
  <c r="D607" i="51"/>
  <c r="C607" i="51"/>
  <c r="B607" i="51"/>
  <c r="A607" i="51"/>
  <c r="F606" i="51"/>
  <c r="E606" i="51"/>
  <c r="D606" i="51"/>
  <c r="C606" i="51"/>
  <c r="B606" i="51"/>
  <c r="A606" i="51"/>
  <c r="F605" i="51"/>
  <c r="E605" i="51"/>
  <c r="D605" i="51"/>
  <c r="C605" i="51"/>
  <c r="B605" i="51"/>
  <c r="A605" i="51"/>
  <c r="F604" i="51"/>
  <c r="E604" i="51"/>
  <c r="D604" i="51"/>
  <c r="C604" i="51"/>
  <c r="B604" i="51"/>
  <c r="A604" i="51"/>
  <c r="F603" i="51"/>
  <c r="E603" i="51"/>
  <c r="D603" i="51"/>
  <c r="C603" i="51"/>
  <c r="B603" i="51"/>
  <c r="A603" i="51"/>
  <c r="F602" i="51"/>
  <c r="E602" i="51"/>
  <c r="D602" i="51"/>
  <c r="C602" i="51"/>
  <c r="B602" i="51"/>
  <c r="A602" i="51"/>
  <c r="F601" i="51"/>
  <c r="E601" i="51"/>
  <c r="D601" i="51"/>
  <c r="C601" i="51"/>
  <c r="B601" i="51"/>
  <c r="A601" i="51"/>
  <c r="F600" i="51"/>
  <c r="E600" i="51"/>
  <c r="D600" i="51"/>
  <c r="C600" i="51"/>
  <c r="B600" i="51"/>
  <c r="A600" i="51"/>
  <c r="F599" i="51"/>
  <c r="E599" i="51"/>
  <c r="D599" i="51"/>
  <c r="C599" i="51"/>
  <c r="B599" i="51"/>
  <c r="A599" i="51"/>
  <c r="F598" i="51"/>
  <c r="E598" i="51"/>
  <c r="D598" i="51"/>
  <c r="C598" i="51"/>
  <c r="B598" i="51"/>
  <c r="A598" i="51"/>
  <c r="F597" i="51"/>
  <c r="E597" i="51"/>
  <c r="D597" i="51"/>
  <c r="C597" i="51"/>
  <c r="B597" i="51"/>
  <c r="A597" i="51"/>
  <c r="F596" i="51"/>
  <c r="E596" i="51"/>
  <c r="D596" i="51"/>
  <c r="C596" i="51"/>
  <c r="B596" i="51"/>
  <c r="A596" i="51"/>
  <c r="F595" i="51"/>
  <c r="E595" i="51"/>
  <c r="D595" i="51"/>
  <c r="C595" i="51"/>
  <c r="B595" i="51"/>
  <c r="A595" i="51"/>
  <c r="F594" i="51"/>
  <c r="E594" i="51"/>
  <c r="D594" i="51"/>
  <c r="C594" i="51"/>
  <c r="B594" i="51"/>
  <c r="A594" i="51"/>
  <c r="F593" i="51"/>
  <c r="E593" i="51"/>
  <c r="D593" i="51"/>
  <c r="C593" i="51"/>
  <c r="B593" i="51"/>
  <c r="A593" i="51"/>
  <c r="F592" i="51"/>
  <c r="E592" i="51"/>
  <c r="D592" i="51"/>
  <c r="C592" i="51"/>
  <c r="B592" i="51"/>
  <c r="A592" i="51"/>
  <c r="F591" i="51"/>
  <c r="E591" i="51"/>
  <c r="D591" i="51"/>
  <c r="C591" i="51"/>
  <c r="B591" i="51"/>
  <c r="A591" i="51"/>
  <c r="F590" i="51"/>
  <c r="E590" i="51"/>
  <c r="D590" i="51"/>
  <c r="C590" i="51"/>
  <c r="B590" i="51"/>
  <c r="A590" i="51"/>
  <c r="F589" i="51"/>
  <c r="E589" i="51"/>
  <c r="D589" i="51"/>
  <c r="C589" i="51"/>
  <c r="B589" i="51"/>
  <c r="A589" i="51"/>
  <c r="F588" i="51"/>
  <c r="E588" i="51"/>
  <c r="D588" i="51"/>
  <c r="C588" i="51"/>
  <c r="B588" i="51"/>
  <c r="A588" i="51"/>
  <c r="F587" i="51"/>
  <c r="E587" i="51"/>
  <c r="D587" i="51"/>
  <c r="C587" i="51"/>
  <c r="B587" i="51"/>
  <c r="A587" i="51"/>
  <c r="F586" i="51"/>
  <c r="E586" i="51"/>
  <c r="D586" i="51"/>
  <c r="C586" i="51"/>
  <c r="B586" i="51"/>
  <c r="A586" i="51"/>
  <c r="F585" i="51"/>
  <c r="E585" i="51"/>
  <c r="D585" i="51"/>
  <c r="C585" i="51"/>
  <c r="B585" i="51"/>
  <c r="A585" i="51"/>
  <c r="F584" i="51"/>
  <c r="E584" i="51"/>
  <c r="D584" i="51"/>
  <c r="C584" i="51"/>
  <c r="B584" i="51"/>
  <c r="A584" i="51"/>
  <c r="F583" i="51"/>
  <c r="E583" i="51"/>
  <c r="D583" i="51"/>
  <c r="C583" i="51"/>
  <c r="B583" i="51"/>
  <c r="A583" i="51"/>
  <c r="F582" i="51"/>
  <c r="E582" i="51"/>
  <c r="D582" i="51"/>
  <c r="C582" i="51"/>
  <c r="B582" i="51"/>
  <c r="A582" i="51"/>
  <c r="F581" i="51"/>
  <c r="E581" i="51"/>
  <c r="D581" i="51"/>
  <c r="C581" i="51"/>
  <c r="B581" i="51"/>
  <c r="A581" i="51"/>
  <c r="F580" i="51"/>
  <c r="E580" i="51"/>
  <c r="D580" i="51"/>
  <c r="C580" i="51"/>
  <c r="B580" i="51"/>
  <c r="A580" i="51"/>
  <c r="F579" i="51"/>
  <c r="E579" i="51"/>
  <c r="D579" i="51"/>
  <c r="C579" i="51"/>
  <c r="B579" i="51"/>
  <c r="A579" i="51"/>
  <c r="F578" i="51"/>
  <c r="E578" i="51"/>
  <c r="D578" i="51"/>
  <c r="C578" i="51"/>
  <c r="B578" i="51"/>
  <c r="A578" i="51"/>
  <c r="F577" i="51"/>
  <c r="E577" i="51"/>
  <c r="D577" i="51"/>
  <c r="C577" i="51"/>
  <c r="B577" i="51"/>
  <c r="A577" i="51"/>
  <c r="F576" i="51"/>
  <c r="E576" i="51"/>
  <c r="D576" i="51"/>
  <c r="C576" i="51"/>
  <c r="B576" i="51"/>
  <c r="A576" i="51"/>
  <c r="F575" i="51"/>
  <c r="E575" i="51"/>
  <c r="D575" i="51"/>
  <c r="C575" i="51"/>
  <c r="B575" i="51"/>
  <c r="A575" i="51"/>
  <c r="F574" i="51"/>
  <c r="E574" i="51"/>
  <c r="D574" i="51"/>
  <c r="C574" i="51"/>
  <c r="B574" i="51"/>
  <c r="A574" i="51"/>
  <c r="F573" i="51"/>
  <c r="E573" i="51"/>
  <c r="D573" i="51"/>
  <c r="C573" i="51"/>
  <c r="B573" i="51"/>
  <c r="A573" i="51"/>
  <c r="F572" i="51"/>
  <c r="E572" i="51"/>
  <c r="D572" i="51"/>
  <c r="C572" i="51"/>
  <c r="B572" i="51"/>
  <c r="A572" i="51"/>
  <c r="F571" i="51"/>
  <c r="E571" i="51"/>
  <c r="D571" i="51"/>
  <c r="C571" i="51"/>
  <c r="B571" i="51"/>
  <c r="A571" i="51"/>
  <c r="F570" i="51"/>
  <c r="E570" i="51"/>
  <c r="D570" i="51"/>
  <c r="C570" i="51"/>
  <c r="B570" i="51"/>
  <c r="A570" i="51"/>
  <c r="F569" i="51"/>
  <c r="E569" i="51"/>
  <c r="D569" i="51"/>
  <c r="C569" i="51"/>
  <c r="B569" i="51"/>
  <c r="A569" i="51"/>
  <c r="F568" i="51"/>
  <c r="E568" i="51"/>
  <c r="D568" i="51"/>
  <c r="C568" i="51"/>
  <c r="B568" i="51"/>
  <c r="A568" i="51"/>
  <c r="F567" i="51"/>
  <c r="E567" i="51"/>
  <c r="D567" i="51"/>
  <c r="C567" i="51"/>
  <c r="B567" i="51"/>
  <c r="A567" i="51"/>
  <c r="F566" i="51"/>
  <c r="E566" i="51"/>
  <c r="D566" i="51"/>
  <c r="C566" i="51"/>
  <c r="B566" i="51"/>
  <c r="A566" i="51"/>
  <c r="F565" i="51"/>
  <c r="E565" i="51"/>
  <c r="D565" i="51"/>
  <c r="C565" i="51"/>
  <c r="B565" i="51"/>
  <c r="A565" i="51"/>
  <c r="F564" i="51"/>
  <c r="E564" i="51"/>
  <c r="D564" i="51"/>
  <c r="C564" i="51"/>
  <c r="B564" i="51"/>
  <c r="A564" i="51"/>
  <c r="F563" i="51"/>
  <c r="E563" i="51"/>
  <c r="D563" i="51"/>
  <c r="C563" i="51"/>
  <c r="B563" i="51"/>
  <c r="A563" i="51"/>
  <c r="F562" i="51"/>
  <c r="E562" i="51"/>
  <c r="D562" i="51"/>
  <c r="C562" i="51"/>
  <c r="B562" i="51"/>
  <c r="A562" i="51"/>
  <c r="F561" i="51"/>
  <c r="E561" i="51"/>
  <c r="D561" i="51"/>
  <c r="C561" i="51"/>
  <c r="B561" i="51"/>
  <c r="A561" i="51"/>
  <c r="F560" i="51"/>
  <c r="E560" i="51"/>
  <c r="D560" i="51"/>
  <c r="C560" i="51"/>
  <c r="B560" i="51"/>
  <c r="A560" i="51"/>
  <c r="F559" i="51"/>
  <c r="E559" i="51"/>
  <c r="D559" i="51"/>
  <c r="C559" i="51"/>
  <c r="B559" i="51"/>
  <c r="A559" i="51"/>
  <c r="F558" i="51"/>
  <c r="E558" i="51"/>
  <c r="D558" i="51"/>
  <c r="C558" i="51"/>
  <c r="B558" i="51"/>
  <c r="A558" i="51"/>
  <c r="F557" i="51"/>
  <c r="E557" i="51"/>
  <c r="D557" i="51"/>
  <c r="C557" i="51"/>
  <c r="B557" i="51"/>
  <c r="A557" i="51"/>
  <c r="F556" i="51"/>
  <c r="E556" i="51"/>
  <c r="D556" i="51"/>
  <c r="C556" i="51"/>
  <c r="B556" i="51"/>
  <c r="A556" i="51"/>
  <c r="F555" i="51"/>
  <c r="E555" i="51"/>
  <c r="D555" i="51"/>
  <c r="C555" i="51"/>
  <c r="B555" i="51"/>
  <c r="A555" i="51"/>
  <c r="F554" i="51"/>
  <c r="E554" i="51"/>
  <c r="D554" i="51"/>
  <c r="C554" i="51"/>
  <c r="B554" i="51"/>
  <c r="A554" i="51"/>
  <c r="F553" i="51"/>
  <c r="E553" i="51"/>
  <c r="D553" i="51"/>
  <c r="C553" i="51"/>
  <c r="B553" i="51"/>
  <c r="A553" i="51"/>
  <c r="F552" i="51"/>
  <c r="E552" i="51"/>
  <c r="D552" i="51"/>
  <c r="C552" i="51"/>
  <c r="B552" i="51"/>
  <c r="A552" i="51"/>
  <c r="F550" i="51"/>
  <c r="E550" i="51"/>
  <c r="D550" i="51"/>
  <c r="C550" i="51"/>
  <c r="B550" i="51"/>
  <c r="A550" i="51"/>
  <c r="F549" i="51"/>
  <c r="E549" i="51"/>
  <c r="D549" i="51"/>
  <c r="C549" i="51"/>
  <c r="B549" i="51"/>
  <c r="A549" i="51"/>
  <c r="F548" i="51"/>
  <c r="E548" i="51"/>
  <c r="D548" i="51"/>
  <c r="C548" i="51"/>
  <c r="B548" i="51"/>
  <c r="A548" i="51"/>
  <c r="F547" i="51"/>
  <c r="E547" i="51"/>
  <c r="D547" i="51"/>
  <c r="C547" i="51"/>
  <c r="B547" i="51"/>
  <c r="A547" i="51"/>
  <c r="F546" i="51"/>
  <c r="E546" i="51"/>
  <c r="D546" i="51"/>
  <c r="C546" i="51"/>
  <c r="B546" i="51"/>
  <c r="A546" i="51"/>
  <c r="F545" i="51"/>
  <c r="E545" i="51"/>
  <c r="D545" i="51"/>
  <c r="C545" i="51"/>
  <c r="B545" i="51"/>
  <c r="A545" i="51"/>
  <c r="F544" i="51"/>
  <c r="E544" i="51"/>
  <c r="D544" i="51"/>
  <c r="C544" i="51"/>
  <c r="B544" i="51"/>
  <c r="A544" i="51"/>
  <c r="F543" i="51"/>
  <c r="E543" i="51"/>
  <c r="D543" i="51"/>
  <c r="C543" i="51"/>
  <c r="B543" i="51"/>
  <c r="A543" i="51"/>
  <c r="F542" i="51"/>
  <c r="E542" i="51"/>
  <c r="D542" i="51"/>
  <c r="C542" i="51"/>
  <c r="B542" i="51"/>
  <c r="A542" i="51"/>
  <c r="F541" i="51"/>
  <c r="E541" i="51"/>
  <c r="D541" i="51"/>
  <c r="C541" i="51"/>
  <c r="B541" i="51"/>
  <c r="A541" i="51"/>
  <c r="F540" i="51"/>
  <c r="E540" i="51"/>
  <c r="D540" i="51"/>
  <c r="C540" i="51"/>
  <c r="B540" i="51"/>
  <c r="A540" i="51"/>
  <c r="F539" i="51"/>
  <c r="E539" i="51"/>
  <c r="D539" i="51"/>
  <c r="C539" i="51"/>
  <c r="B539" i="51"/>
  <c r="A539" i="51"/>
  <c r="F538" i="51"/>
  <c r="E538" i="51"/>
  <c r="D538" i="51"/>
  <c r="C538" i="51"/>
  <c r="B538" i="51"/>
  <c r="A538" i="51"/>
  <c r="F537" i="51"/>
  <c r="E537" i="51"/>
  <c r="D537" i="51"/>
  <c r="C537" i="51"/>
  <c r="B537" i="51"/>
  <c r="A537" i="51"/>
  <c r="F536" i="51"/>
  <c r="E536" i="51"/>
  <c r="D536" i="51"/>
  <c r="C536" i="51"/>
  <c r="B536" i="51"/>
  <c r="A536" i="51"/>
  <c r="F535" i="51"/>
  <c r="E535" i="51"/>
  <c r="D535" i="51"/>
  <c r="C535" i="51"/>
  <c r="B535" i="51"/>
  <c r="A535" i="51"/>
  <c r="F534" i="51"/>
  <c r="E534" i="51"/>
  <c r="D534" i="51"/>
  <c r="C534" i="51"/>
  <c r="B534" i="51"/>
  <c r="A534" i="51"/>
  <c r="F533" i="51"/>
  <c r="E533" i="51"/>
  <c r="D533" i="51"/>
  <c r="C533" i="51"/>
  <c r="B533" i="51"/>
  <c r="A533" i="51"/>
  <c r="F532" i="51"/>
  <c r="E532" i="51"/>
  <c r="D532" i="51"/>
  <c r="C532" i="51"/>
  <c r="B532" i="51"/>
  <c r="A532" i="51"/>
  <c r="F531" i="51"/>
  <c r="E531" i="51"/>
  <c r="D531" i="51"/>
  <c r="C531" i="51"/>
  <c r="B531" i="51"/>
  <c r="A531" i="51"/>
  <c r="F530" i="51"/>
  <c r="E530" i="51"/>
  <c r="D530" i="51"/>
  <c r="C530" i="51"/>
  <c r="B530" i="51"/>
  <c r="A530" i="51"/>
  <c r="F529" i="51"/>
  <c r="E529" i="51"/>
  <c r="D529" i="51"/>
  <c r="C529" i="51"/>
  <c r="B529" i="51"/>
  <c r="A529" i="51"/>
  <c r="F528" i="51"/>
  <c r="E528" i="51"/>
  <c r="D528" i="51"/>
  <c r="C528" i="51"/>
  <c r="B528" i="51"/>
  <c r="A528" i="51"/>
  <c r="F527" i="51"/>
  <c r="E527" i="51"/>
  <c r="D527" i="51"/>
  <c r="C527" i="51"/>
  <c r="B527" i="51"/>
  <c r="A527" i="51"/>
  <c r="F526" i="51"/>
  <c r="E526" i="51"/>
  <c r="D526" i="51"/>
  <c r="C526" i="51"/>
  <c r="B526" i="51"/>
  <c r="A526" i="51"/>
  <c r="F525" i="51"/>
  <c r="E525" i="51"/>
  <c r="D525" i="51"/>
  <c r="C525" i="51"/>
  <c r="B525" i="51"/>
  <c r="A525" i="51"/>
  <c r="F524" i="51"/>
  <c r="E524" i="51"/>
  <c r="D524" i="51"/>
  <c r="C524" i="51"/>
  <c r="B524" i="51"/>
  <c r="A524" i="51"/>
  <c r="F523" i="51"/>
  <c r="E523" i="51"/>
  <c r="D523" i="51"/>
  <c r="C523" i="51"/>
  <c r="B523" i="51"/>
  <c r="A523" i="51"/>
  <c r="F522" i="51"/>
  <c r="E522" i="51"/>
  <c r="D522" i="51"/>
  <c r="C522" i="51"/>
  <c r="B522" i="51"/>
  <c r="A522" i="51"/>
  <c r="F521" i="51"/>
  <c r="E521" i="51"/>
  <c r="D521" i="51"/>
  <c r="C521" i="51"/>
  <c r="B521" i="51"/>
  <c r="A521" i="51"/>
  <c r="F520" i="51"/>
  <c r="E520" i="51"/>
  <c r="D520" i="51"/>
  <c r="C520" i="51"/>
  <c r="B520" i="51"/>
  <c r="A520" i="51"/>
  <c r="F519" i="51"/>
  <c r="E519" i="51"/>
  <c r="D519" i="51"/>
  <c r="C519" i="51"/>
  <c r="B519" i="51"/>
  <c r="A519" i="51"/>
  <c r="F518" i="51"/>
  <c r="E518" i="51"/>
  <c r="D518" i="51"/>
  <c r="C518" i="51"/>
  <c r="B518" i="51"/>
  <c r="A518" i="51"/>
  <c r="F517" i="51"/>
  <c r="E517" i="51"/>
  <c r="D517" i="51"/>
  <c r="C517" i="51"/>
  <c r="B517" i="51"/>
  <c r="A517" i="51"/>
  <c r="F516" i="51"/>
  <c r="E516" i="51"/>
  <c r="D516" i="51"/>
  <c r="C516" i="51"/>
  <c r="B516" i="51"/>
  <c r="A516" i="51"/>
  <c r="F515" i="51"/>
  <c r="E515" i="51"/>
  <c r="D515" i="51"/>
  <c r="C515" i="51"/>
  <c r="B515" i="51"/>
  <c r="A515" i="51"/>
  <c r="F514" i="51"/>
  <c r="E514" i="51"/>
  <c r="D514" i="51"/>
  <c r="C514" i="51"/>
  <c r="B514" i="51"/>
  <c r="A514" i="51"/>
  <c r="F513" i="51"/>
  <c r="E513" i="51"/>
  <c r="D513" i="51"/>
  <c r="C513" i="51"/>
  <c r="B513" i="51"/>
  <c r="A513" i="51"/>
  <c r="F512" i="51"/>
  <c r="E512" i="51"/>
  <c r="D512" i="51"/>
  <c r="C512" i="51"/>
  <c r="B512" i="51"/>
  <c r="A512" i="51"/>
  <c r="F511" i="51"/>
  <c r="E511" i="51"/>
  <c r="D511" i="51"/>
  <c r="C511" i="51"/>
  <c r="B511" i="51"/>
  <c r="A511" i="51"/>
  <c r="F510" i="51"/>
  <c r="E510" i="51"/>
  <c r="D510" i="51"/>
  <c r="C510" i="51"/>
  <c r="B510" i="51"/>
  <c r="A510" i="51"/>
  <c r="F509" i="51"/>
  <c r="E509" i="51"/>
  <c r="D509" i="51"/>
  <c r="C509" i="51"/>
  <c r="B509" i="51"/>
  <c r="A509" i="51"/>
  <c r="F508" i="51"/>
  <c r="E508" i="51"/>
  <c r="D508" i="51"/>
  <c r="C508" i="51"/>
  <c r="B508" i="51"/>
  <c r="A508" i="51"/>
  <c r="F507" i="51"/>
  <c r="E507" i="51"/>
  <c r="D507" i="51"/>
  <c r="C507" i="51"/>
  <c r="B507" i="51"/>
  <c r="A507" i="51"/>
  <c r="F506" i="51"/>
  <c r="E506" i="51"/>
  <c r="D506" i="51"/>
  <c r="C506" i="51"/>
  <c r="B506" i="51"/>
  <c r="A506" i="51"/>
  <c r="F505" i="51"/>
  <c r="E505" i="51"/>
  <c r="D505" i="51"/>
  <c r="C505" i="51"/>
  <c r="B505" i="51"/>
  <c r="A505" i="51"/>
  <c r="F504" i="51"/>
  <c r="E504" i="51"/>
  <c r="D504" i="51"/>
  <c r="C504" i="51"/>
  <c r="B504" i="51"/>
  <c r="A504" i="51"/>
  <c r="F503" i="51"/>
  <c r="E503" i="51"/>
  <c r="D503" i="51"/>
  <c r="C503" i="51"/>
  <c r="B503" i="51"/>
  <c r="A503" i="51"/>
  <c r="F502" i="51"/>
  <c r="E502" i="51"/>
  <c r="D502" i="51"/>
  <c r="C502" i="51"/>
  <c r="B502" i="51"/>
  <c r="A502" i="51"/>
  <c r="F501" i="51"/>
  <c r="E501" i="51"/>
  <c r="D501" i="51"/>
  <c r="C501" i="51"/>
  <c r="B501" i="51"/>
  <c r="A501" i="51"/>
  <c r="F500" i="51"/>
  <c r="E500" i="51"/>
  <c r="D500" i="51"/>
  <c r="C500" i="51"/>
  <c r="B500" i="51"/>
  <c r="A500" i="51"/>
  <c r="F499" i="51"/>
  <c r="E499" i="51"/>
  <c r="D499" i="51"/>
  <c r="C499" i="51"/>
  <c r="B499" i="51"/>
  <c r="A499" i="51"/>
  <c r="F498" i="51"/>
  <c r="E498" i="51"/>
  <c r="D498" i="51"/>
  <c r="C498" i="51"/>
  <c r="B498" i="51"/>
  <c r="A498" i="51"/>
  <c r="F497" i="51"/>
  <c r="E497" i="51"/>
  <c r="D497" i="51"/>
  <c r="C497" i="51"/>
  <c r="B497" i="51"/>
  <c r="A497" i="51"/>
  <c r="F496" i="51"/>
  <c r="E496" i="51"/>
  <c r="D496" i="51"/>
  <c r="C496" i="51"/>
  <c r="B496" i="51"/>
  <c r="A496" i="51"/>
  <c r="F495" i="51"/>
  <c r="E495" i="51"/>
  <c r="D495" i="51"/>
  <c r="C495" i="51"/>
  <c r="B495" i="51"/>
  <c r="A495" i="51"/>
  <c r="F494" i="51"/>
  <c r="E494" i="51"/>
  <c r="D494" i="51"/>
  <c r="C494" i="51"/>
  <c r="B494" i="51"/>
  <c r="A494" i="51"/>
  <c r="F493" i="51"/>
  <c r="E493" i="51"/>
  <c r="D493" i="51"/>
  <c r="C493" i="51"/>
  <c r="B493" i="51"/>
  <c r="A493" i="51"/>
  <c r="F492" i="51"/>
  <c r="E492" i="51"/>
  <c r="D492" i="51"/>
  <c r="C492" i="51"/>
  <c r="B492" i="51"/>
  <c r="A492" i="51"/>
  <c r="F491" i="51"/>
  <c r="E491" i="51"/>
  <c r="D491" i="51"/>
  <c r="C491" i="51"/>
  <c r="B491" i="51"/>
  <c r="A491" i="51"/>
  <c r="F489" i="51"/>
  <c r="E489" i="51"/>
  <c r="D489" i="51"/>
  <c r="C489" i="51"/>
  <c r="B489" i="51"/>
  <c r="A489" i="51"/>
  <c r="F488" i="51"/>
  <c r="E488" i="51"/>
  <c r="D488" i="51"/>
  <c r="C488" i="51"/>
  <c r="B488" i="51"/>
  <c r="A488" i="51"/>
  <c r="F487" i="51"/>
  <c r="E487" i="51"/>
  <c r="D487" i="51"/>
  <c r="C487" i="51"/>
  <c r="B487" i="51"/>
  <c r="A487" i="51"/>
  <c r="F486" i="51"/>
  <c r="E486" i="51"/>
  <c r="D486" i="51"/>
  <c r="C486" i="51"/>
  <c r="B486" i="51"/>
  <c r="A486" i="51"/>
  <c r="F485" i="51"/>
  <c r="E485" i="51"/>
  <c r="D485" i="51"/>
  <c r="C485" i="51"/>
  <c r="B485" i="51"/>
  <c r="A485" i="51"/>
  <c r="F484" i="51"/>
  <c r="E484" i="51"/>
  <c r="D484" i="51"/>
  <c r="C484" i="51"/>
  <c r="B484" i="51"/>
  <c r="A484" i="51"/>
  <c r="F483" i="51"/>
  <c r="E483" i="51"/>
  <c r="D483" i="51"/>
  <c r="C483" i="51"/>
  <c r="B483" i="51"/>
  <c r="A483" i="51"/>
  <c r="F482" i="51"/>
  <c r="E482" i="51"/>
  <c r="D482" i="51"/>
  <c r="C482" i="51"/>
  <c r="B482" i="51"/>
  <c r="A482" i="51"/>
  <c r="F481" i="51"/>
  <c r="E481" i="51"/>
  <c r="D481" i="51"/>
  <c r="C481" i="51"/>
  <c r="B481" i="51"/>
  <c r="A481" i="51"/>
  <c r="F480" i="51"/>
  <c r="E480" i="51"/>
  <c r="D480" i="51"/>
  <c r="C480" i="51"/>
  <c r="B480" i="51"/>
  <c r="A480" i="51"/>
  <c r="F479" i="51"/>
  <c r="E479" i="51"/>
  <c r="D479" i="51"/>
  <c r="C479" i="51"/>
  <c r="B479" i="51"/>
  <c r="A479" i="51"/>
  <c r="F478" i="51"/>
  <c r="E478" i="51"/>
  <c r="D478" i="51"/>
  <c r="C478" i="51"/>
  <c r="B478" i="51"/>
  <c r="A478" i="51"/>
  <c r="F477" i="51"/>
  <c r="E477" i="51"/>
  <c r="D477" i="51"/>
  <c r="C477" i="51"/>
  <c r="B477" i="51"/>
  <c r="A477" i="51"/>
  <c r="F476" i="51"/>
  <c r="E476" i="51"/>
  <c r="D476" i="51"/>
  <c r="C476" i="51"/>
  <c r="B476" i="51"/>
  <c r="A476" i="51"/>
  <c r="F475" i="51"/>
  <c r="E475" i="51"/>
  <c r="D475" i="51"/>
  <c r="C475" i="51"/>
  <c r="B475" i="51"/>
  <c r="A475" i="51"/>
  <c r="F474" i="51"/>
  <c r="E474" i="51"/>
  <c r="D474" i="51"/>
  <c r="C474" i="51"/>
  <c r="B474" i="51"/>
  <c r="A474" i="51"/>
  <c r="F473" i="51"/>
  <c r="E473" i="51"/>
  <c r="D473" i="51"/>
  <c r="C473" i="51"/>
  <c r="B473" i="51"/>
  <c r="A473" i="51"/>
  <c r="F472" i="51"/>
  <c r="E472" i="51"/>
  <c r="D472" i="51"/>
  <c r="C472" i="51"/>
  <c r="B472" i="51"/>
  <c r="A472" i="51"/>
  <c r="F471" i="51"/>
  <c r="E471" i="51"/>
  <c r="D471" i="51"/>
  <c r="C471" i="51"/>
  <c r="B471" i="51"/>
  <c r="A471" i="51"/>
  <c r="F470" i="51"/>
  <c r="E470" i="51"/>
  <c r="D470" i="51"/>
  <c r="C470" i="51"/>
  <c r="B470" i="51"/>
  <c r="A470" i="51"/>
  <c r="F469" i="51"/>
  <c r="E469" i="51"/>
  <c r="D469" i="51"/>
  <c r="C469" i="51"/>
  <c r="B469" i="51"/>
  <c r="A469" i="51"/>
  <c r="F468" i="51"/>
  <c r="E468" i="51"/>
  <c r="D468" i="51"/>
  <c r="C468" i="51"/>
  <c r="B468" i="51"/>
  <c r="A468" i="51"/>
  <c r="F467" i="51"/>
  <c r="E467" i="51"/>
  <c r="D467" i="51"/>
  <c r="C467" i="51"/>
  <c r="B467" i="51"/>
  <c r="A467" i="51"/>
  <c r="F466" i="51"/>
  <c r="E466" i="51"/>
  <c r="D466" i="51"/>
  <c r="C466" i="51"/>
  <c r="B466" i="51"/>
  <c r="A466" i="51"/>
  <c r="F465" i="51"/>
  <c r="E465" i="51"/>
  <c r="D465" i="51"/>
  <c r="C465" i="51"/>
  <c r="B465" i="51"/>
  <c r="A465" i="51"/>
  <c r="F464" i="51"/>
  <c r="E464" i="51"/>
  <c r="D464" i="51"/>
  <c r="C464" i="51"/>
  <c r="B464" i="51"/>
  <c r="A464" i="51"/>
  <c r="F463" i="51"/>
  <c r="E463" i="51"/>
  <c r="D463" i="51"/>
  <c r="C463" i="51"/>
  <c r="B463" i="51"/>
  <c r="A463" i="51"/>
  <c r="F462" i="51"/>
  <c r="E462" i="51"/>
  <c r="D462" i="51"/>
  <c r="C462" i="51"/>
  <c r="B462" i="51"/>
  <c r="A462" i="51"/>
  <c r="F461" i="51"/>
  <c r="E461" i="51"/>
  <c r="D461" i="51"/>
  <c r="C461" i="51"/>
  <c r="B461" i="51"/>
  <c r="A461" i="51"/>
  <c r="F460" i="51"/>
  <c r="E460" i="51"/>
  <c r="D460" i="51"/>
  <c r="C460" i="51"/>
  <c r="B460" i="51"/>
  <c r="A460" i="51"/>
  <c r="F459" i="51"/>
  <c r="E459" i="51"/>
  <c r="D459" i="51"/>
  <c r="C459" i="51"/>
  <c r="B459" i="51"/>
  <c r="A459" i="51"/>
  <c r="F458" i="51"/>
  <c r="E458" i="51"/>
  <c r="D458" i="51"/>
  <c r="C458" i="51"/>
  <c r="B458" i="51"/>
  <c r="A458" i="51"/>
  <c r="F457" i="51"/>
  <c r="E457" i="51"/>
  <c r="D457" i="51"/>
  <c r="C457" i="51"/>
  <c r="B457" i="51"/>
  <c r="A457" i="51"/>
  <c r="F456" i="51"/>
  <c r="E456" i="51"/>
  <c r="D456" i="51"/>
  <c r="C456" i="51"/>
  <c r="B456" i="51"/>
  <c r="A456" i="51"/>
  <c r="F455" i="51"/>
  <c r="E455" i="51"/>
  <c r="D455" i="51"/>
  <c r="C455" i="51"/>
  <c r="B455" i="51"/>
  <c r="A455" i="51"/>
  <c r="F454" i="51"/>
  <c r="E454" i="51"/>
  <c r="D454" i="51"/>
  <c r="C454" i="51"/>
  <c r="B454" i="51"/>
  <c r="A454" i="51"/>
  <c r="F453" i="51"/>
  <c r="E453" i="51"/>
  <c r="D453" i="51"/>
  <c r="C453" i="51"/>
  <c r="B453" i="51"/>
  <c r="A453" i="51"/>
  <c r="F452" i="51"/>
  <c r="E452" i="51"/>
  <c r="D452" i="51"/>
  <c r="C452" i="51"/>
  <c r="B452" i="51"/>
  <c r="A452" i="51"/>
  <c r="F451" i="51"/>
  <c r="E451" i="51"/>
  <c r="D451" i="51"/>
  <c r="C451" i="51"/>
  <c r="B451" i="51"/>
  <c r="A451" i="51"/>
  <c r="F450" i="51"/>
  <c r="E450" i="51"/>
  <c r="D450" i="51"/>
  <c r="C450" i="51"/>
  <c r="B450" i="51"/>
  <c r="A450" i="51"/>
  <c r="F449" i="51"/>
  <c r="E449" i="51"/>
  <c r="D449" i="51"/>
  <c r="C449" i="51"/>
  <c r="B449" i="51"/>
  <c r="A449" i="51"/>
  <c r="F448" i="51"/>
  <c r="E448" i="51"/>
  <c r="D448" i="51"/>
  <c r="C448" i="51"/>
  <c r="B448" i="51"/>
  <c r="A448" i="51"/>
  <c r="F447" i="51"/>
  <c r="E447" i="51"/>
  <c r="D447" i="51"/>
  <c r="C447" i="51"/>
  <c r="B447" i="51"/>
  <c r="A447" i="51"/>
  <c r="F446" i="51"/>
  <c r="E446" i="51"/>
  <c r="D446" i="51"/>
  <c r="C446" i="51"/>
  <c r="B446" i="51"/>
  <c r="A446" i="51"/>
  <c r="F445" i="51"/>
  <c r="E445" i="51"/>
  <c r="D445" i="51"/>
  <c r="C445" i="51"/>
  <c r="B445" i="51"/>
  <c r="A445" i="51"/>
  <c r="F444" i="51"/>
  <c r="E444" i="51"/>
  <c r="D444" i="51"/>
  <c r="C444" i="51"/>
  <c r="B444" i="51"/>
  <c r="A444" i="51"/>
  <c r="F443" i="51"/>
  <c r="E443" i="51"/>
  <c r="D443" i="51"/>
  <c r="C443" i="51"/>
  <c r="B443" i="51"/>
  <c r="A443" i="51"/>
  <c r="F442" i="51"/>
  <c r="E442" i="51"/>
  <c r="D442" i="51"/>
  <c r="C442" i="51"/>
  <c r="B442" i="51"/>
  <c r="A442" i="51"/>
  <c r="F441" i="51"/>
  <c r="E441" i="51"/>
  <c r="D441" i="51"/>
  <c r="C441" i="51"/>
  <c r="B441" i="51"/>
  <c r="A441" i="51"/>
  <c r="F440" i="51"/>
  <c r="E440" i="51"/>
  <c r="D440" i="51"/>
  <c r="C440" i="51"/>
  <c r="B440" i="51"/>
  <c r="A440" i="51"/>
  <c r="F439" i="51"/>
  <c r="E439" i="51"/>
  <c r="D439" i="51"/>
  <c r="C439" i="51"/>
  <c r="B439" i="51"/>
  <c r="A439" i="51"/>
  <c r="F438" i="51"/>
  <c r="E438" i="51"/>
  <c r="D438" i="51"/>
  <c r="C438" i="51"/>
  <c r="B438" i="51"/>
  <c r="A438" i="51"/>
  <c r="F437" i="51"/>
  <c r="E437" i="51"/>
  <c r="D437" i="51"/>
  <c r="C437" i="51"/>
  <c r="B437" i="51"/>
  <c r="A437" i="51"/>
  <c r="F436" i="51"/>
  <c r="E436" i="51"/>
  <c r="D436" i="51"/>
  <c r="C436" i="51"/>
  <c r="B436" i="51"/>
  <c r="A436" i="51"/>
  <c r="F435" i="51"/>
  <c r="E435" i="51"/>
  <c r="D435" i="51"/>
  <c r="C435" i="51"/>
  <c r="B435" i="51"/>
  <c r="A435" i="51"/>
  <c r="F434" i="51"/>
  <c r="E434" i="51"/>
  <c r="D434" i="51"/>
  <c r="C434" i="51"/>
  <c r="B434" i="51"/>
  <c r="A434" i="51"/>
  <c r="F433" i="51"/>
  <c r="E433" i="51"/>
  <c r="D433" i="51"/>
  <c r="C433" i="51"/>
  <c r="B433" i="51"/>
  <c r="A433" i="51"/>
  <c r="F432" i="51"/>
  <c r="E432" i="51"/>
  <c r="D432" i="51"/>
  <c r="C432" i="51"/>
  <c r="B432" i="51"/>
  <c r="A432" i="51"/>
  <c r="F431" i="51"/>
  <c r="E431" i="51"/>
  <c r="D431" i="51"/>
  <c r="C431" i="51"/>
  <c r="B431" i="51"/>
  <c r="A431" i="51"/>
  <c r="F430" i="51"/>
  <c r="E430" i="51"/>
  <c r="D430" i="51"/>
  <c r="C430" i="51"/>
  <c r="B430" i="51"/>
  <c r="A430" i="51"/>
  <c r="F428" i="51"/>
  <c r="E428" i="51"/>
  <c r="D428" i="51"/>
  <c r="C428" i="51"/>
  <c r="B428" i="51"/>
  <c r="A428" i="51"/>
  <c r="F427" i="51"/>
  <c r="E427" i="51"/>
  <c r="D427" i="51"/>
  <c r="C427" i="51"/>
  <c r="B427" i="51"/>
  <c r="A427" i="51"/>
  <c r="F426" i="51"/>
  <c r="E426" i="51"/>
  <c r="D426" i="51"/>
  <c r="C426" i="51"/>
  <c r="B426" i="51"/>
  <c r="A426" i="51"/>
  <c r="F425" i="51"/>
  <c r="E425" i="51"/>
  <c r="D425" i="51"/>
  <c r="C425" i="51"/>
  <c r="B425" i="51"/>
  <c r="A425" i="51"/>
  <c r="F424" i="51"/>
  <c r="E424" i="51"/>
  <c r="D424" i="51"/>
  <c r="C424" i="51"/>
  <c r="B424" i="51"/>
  <c r="A424" i="51"/>
  <c r="F423" i="51"/>
  <c r="E423" i="51"/>
  <c r="D423" i="51"/>
  <c r="C423" i="51"/>
  <c r="B423" i="51"/>
  <c r="A423" i="51"/>
  <c r="F422" i="51"/>
  <c r="E422" i="51"/>
  <c r="D422" i="51"/>
  <c r="C422" i="51"/>
  <c r="B422" i="51"/>
  <c r="A422" i="51"/>
  <c r="F421" i="51"/>
  <c r="E421" i="51"/>
  <c r="D421" i="51"/>
  <c r="C421" i="51"/>
  <c r="B421" i="51"/>
  <c r="A421" i="51"/>
  <c r="F420" i="51"/>
  <c r="E420" i="51"/>
  <c r="D420" i="51"/>
  <c r="C420" i="51"/>
  <c r="B420" i="51"/>
  <c r="A420" i="51"/>
  <c r="F419" i="51"/>
  <c r="E419" i="51"/>
  <c r="D419" i="51"/>
  <c r="C419" i="51"/>
  <c r="B419" i="51"/>
  <c r="A419" i="51"/>
  <c r="F418" i="51"/>
  <c r="E418" i="51"/>
  <c r="D418" i="51"/>
  <c r="C418" i="51"/>
  <c r="B418" i="51"/>
  <c r="A418" i="51"/>
  <c r="F417" i="51"/>
  <c r="E417" i="51"/>
  <c r="D417" i="51"/>
  <c r="C417" i="51"/>
  <c r="B417" i="51"/>
  <c r="A417" i="51"/>
  <c r="F416" i="51"/>
  <c r="E416" i="51"/>
  <c r="D416" i="51"/>
  <c r="C416" i="51"/>
  <c r="B416" i="51"/>
  <c r="A416" i="51"/>
  <c r="F415" i="51"/>
  <c r="E415" i="51"/>
  <c r="D415" i="51"/>
  <c r="C415" i="51"/>
  <c r="B415" i="51"/>
  <c r="A415" i="51"/>
  <c r="F414" i="51"/>
  <c r="E414" i="51"/>
  <c r="D414" i="51"/>
  <c r="C414" i="51"/>
  <c r="B414" i="51"/>
  <c r="A414" i="51"/>
  <c r="F413" i="51"/>
  <c r="E413" i="51"/>
  <c r="D413" i="51"/>
  <c r="C413" i="51"/>
  <c r="B413" i="51"/>
  <c r="A413" i="51"/>
  <c r="F412" i="51"/>
  <c r="E412" i="51"/>
  <c r="D412" i="51"/>
  <c r="C412" i="51"/>
  <c r="B412" i="51"/>
  <c r="A412" i="51"/>
  <c r="F411" i="51"/>
  <c r="E411" i="51"/>
  <c r="D411" i="51"/>
  <c r="C411" i="51"/>
  <c r="B411" i="51"/>
  <c r="A411" i="51"/>
  <c r="F410" i="51"/>
  <c r="E410" i="51"/>
  <c r="D410" i="51"/>
  <c r="C410" i="51"/>
  <c r="B410" i="51"/>
  <c r="A410" i="51"/>
  <c r="F409" i="51"/>
  <c r="E409" i="51"/>
  <c r="D409" i="51"/>
  <c r="C409" i="51"/>
  <c r="B409" i="51"/>
  <c r="A409" i="51"/>
  <c r="F408" i="51"/>
  <c r="E408" i="51"/>
  <c r="D408" i="51"/>
  <c r="C408" i="51"/>
  <c r="B408" i="51"/>
  <c r="A408" i="51"/>
  <c r="F407" i="51"/>
  <c r="E407" i="51"/>
  <c r="D407" i="51"/>
  <c r="C407" i="51"/>
  <c r="B407" i="51"/>
  <c r="A407" i="51"/>
  <c r="F406" i="51"/>
  <c r="E406" i="51"/>
  <c r="D406" i="51"/>
  <c r="C406" i="51"/>
  <c r="B406" i="51"/>
  <c r="A406" i="51"/>
  <c r="F405" i="51"/>
  <c r="E405" i="51"/>
  <c r="D405" i="51"/>
  <c r="C405" i="51"/>
  <c r="B405" i="51"/>
  <c r="A405" i="51"/>
  <c r="F404" i="51"/>
  <c r="E404" i="51"/>
  <c r="D404" i="51"/>
  <c r="C404" i="51"/>
  <c r="B404" i="51"/>
  <c r="A404" i="51"/>
  <c r="F403" i="51"/>
  <c r="E403" i="51"/>
  <c r="D403" i="51"/>
  <c r="C403" i="51"/>
  <c r="B403" i="51"/>
  <c r="A403" i="51"/>
  <c r="F402" i="51"/>
  <c r="E402" i="51"/>
  <c r="D402" i="51"/>
  <c r="C402" i="51"/>
  <c r="B402" i="51"/>
  <c r="A402" i="51"/>
  <c r="F401" i="51"/>
  <c r="E401" i="51"/>
  <c r="D401" i="51"/>
  <c r="C401" i="51"/>
  <c r="B401" i="51"/>
  <c r="A401" i="51"/>
  <c r="F400" i="51"/>
  <c r="E400" i="51"/>
  <c r="D400" i="51"/>
  <c r="C400" i="51"/>
  <c r="B400" i="51"/>
  <c r="A400" i="51"/>
  <c r="F399" i="51"/>
  <c r="E399" i="51"/>
  <c r="D399" i="51"/>
  <c r="C399" i="51"/>
  <c r="B399" i="51"/>
  <c r="A399" i="51"/>
  <c r="F398" i="51"/>
  <c r="E398" i="51"/>
  <c r="D398" i="51"/>
  <c r="C398" i="51"/>
  <c r="B398" i="51"/>
  <c r="A398" i="51"/>
  <c r="F397" i="51"/>
  <c r="E397" i="51"/>
  <c r="D397" i="51"/>
  <c r="C397" i="51"/>
  <c r="B397" i="51"/>
  <c r="A397" i="51"/>
  <c r="F396" i="51"/>
  <c r="E396" i="51"/>
  <c r="D396" i="51"/>
  <c r="C396" i="51"/>
  <c r="B396" i="51"/>
  <c r="A396" i="51"/>
  <c r="F395" i="51"/>
  <c r="E395" i="51"/>
  <c r="D395" i="51"/>
  <c r="C395" i="51"/>
  <c r="B395" i="51"/>
  <c r="A395" i="51"/>
  <c r="F394" i="51"/>
  <c r="E394" i="51"/>
  <c r="D394" i="51"/>
  <c r="C394" i="51"/>
  <c r="B394" i="51"/>
  <c r="A394" i="51"/>
  <c r="F393" i="51"/>
  <c r="E393" i="51"/>
  <c r="D393" i="51"/>
  <c r="C393" i="51"/>
  <c r="B393" i="51"/>
  <c r="A393" i="51"/>
  <c r="F392" i="51"/>
  <c r="E392" i="51"/>
  <c r="D392" i="51"/>
  <c r="C392" i="51"/>
  <c r="B392" i="51"/>
  <c r="A392" i="51"/>
  <c r="F391" i="51"/>
  <c r="E391" i="51"/>
  <c r="D391" i="51"/>
  <c r="C391" i="51"/>
  <c r="B391" i="51"/>
  <c r="A391" i="51"/>
  <c r="F390" i="51"/>
  <c r="E390" i="51"/>
  <c r="D390" i="51"/>
  <c r="C390" i="51"/>
  <c r="B390" i="51"/>
  <c r="A390" i="51"/>
  <c r="F389" i="51"/>
  <c r="E389" i="51"/>
  <c r="D389" i="51"/>
  <c r="C389" i="51"/>
  <c r="B389" i="51"/>
  <c r="A389" i="51"/>
  <c r="F388" i="51"/>
  <c r="E388" i="51"/>
  <c r="D388" i="51"/>
  <c r="C388" i="51"/>
  <c r="B388" i="51"/>
  <c r="A388" i="51"/>
  <c r="F387" i="51"/>
  <c r="E387" i="51"/>
  <c r="D387" i="51"/>
  <c r="C387" i="51"/>
  <c r="B387" i="51"/>
  <c r="A387" i="51"/>
  <c r="F386" i="51"/>
  <c r="E386" i="51"/>
  <c r="D386" i="51"/>
  <c r="C386" i="51"/>
  <c r="B386" i="51"/>
  <c r="A386" i="51"/>
  <c r="F385" i="51"/>
  <c r="E385" i="51"/>
  <c r="D385" i="51"/>
  <c r="C385" i="51"/>
  <c r="B385" i="51"/>
  <c r="A385" i="51"/>
  <c r="F384" i="51"/>
  <c r="E384" i="51"/>
  <c r="D384" i="51"/>
  <c r="C384" i="51"/>
  <c r="B384" i="51"/>
  <c r="A384" i="51"/>
  <c r="F383" i="51"/>
  <c r="E383" i="51"/>
  <c r="D383" i="51"/>
  <c r="C383" i="51"/>
  <c r="B383" i="51"/>
  <c r="A383" i="51"/>
  <c r="F382" i="51"/>
  <c r="E382" i="51"/>
  <c r="D382" i="51"/>
  <c r="C382" i="51"/>
  <c r="B382" i="51"/>
  <c r="A382" i="51"/>
  <c r="F381" i="51"/>
  <c r="E381" i="51"/>
  <c r="D381" i="51"/>
  <c r="C381" i="51"/>
  <c r="B381" i="51"/>
  <c r="A381" i="51"/>
  <c r="F380" i="51"/>
  <c r="E380" i="51"/>
  <c r="D380" i="51"/>
  <c r="C380" i="51"/>
  <c r="B380" i="51"/>
  <c r="A380" i="51"/>
  <c r="F379" i="51"/>
  <c r="E379" i="51"/>
  <c r="D379" i="51"/>
  <c r="C379" i="51"/>
  <c r="B379" i="51"/>
  <c r="A379" i="51"/>
  <c r="F378" i="51"/>
  <c r="E378" i="51"/>
  <c r="D378" i="51"/>
  <c r="C378" i="51"/>
  <c r="B378" i="51"/>
  <c r="A378" i="51"/>
  <c r="F377" i="51"/>
  <c r="E377" i="51"/>
  <c r="D377" i="51"/>
  <c r="C377" i="51"/>
  <c r="B377" i="51"/>
  <c r="A377" i="51"/>
  <c r="F376" i="51"/>
  <c r="E376" i="51"/>
  <c r="D376" i="51"/>
  <c r="C376" i="51"/>
  <c r="B376" i="51"/>
  <c r="A376" i="51"/>
  <c r="F375" i="51"/>
  <c r="E375" i="51"/>
  <c r="D375" i="51"/>
  <c r="C375" i="51"/>
  <c r="B375" i="51"/>
  <c r="A375" i="51"/>
  <c r="F374" i="51"/>
  <c r="E374" i="51"/>
  <c r="D374" i="51"/>
  <c r="C374" i="51"/>
  <c r="B374" i="51"/>
  <c r="A374" i="51"/>
  <c r="F373" i="51"/>
  <c r="E373" i="51"/>
  <c r="D373" i="51"/>
  <c r="C373" i="51"/>
  <c r="B373" i="51"/>
  <c r="A373" i="51"/>
  <c r="F372" i="51"/>
  <c r="E372" i="51"/>
  <c r="D372" i="51"/>
  <c r="C372" i="51"/>
  <c r="B372" i="51"/>
  <c r="A372" i="51"/>
  <c r="F371" i="51"/>
  <c r="E371" i="51"/>
  <c r="D371" i="51"/>
  <c r="C371" i="51"/>
  <c r="B371" i="51"/>
  <c r="A371" i="51"/>
  <c r="F370" i="51"/>
  <c r="E370" i="51"/>
  <c r="D370" i="51"/>
  <c r="C370" i="51"/>
  <c r="B370" i="51"/>
  <c r="A370" i="51"/>
  <c r="F369" i="51"/>
  <c r="E369" i="51"/>
  <c r="D369" i="51"/>
  <c r="C369" i="51"/>
  <c r="B369" i="51"/>
  <c r="A369" i="51"/>
  <c r="F367" i="51"/>
  <c r="E367" i="51"/>
  <c r="D367" i="51"/>
  <c r="C367" i="51"/>
  <c r="B367" i="51"/>
  <c r="A367" i="51"/>
  <c r="F366" i="51"/>
  <c r="E366" i="51"/>
  <c r="D366" i="51"/>
  <c r="C366" i="51"/>
  <c r="B366" i="51"/>
  <c r="A366" i="51"/>
  <c r="F365" i="51"/>
  <c r="E365" i="51"/>
  <c r="D365" i="51"/>
  <c r="C365" i="51"/>
  <c r="B365" i="51"/>
  <c r="A365" i="51"/>
  <c r="F364" i="51"/>
  <c r="E364" i="51"/>
  <c r="D364" i="51"/>
  <c r="C364" i="51"/>
  <c r="B364" i="51"/>
  <c r="A364" i="51"/>
  <c r="F363" i="51"/>
  <c r="E363" i="51"/>
  <c r="D363" i="51"/>
  <c r="C363" i="51"/>
  <c r="B363" i="51"/>
  <c r="A363" i="51"/>
  <c r="F362" i="51"/>
  <c r="E362" i="51"/>
  <c r="D362" i="51"/>
  <c r="C362" i="51"/>
  <c r="B362" i="51"/>
  <c r="A362" i="51"/>
  <c r="F361" i="51"/>
  <c r="E361" i="51"/>
  <c r="D361" i="51"/>
  <c r="C361" i="51"/>
  <c r="B361" i="51"/>
  <c r="A361" i="51"/>
  <c r="F360" i="51"/>
  <c r="E360" i="51"/>
  <c r="D360" i="51"/>
  <c r="C360" i="51"/>
  <c r="B360" i="51"/>
  <c r="A360" i="51"/>
  <c r="F359" i="51"/>
  <c r="E359" i="51"/>
  <c r="D359" i="51"/>
  <c r="C359" i="51"/>
  <c r="B359" i="51"/>
  <c r="A359" i="51"/>
  <c r="F358" i="51"/>
  <c r="E358" i="51"/>
  <c r="D358" i="51"/>
  <c r="C358" i="51"/>
  <c r="B358" i="51"/>
  <c r="A358" i="51"/>
  <c r="F357" i="51"/>
  <c r="E357" i="51"/>
  <c r="D357" i="51"/>
  <c r="C357" i="51"/>
  <c r="B357" i="51"/>
  <c r="A357" i="51"/>
  <c r="F356" i="51"/>
  <c r="E356" i="51"/>
  <c r="D356" i="51"/>
  <c r="C356" i="51"/>
  <c r="B356" i="51"/>
  <c r="A356" i="51"/>
  <c r="F355" i="51"/>
  <c r="E355" i="51"/>
  <c r="D355" i="51"/>
  <c r="C355" i="51"/>
  <c r="B355" i="51"/>
  <c r="A355" i="51"/>
  <c r="F354" i="51"/>
  <c r="E354" i="51"/>
  <c r="D354" i="51"/>
  <c r="C354" i="51"/>
  <c r="B354" i="51"/>
  <c r="A354" i="51"/>
  <c r="F353" i="51"/>
  <c r="E353" i="51"/>
  <c r="D353" i="51"/>
  <c r="C353" i="51"/>
  <c r="B353" i="51"/>
  <c r="A353" i="51"/>
  <c r="F352" i="51"/>
  <c r="E352" i="51"/>
  <c r="D352" i="51"/>
  <c r="C352" i="51"/>
  <c r="B352" i="51"/>
  <c r="A352" i="51"/>
  <c r="F351" i="51"/>
  <c r="E351" i="51"/>
  <c r="D351" i="51"/>
  <c r="C351" i="51"/>
  <c r="B351" i="51"/>
  <c r="A351" i="51"/>
  <c r="F350" i="51"/>
  <c r="E350" i="51"/>
  <c r="D350" i="51"/>
  <c r="C350" i="51"/>
  <c r="B350" i="51"/>
  <c r="A350" i="51"/>
  <c r="F349" i="51"/>
  <c r="E349" i="51"/>
  <c r="D349" i="51"/>
  <c r="C349" i="51"/>
  <c r="B349" i="51"/>
  <c r="A349" i="51"/>
  <c r="F348" i="51"/>
  <c r="E348" i="51"/>
  <c r="D348" i="51"/>
  <c r="C348" i="51"/>
  <c r="B348" i="51"/>
  <c r="A348" i="51"/>
  <c r="F347" i="51"/>
  <c r="E347" i="51"/>
  <c r="D347" i="51"/>
  <c r="C347" i="51"/>
  <c r="B347" i="51"/>
  <c r="A347" i="51"/>
  <c r="F346" i="51"/>
  <c r="E346" i="51"/>
  <c r="D346" i="51"/>
  <c r="C346" i="51"/>
  <c r="B346" i="51"/>
  <c r="A346" i="51"/>
  <c r="F345" i="51"/>
  <c r="E345" i="51"/>
  <c r="D345" i="51"/>
  <c r="C345" i="51"/>
  <c r="B345" i="51"/>
  <c r="A345" i="51"/>
  <c r="F344" i="51"/>
  <c r="E344" i="51"/>
  <c r="D344" i="51"/>
  <c r="C344" i="51"/>
  <c r="B344" i="51"/>
  <c r="A344" i="51"/>
  <c r="F343" i="51"/>
  <c r="E343" i="51"/>
  <c r="D343" i="51"/>
  <c r="C343" i="51"/>
  <c r="B343" i="51"/>
  <c r="A343" i="51"/>
  <c r="F342" i="51"/>
  <c r="E342" i="51"/>
  <c r="D342" i="51"/>
  <c r="C342" i="51"/>
  <c r="B342" i="51"/>
  <c r="A342" i="51"/>
  <c r="F341" i="51"/>
  <c r="E341" i="51"/>
  <c r="D341" i="51"/>
  <c r="C341" i="51"/>
  <c r="B341" i="51"/>
  <c r="A341" i="51"/>
  <c r="F340" i="51"/>
  <c r="E340" i="51"/>
  <c r="D340" i="51"/>
  <c r="C340" i="51"/>
  <c r="B340" i="51"/>
  <c r="A340" i="51"/>
  <c r="F339" i="51"/>
  <c r="E339" i="51"/>
  <c r="D339" i="51"/>
  <c r="C339" i="51"/>
  <c r="B339" i="51"/>
  <c r="A339" i="51"/>
  <c r="F338" i="51"/>
  <c r="E338" i="51"/>
  <c r="D338" i="51"/>
  <c r="C338" i="51"/>
  <c r="B338" i="51"/>
  <c r="A338" i="51"/>
  <c r="F337" i="51"/>
  <c r="E337" i="51"/>
  <c r="D337" i="51"/>
  <c r="C337" i="51"/>
  <c r="B337" i="51"/>
  <c r="A337" i="51"/>
  <c r="F336" i="51"/>
  <c r="E336" i="51"/>
  <c r="D336" i="51"/>
  <c r="C336" i="51"/>
  <c r="B336" i="51"/>
  <c r="A336" i="51"/>
  <c r="F335" i="51"/>
  <c r="E335" i="51"/>
  <c r="D335" i="51"/>
  <c r="C335" i="51"/>
  <c r="B335" i="51"/>
  <c r="A335" i="51"/>
  <c r="F334" i="51"/>
  <c r="E334" i="51"/>
  <c r="D334" i="51"/>
  <c r="C334" i="51"/>
  <c r="B334" i="51"/>
  <c r="A334" i="51"/>
  <c r="F333" i="51"/>
  <c r="E333" i="51"/>
  <c r="D333" i="51"/>
  <c r="C333" i="51"/>
  <c r="B333" i="51"/>
  <c r="A333" i="51"/>
  <c r="F332" i="51"/>
  <c r="E332" i="51"/>
  <c r="D332" i="51"/>
  <c r="C332" i="51"/>
  <c r="B332" i="51"/>
  <c r="A332" i="51"/>
  <c r="F331" i="51"/>
  <c r="E331" i="51"/>
  <c r="D331" i="51"/>
  <c r="C331" i="51"/>
  <c r="B331" i="51"/>
  <c r="A331" i="51"/>
  <c r="F330" i="51"/>
  <c r="E330" i="51"/>
  <c r="D330" i="51"/>
  <c r="C330" i="51"/>
  <c r="B330" i="51"/>
  <c r="A330" i="51"/>
  <c r="F329" i="51"/>
  <c r="E329" i="51"/>
  <c r="D329" i="51"/>
  <c r="C329" i="51"/>
  <c r="B329" i="51"/>
  <c r="A329" i="51"/>
  <c r="F328" i="51"/>
  <c r="E328" i="51"/>
  <c r="D328" i="51"/>
  <c r="C328" i="51"/>
  <c r="B328" i="51"/>
  <c r="A328" i="51"/>
  <c r="F327" i="51"/>
  <c r="E327" i="51"/>
  <c r="D327" i="51"/>
  <c r="C327" i="51"/>
  <c r="B327" i="51"/>
  <c r="A327" i="51"/>
  <c r="F326" i="51"/>
  <c r="E326" i="51"/>
  <c r="D326" i="51"/>
  <c r="C326" i="51"/>
  <c r="B326" i="51"/>
  <c r="A326" i="51"/>
  <c r="F325" i="51"/>
  <c r="E325" i="51"/>
  <c r="D325" i="51"/>
  <c r="C325" i="51"/>
  <c r="B325" i="51"/>
  <c r="A325" i="51"/>
  <c r="F324" i="51"/>
  <c r="E324" i="51"/>
  <c r="D324" i="51"/>
  <c r="C324" i="51"/>
  <c r="B324" i="51"/>
  <c r="A324" i="51"/>
  <c r="F323" i="51"/>
  <c r="E323" i="51"/>
  <c r="D323" i="51"/>
  <c r="C323" i="51"/>
  <c r="B323" i="51"/>
  <c r="A323" i="51"/>
  <c r="F322" i="51"/>
  <c r="E322" i="51"/>
  <c r="D322" i="51"/>
  <c r="C322" i="51"/>
  <c r="B322" i="51"/>
  <c r="A322" i="51"/>
  <c r="F321" i="51"/>
  <c r="E321" i="51"/>
  <c r="D321" i="51"/>
  <c r="C321" i="51"/>
  <c r="B321" i="51"/>
  <c r="A321" i="51"/>
  <c r="F320" i="51"/>
  <c r="E320" i="51"/>
  <c r="D320" i="51"/>
  <c r="C320" i="51"/>
  <c r="B320" i="51"/>
  <c r="A320" i="51"/>
  <c r="F319" i="51"/>
  <c r="E319" i="51"/>
  <c r="D319" i="51"/>
  <c r="C319" i="51"/>
  <c r="B319" i="51"/>
  <c r="A319" i="51"/>
  <c r="F318" i="51"/>
  <c r="E318" i="51"/>
  <c r="D318" i="51"/>
  <c r="C318" i="51"/>
  <c r="B318" i="51"/>
  <c r="A318" i="51"/>
  <c r="F317" i="51"/>
  <c r="E317" i="51"/>
  <c r="D317" i="51"/>
  <c r="C317" i="51"/>
  <c r="B317" i="51"/>
  <c r="A317" i="51"/>
  <c r="F316" i="51"/>
  <c r="E316" i="51"/>
  <c r="D316" i="51"/>
  <c r="C316" i="51"/>
  <c r="B316" i="51"/>
  <c r="A316" i="51"/>
  <c r="F315" i="51"/>
  <c r="E315" i="51"/>
  <c r="D315" i="51"/>
  <c r="C315" i="51"/>
  <c r="B315" i="51"/>
  <c r="A315" i="51"/>
  <c r="F314" i="51"/>
  <c r="E314" i="51"/>
  <c r="D314" i="51"/>
  <c r="C314" i="51"/>
  <c r="B314" i="51"/>
  <c r="A314" i="51"/>
  <c r="F313" i="51"/>
  <c r="E313" i="51"/>
  <c r="D313" i="51"/>
  <c r="C313" i="51"/>
  <c r="B313" i="51"/>
  <c r="A313" i="51"/>
  <c r="F312" i="51"/>
  <c r="E312" i="51"/>
  <c r="D312" i="51"/>
  <c r="C312" i="51"/>
  <c r="B312" i="51"/>
  <c r="A312" i="51"/>
  <c r="F311" i="51"/>
  <c r="E311" i="51"/>
  <c r="D311" i="51"/>
  <c r="C311" i="51"/>
  <c r="B311" i="51"/>
  <c r="A311" i="51"/>
  <c r="F310" i="51"/>
  <c r="E310" i="51"/>
  <c r="D310" i="51"/>
  <c r="C310" i="51"/>
  <c r="B310" i="51"/>
  <c r="A310" i="51"/>
  <c r="F309" i="51"/>
  <c r="E309" i="51"/>
  <c r="D309" i="51"/>
  <c r="C309" i="51"/>
  <c r="B309" i="51"/>
  <c r="A309" i="51"/>
  <c r="F308" i="51"/>
  <c r="E308" i="51"/>
  <c r="D308" i="51"/>
  <c r="C308" i="51"/>
  <c r="B308" i="51"/>
  <c r="A308" i="51"/>
  <c r="F306" i="51"/>
  <c r="E306" i="51"/>
  <c r="D306" i="51"/>
  <c r="C306" i="51"/>
  <c r="B306" i="51"/>
  <c r="A306" i="51"/>
  <c r="F305" i="51"/>
  <c r="E305" i="51"/>
  <c r="D305" i="51"/>
  <c r="C305" i="51"/>
  <c r="B305" i="51"/>
  <c r="A305" i="51"/>
  <c r="F304" i="51"/>
  <c r="E304" i="51"/>
  <c r="D304" i="51"/>
  <c r="C304" i="51"/>
  <c r="B304" i="51"/>
  <c r="A304" i="51"/>
  <c r="F303" i="51"/>
  <c r="E303" i="51"/>
  <c r="D303" i="51"/>
  <c r="C303" i="51"/>
  <c r="B303" i="51"/>
  <c r="A303" i="51"/>
  <c r="F302" i="51"/>
  <c r="E302" i="51"/>
  <c r="D302" i="51"/>
  <c r="C302" i="51"/>
  <c r="B302" i="51"/>
  <c r="A302" i="51"/>
  <c r="F301" i="51"/>
  <c r="E301" i="51"/>
  <c r="D301" i="51"/>
  <c r="C301" i="51"/>
  <c r="B301" i="51"/>
  <c r="A301" i="51"/>
  <c r="F300" i="51"/>
  <c r="E300" i="51"/>
  <c r="D300" i="51"/>
  <c r="C300" i="51"/>
  <c r="B300" i="51"/>
  <c r="A300" i="51"/>
  <c r="F299" i="51"/>
  <c r="E299" i="51"/>
  <c r="D299" i="51"/>
  <c r="C299" i="51"/>
  <c r="B299" i="51"/>
  <c r="A299" i="51"/>
  <c r="F298" i="51"/>
  <c r="E298" i="51"/>
  <c r="D298" i="51"/>
  <c r="C298" i="51"/>
  <c r="B298" i="51"/>
  <c r="A298" i="51"/>
  <c r="F297" i="51"/>
  <c r="E297" i="51"/>
  <c r="D297" i="51"/>
  <c r="C297" i="51"/>
  <c r="B297" i="51"/>
  <c r="A297" i="51"/>
  <c r="F296" i="51"/>
  <c r="E296" i="51"/>
  <c r="D296" i="51"/>
  <c r="C296" i="51"/>
  <c r="B296" i="51"/>
  <c r="A296" i="51"/>
  <c r="F295" i="51"/>
  <c r="E295" i="51"/>
  <c r="D295" i="51"/>
  <c r="C295" i="51"/>
  <c r="B295" i="51"/>
  <c r="A295" i="51"/>
  <c r="F294" i="51"/>
  <c r="E294" i="51"/>
  <c r="D294" i="51"/>
  <c r="C294" i="51"/>
  <c r="B294" i="51"/>
  <c r="A294" i="51"/>
  <c r="F293" i="51"/>
  <c r="E293" i="51"/>
  <c r="D293" i="51"/>
  <c r="C293" i="51"/>
  <c r="B293" i="51"/>
  <c r="A293" i="51"/>
  <c r="F292" i="51"/>
  <c r="E292" i="51"/>
  <c r="D292" i="51"/>
  <c r="C292" i="51"/>
  <c r="B292" i="51"/>
  <c r="A292" i="51"/>
  <c r="F291" i="51"/>
  <c r="E291" i="51"/>
  <c r="D291" i="51"/>
  <c r="C291" i="51"/>
  <c r="B291" i="51"/>
  <c r="A291" i="51"/>
  <c r="F290" i="51"/>
  <c r="E290" i="51"/>
  <c r="D290" i="51"/>
  <c r="C290" i="51"/>
  <c r="B290" i="51"/>
  <c r="A290" i="51"/>
  <c r="F289" i="51"/>
  <c r="E289" i="51"/>
  <c r="D289" i="51"/>
  <c r="C289" i="51"/>
  <c r="B289" i="51"/>
  <c r="A289" i="51"/>
  <c r="F288" i="51"/>
  <c r="E288" i="51"/>
  <c r="D288" i="51"/>
  <c r="C288" i="51"/>
  <c r="B288" i="51"/>
  <c r="A288" i="51"/>
  <c r="F287" i="51"/>
  <c r="E287" i="51"/>
  <c r="D287" i="51"/>
  <c r="C287" i="51"/>
  <c r="B287" i="51"/>
  <c r="A287" i="51"/>
  <c r="F286" i="51"/>
  <c r="E286" i="51"/>
  <c r="D286" i="51"/>
  <c r="C286" i="51"/>
  <c r="B286" i="51"/>
  <c r="A286" i="51"/>
  <c r="F285" i="51"/>
  <c r="E285" i="51"/>
  <c r="D285" i="51"/>
  <c r="C285" i="51"/>
  <c r="B285" i="51"/>
  <c r="A285" i="51"/>
  <c r="F284" i="51"/>
  <c r="E284" i="51"/>
  <c r="D284" i="51"/>
  <c r="C284" i="51"/>
  <c r="B284" i="51"/>
  <c r="A284" i="51"/>
  <c r="F283" i="51"/>
  <c r="E283" i="51"/>
  <c r="D283" i="51"/>
  <c r="C283" i="51"/>
  <c r="B283" i="51"/>
  <c r="A283" i="51"/>
  <c r="F282" i="51"/>
  <c r="E282" i="51"/>
  <c r="D282" i="51"/>
  <c r="C282" i="51"/>
  <c r="B282" i="51"/>
  <c r="A282" i="51"/>
  <c r="F281" i="51"/>
  <c r="E281" i="51"/>
  <c r="D281" i="51"/>
  <c r="C281" i="51"/>
  <c r="B281" i="51"/>
  <c r="A281" i="51"/>
  <c r="F280" i="51"/>
  <c r="E280" i="51"/>
  <c r="D280" i="51"/>
  <c r="C280" i="51"/>
  <c r="B280" i="51"/>
  <c r="A280" i="51"/>
  <c r="F279" i="51"/>
  <c r="E279" i="51"/>
  <c r="D279" i="51"/>
  <c r="C279" i="51"/>
  <c r="B279" i="51"/>
  <c r="A279" i="51"/>
  <c r="F278" i="51"/>
  <c r="E278" i="51"/>
  <c r="D278" i="51"/>
  <c r="C278" i="51"/>
  <c r="B278" i="51"/>
  <c r="A278" i="51"/>
  <c r="F277" i="51"/>
  <c r="E277" i="51"/>
  <c r="D277" i="51"/>
  <c r="C277" i="51"/>
  <c r="B277" i="51"/>
  <c r="A277" i="51"/>
  <c r="F276" i="51"/>
  <c r="E276" i="51"/>
  <c r="D276" i="51"/>
  <c r="C276" i="51"/>
  <c r="B276" i="51"/>
  <c r="A276" i="51"/>
  <c r="F275" i="51"/>
  <c r="E275" i="51"/>
  <c r="D275" i="51"/>
  <c r="C275" i="51"/>
  <c r="B275" i="51"/>
  <c r="A275" i="51"/>
  <c r="F274" i="51"/>
  <c r="E274" i="51"/>
  <c r="D274" i="51"/>
  <c r="C274" i="51"/>
  <c r="B274" i="51"/>
  <c r="A274" i="51"/>
  <c r="F273" i="51"/>
  <c r="E273" i="51"/>
  <c r="D273" i="51"/>
  <c r="C273" i="51"/>
  <c r="B273" i="51"/>
  <c r="A273" i="51"/>
  <c r="F272" i="51"/>
  <c r="E272" i="51"/>
  <c r="D272" i="51"/>
  <c r="C272" i="51"/>
  <c r="B272" i="51"/>
  <c r="A272" i="51"/>
  <c r="F271" i="51"/>
  <c r="E271" i="51"/>
  <c r="D271" i="51"/>
  <c r="C271" i="51"/>
  <c r="B271" i="51"/>
  <c r="A271" i="51"/>
  <c r="F270" i="51"/>
  <c r="E270" i="51"/>
  <c r="D270" i="51"/>
  <c r="C270" i="51"/>
  <c r="B270" i="51"/>
  <c r="A270" i="51"/>
  <c r="F269" i="51"/>
  <c r="E269" i="51"/>
  <c r="D269" i="51"/>
  <c r="C269" i="51"/>
  <c r="B269" i="51"/>
  <c r="A269" i="51"/>
  <c r="F268" i="51"/>
  <c r="E268" i="51"/>
  <c r="D268" i="51"/>
  <c r="C268" i="51"/>
  <c r="B268" i="51"/>
  <c r="A268" i="51"/>
  <c r="F267" i="51"/>
  <c r="E267" i="51"/>
  <c r="D267" i="51"/>
  <c r="C267" i="51"/>
  <c r="B267" i="51"/>
  <c r="A267" i="51"/>
  <c r="F266" i="51"/>
  <c r="E266" i="51"/>
  <c r="D266" i="51"/>
  <c r="C266" i="51"/>
  <c r="B266" i="51"/>
  <c r="A266" i="51"/>
  <c r="F265" i="51"/>
  <c r="E265" i="51"/>
  <c r="D265" i="51"/>
  <c r="C265" i="51"/>
  <c r="B265" i="51"/>
  <c r="A265" i="51"/>
  <c r="F264" i="51"/>
  <c r="E264" i="51"/>
  <c r="D264" i="51"/>
  <c r="C264" i="51"/>
  <c r="B264" i="51"/>
  <c r="A264" i="51"/>
  <c r="F263" i="51"/>
  <c r="E263" i="51"/>
  <c r="D263" i="51"/>
  <c r="C263" i="51"/>
  <c r="B263" i="51"/>
  <c r="A263" i="51"/>
  <c r="F262" i="51"/>
  <c r="E262" i="51"/>
  <c r="D262" i="51"/>
  <c r="C262" i="51"/>
  <c r="B262" i="51"/>
  <c r="A262" i="51"/>
  <c r="F261" i="51"/>
  <c r="E261" i="51"/>
  <c r="D261" i="51"/>
  <c r="C261" i="51"/>
  <c r="B261" i="51"/>
  <c r="A261" i="51"/>
  <c r="F260" i="51"/>
  <c r="E260" i="51"/>
  <c r="D260" i="51"/>
  <c r="C260" i="51"/>
  <c r="B260" i="51"/>
  <c r="A260" i="51"/>
  <c r="F259" i="51"/>
  <c r="E259" i="51"/>
  <c r="D259" i="51"/>
  <c r="C259" i="51"/>
  <c r="B259" i="51"/>
  <c r="A259" i="51"/>
  <c r="F258" i="51"/>
  <c r="E258" i="51"/>
  <c r="D258" i="51"/>
  <c r="C258" i="51"/>
  <c r="B258" i="51"/>
  <c r="A258" i="51"/>
  <c r="F257" i="51"/>
  <c r="E257" i="51"/>
  <c r="D257" i="51"/>
  <c r="C257" i="51"/>
  <c r="B257" i="51"/>
  <c r="A257" i="51"/>
  <c r="F256" i="51"/>
  <c r="E256" i="51"/>
  <c r="D256" i="51"/>
  <c r="C256" i="51"/>
  <c r="B256" i="51"/>
  <c r="A256" i="51"/>
  <c r="F255" i="51"/>
  <c r="E255" i="51"/>
  <c r="D255" i="51"/>
  <c r="C255" i="51"/>
  <c r="B255" i="51"/>
  <c r="A255" i="51"/>
  <c r="F254" i="51"/>
  <c r="E254" i="51"/>
  <c r="D254" i="51"/>
  <c r="C254" i="51"/>
  <c r="B254" i="51"/>
  <c r="A254" i="51"/>
  <c r="F253" i="51"/>
  <c r="E253" i="51"/>
  <c r="D253" i="51"/>
  <c r="C253" i="51"/>
  <c r="B253" i="51"/>
  <c r="A253" i="51"/>
  <c r="F252" i="51"/>
  <c r="E252" i="51"/>
  <c r="D252" i="51"/>
  <c r="C252" i="51"/>
  <c r="B252" i="51"/>
  <c r="A252" i="51"/>
  <c r="F251" i="51"/>
  <c r="E251" i="51"/>
  <c r="D251" i="51"/>
  <c r="C251" i="51"/>
  <c r="B251" i="51"/>
  <c r="A251" i="51"/>
  <c r="F250" i="51"/>
  <c r="E250" i="51"/>
  <c r="D250" i="51"/>
  <c r="C250" i="51"/>
  <c r="B250" i="51"/>
  <c r="A250" i="51"/>
  <c r="F249" i="51"/>
  <c r="E249" i="51"/>
  <c r="D249" i="51"/>
  <c r="C249" i="51"/>
  <c r="B249" i="51"/>
  <c r="A249" i="51"/>
  <c r="F248" i="51"/>
  <c r="E248" i="51"/>
  <c r="D248" i="51"/>
  <c r="C248" i="51"/>
  <c r="B248" i="51"/>
  <c r="A248" i="51"/>
  <c r="F247" i="51"/>
  <c r="E247" i="51"/>
  <c r="D247" i="51"/>
  <c r="C247" i="51"/>
  <c r="B247" i="51"/>
  <c r="A247" i="51"/>
  <c r="F245" i="51"/>
  <c r="E245" i="51"/>
  <c r="D245" i="51"/>
  <c r="C245" i="51"/>
  <c r="B245" i="51"/>
  <c r="A245" i="51"/>
  <c r="F244" i="51"/>
  <c r="E244" i="51"/>
  <c r="D244" i="51"/>
  <c r="C244" i="51"/>
  <c r="B244" i="51"/>
  <c r="A244" i="51"/>
  <c r="F243" i="51"/>
  <c r="E243" i="51"/>
  <c r="D243" i="51"/>
  <c r="C243" i="51"/>
  <c r="B243" i="51"/>
  <c r="A243" i="51"/>
  <c r="F242" i="51"/>
  <c r="E242" i="51"/>
  <c r="D242" i="51"/>
  <c r="C242" i="51"/>
  <c r="B242" i="51"/>
  <c r="A242" i="51"/>
  <c r="F241" i="51"/>
  <c r="E241" i="51"/>
  <c r="D241" i="51"/>
  <c r="C241" i="51"/>
  <c r="B241" i="51"/>
  <c r="A241" i="51"/>
  <c r="F240" i="51"/>
  <c r="E240" i="51"/>
  <c r="D240" i="51"/>
  <c r="C240" i="51"/>
  <c r="B240" i="51"/>
  <c r="A240" i="51"/>
  <c r="F239" i="51"/>
  <c r="E239" i="51"/>
  <c r="D239" i="51"/>
  <c r="C239" i="51"/>
  <c r="B239" i="51"/>
  <c r="A239" i="51"/>
  <c r="F238" i="51"/>
  <c r="E238" i="51"/>
  <c r="D238" i="51"/>
  <c r="C238" i="51"/>
  <c r="B238" i="51"/>
  <c r="A238" i="51"/>
  <c r="F237" i="51"/>
  <c r="E237" i="51"/>
  <c r="D237" i="51"/>
  <c r="C237" i="51"/>
  <c r="B237" i="51"/>
  <c r="A237" i="51"/>
  <c r="F236" i="51"/>
  <c r="E236" i="51"/>
  <c r="D236" i="51"/>
  <c r="C236" i="51"/>
  <c r="B236" i="51"/>
  <c r="A236" i="51"/>
  <c r="F235" i="51"/>
  <c r="E235" i="51"/>
  <c r="D235" i="51"/>
  <c r="C235" i="51"/>
  <c r="B235" i="51"/>
  <c r="A235" i="51"/>
  <c r="F234" i="51"/>
  <c r="E234" i="51"/>
  <c r="D234" i="51"/>
  <c r="C234" i="51"/>
  <c r="B234" i="51"/>
  <c r="A234" i="51"/>
  <c r="F233" i="51"/>
  <c r="E233" i="51"/>
  <c r="D233" i="51"/>
  <c r="C233" i="51"/>
  <c r="B233" i="51"/>
  <c r="A233" i="51"/>
  <c r="F232" i="51"/>
  <c r="E232" i="51"/>
  <c r="D232" i="51"/>
  <c r="C232" i="51"/>
  <c r="B232" i="51"/>
  <c r="A232" i="51"/>
  <c r="F231" i="51"/>
  <c r="E231" i="51"/>
  <c r="D231" i="51"/>
  <c r="C231" i="51"/>
  <c r="B231" i="51"/>
  <c r="A231" i="51"/>
  <c r="F230" i="51"/>
  <c r="E230" i="51"/>
  <c r="D230" i="51"/>
  <c r="C230" i="51"/>
  <c r="B230" i="51"/>
  <c r="A230" i="51"/>
  <c r="F229" i="51"/>
  <c r="E229" i="51"/>
  <c r="D229" i="51"/>
  <c r="C229" i="51"/>
  <c r="B229" i="51"/>
  <c r="A229" i="51"/>
  <c r="F228" i="51"/>
  <c r="E228" i="51"/>
  <c r="D228" i="51"/>
  <c r="C228" i="51"/>
  <c r="B228" i="51"/>
  <c r="A228" i="51"/>
  <c r="F227" i="51"/>
  <c r="E227" i="51"/>
  <c r="D227" i="51"/>
  <c r="C227" i="51"/>
  <c r="B227" i="51"/>
  <c r="A227" i="51"/>
  <c r="F226" i="51"/>
  <c r="E226" i="51"/>
  <c r="D226" i="51"/>
  <c r="C226" i="51"/>
  <c r="B226" i="51"/>
  <c r="A226" i="51"/>
  <c r="F225" i="51"/>
  <c r="E225" i="51"/>
  <c r="D225" i="51"/>
  <c r="C225" i="51"/>
  <c r="B225" i="51"/>
  <c r="A225" i="51"/>
  <c r="F224" i="51"/>
  <c r="E224" i="51"/>
  <c r="D224" i="51"/>
  <c r="C224" i="51"/>
  <c r="B224" i="51"/>
  <c r="A224" i="51"/>
  <c r="F223" i="51"/>
  <c r="E223" i="51"/>
  <c r="D223" i="51"/>
  <c r="C223" i="51"/>
  <c r="B223" i="51"/>
  <c r="A223" i="51"/>
  <c r="F222" i="51"/>
  <c r="E222" i="51"/>
  <c r="D222" i="51"/>
  <c r="C222" i="51"/>
  <c r="B222" i="51"/>
  <c r="A222" i="51"/>
  <c r="F221" i="51"/>
  <c r="E221" i="51"/>
  <c r="D221" i="51"/>
  <c r="C221" i="51"/>
  <c r="B221" i="51"/>
  <c r="A221" i="51"/>
  <c r="F220" i="51"/>
  <c r="E220" i="51"/>
  <c r="D220" i="51"/>
  <c r="C220" i="51"/>
  <c r="B220" i="51"/>
  <c r="A220" i="51"/>
  <c r="F219" i="51"/>
  <c r="E219" i="51"/>
  <c r="D219" i="51"/>
  <c r="C219" i="51"/>
  <c r="B219" i="51"/>
  <c r="A219" i="51"/>
  <c r="F218" i="51"/>
  <c r="E218" i="51"/>
  <c r="D218" i="51"/>
  <c r="C218" i="51"/>
  <c r="B218" i="51"/>
  <c r="A218" i="51"/>
  <c r="F217" i="51"/>
  <c r="E217" i="51"/>
  <c r="D217" i="51"/>
  <c r="C217" i="51"/>
  <c r="B217" i="51"/>
  <c r="A217" i="51"/>
  <c r="F216" i="51"/>
  <c r="E216" i="51"/>
  <c r="D216" i="51"/>
  <c r="C216" i="51"/>
  <c r="B216" i="51"/>
  <c r="A216" i="51"/>
  <c r="F215" i="51"/>
  <c r="E215" i="51"/>
  <c r="D215" i="51"/>
  <c r="C215" i="51"/>
  <c r="B215" i="51"/>
  <c r="A215" i="51"/>
  <c r="F214" i="51"/>
  <c r="E214" i="51"/>
  <c r="D214" i="51"/>
  <c r="C214" i="51"/>
  <c r="B214" i="51"/>
  <c r="A214" i="51"/>
  <c r="F213" i="51"/>
  <c r="E213" i="51"/>
  <c r="D213" i="51"/>
  <c r="C213" i="51"/>
  <c r="B213" i="51"/>
  <c r="A213" i="51"/>
  <c r="F212" i="51"/>
  <c r="E212" i="51"/>
  <c r="D212" i="51"/>
  <c r="C212" i="51"/>
  <c r="B212" i="51"/>
  <c r="A212" i="51"/>
  <c r="F211" i="51"/>
  <c r="E211" i="51"/>
  <c r="D211" i="51"/>
  <c r="C211" i="51"/>
  <c r="B211" i="51"/>
  <c r="A211" i="51"/>
  <c r="F210" i="51"/>
  <c r="E210" i="51"/>
  <c r="D210" i="51"/>
  <c r="C210" i="51"/>
  <c r="B210" i="51"/>
  <c r="A210" i="51"/>
  <c r="F209" i="51"/>
  <c r="E209" i="51"/>
  <c r="D209" i="51"/>
  <c r="C209" i="51"/>
  <c r="B209" i="51"/>
  <c r="A209" i="51"/>
  <c r="F208" i="51"/>
  <c r="E208" i="51"/>
  <c r="D208" i="51"/>
  <c r="C208" i="51"/>
  <c r="B208" i="51"/>
  <c r="A208" i="51"/>
  <c r="F207" i="51"/>
  <c r="E207" i="51"/>
  <c r="D207" i="51"/>
  <c r="C207" i="51"/>
  <c r="B207" i="51"/>
  <c r="A207" i="51"/>
  <c r="F206" i="51"/>
  <c r="E206" i="51"/>
  <c r="D206" i="51"/>
  <c r="C206" i="51"/>
  <c r="B206" i="51"/>
  <c r="A206" i="51"/>
  <c r="F205" i="51"/>
  <c r="E205" i="51"/>
  <c r="D205" i="51"/>
  <c r="C205" i="51"/>
  <c r="B205" i="51"/>
  <c r="A205" i="51"/>
  <c r="F204" i="51"/>
  <c r="E204" i="51"/>
  <c r="D204" i="51"/>
  <c r="C204" i="51"/>
  <c r="B204" i="51"/>
  <c r="A204" i="51"/>
  <c r="F203" i="51"/>
  <c r="E203" i="51"/>
  <c r="D203" i="51"/>
  <c r="C203" i="51"/>
  <c r="B203" i="51"/>
  <c r="A203" i="51"/>
  <c r="F202" i="51"/>
  <c r="E202" i="51"/>
  <c r="D202" i="51"/>
  <c r="C202" i="51"/>
  <c r="B202" i="51"/>
  <c r="A202" i="51"/>
  <c r="F201" i="51"/>
  <c r="E201" i="51"/>
  <c r="D201" i="51"/>
  <c r="C201" i="51"/>
  <c r="B201" i="51"/>
  <c r="A201" i="51"/>
  <c r="F200" i="51"/>
  <c r="E200" i="51"/>
  <c r="D200" i="51"/>
  <c r="C200" i="51"/>
  <c r="B200" i="51"/>
  <c r="A200" i="51"/>
  <c r="F199" i="51"/>
  <c r="E199" i="51"/>
  <c r="D199" i="51"/>
  <c r="C199" i="51"/>
  <c r="B199" i="51"/>
  <c r="A199" i="51"/>
  <c r="F198" i="51"/>
  <c r="E198" i="51"/>
  <c r="D198" i="51"/>
  <c r="C198" i="51"/>
  <c r="B198" i="51"/>
  <c r="A198" i="51"/>
  <c r="F197" i="51"/>
  <c r="E197" i="51"/>
  <c r="D197" i="51"/>
  <c r="C197" i="51"/>
  <c r="B197" i="51"/>
  <c r="A197" i="51"/>
  <c r="F196" i="51"/>
  <c r="E196" i="51"/>
  <c r="D196" i="51"/>
  <c r="C196" i="51"/>
  <c r="B196" i="51"/>
  <c r="A196" i="51"/>
  <c r="F195" i="51"/>
  <c r="E195" i="51"/>
  <c r="D195" i="51"/>
  <c r="C195" i="51"/>
  <c r="B195" i="51"/>
  <c r="A195" i="51"/>
  <c r="F194" i="51"/>
  <c r="E194" i="51"/>
  <c r="D194" i="51"/>
  <c r="C194" i="51"/>
  <c r="B194" i="51"/>
  <c r="A194" i="51"/>
  <c r="F193" i="51"/>
  <c r="E193" i="51"/>
  <c r="D193" i="51"/>
  <c r="C193" i="51"/>
  <c r="B193" i="51"/>
  <c r="A193" i="51"/>
  <c r="F192" i="51"/>
  <c r="E192" i="51"/>
  <c r="D192" i="51"/>
  <c r="C192" i="51"/>
  <c r="B192" i="51"/>
  <c r="A192" i="51"/>
  <c r="F191" i="51"/>
  <c r="E191" i="51"/>
  <c r="D191" i="51"/>
  <c r="C191" i="51"/>
  <c r="B191" i="51"/>
  <c r="A191" i="51"/>
  <c r="F190" i="51"/>
  <c r="E190" i="51"/>
  <c r="D190" i="51"/>
  <c r="C190" i="51"/>
  <c r="B190" i="51"/>
  <c r="A190" i="51"/>
  <c r="F189" i="51"/>
  <c r="E189" i="51"/>
  <c r="D189" i="51"/>
  <c r="C189" i="51"/>
  <c r="B189" i="51"/>
  <c r="A189" i="51"/>
  <c r="F188" i="51"/>
  <c r="E188" i="51"/>
  <c r="D188" i="51"/>
  <c r="C188" i="51"/>
  <c r="B188" i="51"/>
  <c r="A188" i="51"/>
  <c r="F187" i="51"/>
  <c r="E187" i="51"/>
  <c r="D187" i="51"/>
  <c r="C187" i="51"/>
  <c r="B187" i="51"/>
  <c r="A187" i="51"/>
  <c r="F186" i="51"/>
  <c r="E186" i="51"/>
  <c r="D186" i="51"/>
  <c r="C186" i="51"/>
  <c r="B186" i="51"/>
  <c r="A186" i="51"/>
  <c r="F184" i="51"/>
  <c r="E184" i="51"/>
  <c r="D184" i="51"/>
  <c r="C184" i="51"/>
  <c r="B184" i="51"/>
  <c r="A184" i="51"/>
  <c r="F183" i="51"/>
  <c r="E183" i="51"/>
  <c r="D183" i="51"/>
  <c r="C183" i="51"/>
  <c r="B183" i="51"/>
  <c r="A183" i="51"/>
  <c r="F182" i="51"/>
  <c r="E182" i="51"/>
  <c r="D182" i="51"/>
  <c r="C182" i="51"/>
  <c r="B182" i="51"/>
  <c r="A182" i="51"/>
  <c r="F181" i="51"/>
  <c r="E181" i="51"/>
  <c r="D181" i="51"/>
  <c r="C181" i="51"/>
  <c r="B181" i="51"/>
  <c r="A181" i="51"/>
  <c r="F180" i="51"/>
  <c r="E180" i="51"/>
  <c r="D180" i="51"/>
  <c r="C180" i="51"/>
  <c r="B180" i="51"/>
  <c r="A180" i="51"/>
  <c r="F179" i="51"/>
  <c r="E179" i="51"/>
  <c r="D179" i="51"/>
  <c r="C179" i="51"/>
  <c r="B179" i="51"/>
  <c r="A179" i="51"/>
  <c r="F178" i="51"/>
  <c r="E178" i="51"/>
  <c r="D178" i="51"/>
  <c r="C178" i="51"/>
  <c r="B178" i="51"/>
  <c r="A178" i="51"/>
  <c r="F177" i="51"/>
  <c r="E177" i="51"/>
  <c r="D177" i="51"/>
  <c r="C177" i="51"/>
  <c r="B177" i="51"/>
  <c r="A177" i="51"/>
  <c r="F176" i="51"/>
  <c r="E176" i="51"/>
  <c r="D176" i="51"/>
  <c r="C176" i="51"/>
  <c r="B176" i="51"/>
  <c r="A176" i="51"/>
  <c r="F175" i="51"/>
  <c r="E175" i="51"/>
  <c r="D175" i="51"/>
  <c r="C175" i="51"/>
  <c r="B175" i="51"/>
  <c r="A175" i="51"/>
  <c r="F174" i="51"/>
  <c r="E174" i="51"/>
  <c r="D174" i="51"/>
  <c r="C174" i="51"/>
  <c r="B174" i="51"/>
  <c r="A174" i="51"/>
  <c r="F173" i="51"/>
  <c r="E173" i="51"/>
  <c r="D173" i="51"/>
  <c r="C173" i="51"/>
  <c r="B173" i="51"/>
  <c r="A173" i="51"/>
  <c r="F172" i="51"/>
  <c r="E172" i="51"/>
  <c r="D172" i="51"/>
  <c r="C172" i="51"/>
  <c r="B172" i="51"/>
  <c r="A172" i="51"/>
  <c r="F171" i="51"/>
  <c r="E171" i="51"/>
  <c r="D171" i="51"/>
  <c r="C171" i="51"/>
  <c r="B171" i="51"/>
  <c r="A171" i="51"/>
  <c r="F170" i="51"/>
  <c r="E170" i="51"/>
  <c r="D170" i="51"/>
  <c r="C170" i="51"/>
  <c r="B170" i="51"/>
  <c r="A170" i="51"/>
  <c r="F169" i="51"/>
  <c r="E169" i="51"/>
  <c r="D169" i="51"/>
  <c r="C169" i="51"/>
  <c r="B169" i="51"/>
  <c r="A169" i="51"/>
  <c r="F168" i="51"/>
  <c r="E168" i="51"/>
  <c r="D168" i="51"/>
  <c r="C168" i="51"/>
  <c r="B168" i="51"/>
  <c r="A168" i="51"/>
  <c r="F167" i="51"/>
  <c r="E167" i="51"/>
  <c r="D167" i="51"/>
  <c r="C167" i="51"/>
  <c r="B167" i="51"/>
  <c r="A167" i="51"/>
  <c r="F166" i="51"/>
  <c r="E166" i="51"/>
  <c r="D166" i="51"/>
  <c r="C166" i="51"/>
  <c r="B166" i="51"/>
  <c r="A166" i="51"/>
  <c r="F165" i="51"/>
  <c r="E165" i="51"/>
  <c r="D165" i="51"/>
  <c r="C165" i="51"/>
  <c r="B165" i="51"/>
  <c r="A165" i="51"/>
  <c r="F164" i="51"/>
  <c r="E164" i="51"/>
  <c r="D164" i="51"/>
  <c r="C164" i="51"/>
  <c r="B164" i="51"/>
  <c r="A164" i="51"/>
  <c r="F163" i="51"/>
  <c r="E163" i="51"/>
  <c r="D163" i="51"/>
  <c r="C163" i="51"/>
  <c r="B163" i="51"/>
  <c r="A163" i="51"/>
  <c r="F162" i="51"/>
  <c r="E162" i="51"/>
  <c r="D162" i="51"/>
  <c r="C162" i="51"/>
  <c r="B162" i="51"/>
  <c r="A162" i="51"/>
  <c r="F161" i="51"/>
  <c r="E161" i="51"/>
  <c r="D161" i="51"/>
  <c r="C161" i="51"/>
  <c r="B161" i="51"/>
  <c r="A161" i="51"/>
  <c r="F160" i="51"/>
  <c r="E160" i="51"/>
  <c r="D160" i="51"/>
  <c r="C160" i="51"/>
  <c r="B160" i="51"/>
  <c r="A160" i="51"/>
  <c r="F159" i="51"/>
  <c r="E159" i="51"/>
  <c r="D159" i="51"/>
  <c r="C159" i="51"/>
  <c r="B159" i="51"/>
  <c r="A159" i="51"/>
  <c r="F158" i="51"/>
  <c r="E158" i="51"/>
  <c r="D158" i="51"/>
  <c r="C158" i="51"/>
  <c r="B158" i="51"/>
  <c r="A158" i="51"/>
  <c r="F157" i="51"/>
  <c r="E157" i="51"/>
  <c r="D157" i="51"/>
  <c r="C157" i="51"/>
  <c r="B157" i="51"/>
  <c r="A157" i="51"/>
  <c r="F156" i="51"/>
  <c r="E156" i="51"/>
  <c r="D156" i="51"/>
  <c r="C156" i="51"/>
  <c r="B156" i="51"/>
  <c r="A156" i="51"/>
  <c r="F155" i="51"/>
  <c r="E155" i="51"/>
  <c r="D155" i="51"/>
  <c r="C155" i="51"/>
  <c r="B155" i="51"/>
  <c r="A155" i="51"/>
  <c r="F154" i="51"/>
  <c r="E154" i="51"/>
  <c r="D154" i="51"/>
  <c r="C154" i="51"/>
  <c r="B154" i="51"/>
  <c r="A154" i="51"/>
  <c r="F153" i="51"/>
  <c r="E153" i="51"/>
  <c r="D153" i="51"/>
  <c r="C153" i="51"/>
  <c r="B153" i="51"/>
  <c r="A153" i="51"/>
  <c r="F152" i="51"/>
  <c r="E152" i="51"/>
  <c r="D152" i="51"/>
  <c r="C152" i="51"/>
  <c r="B152" i="51"/>
  <c r="A152" i="51"/>
  <c r="F151" i="51"/>
  <c r="E151" i="51"/>
  <c r="D151" i="51"/>
  <c r="C151" i="51"/>
  <c r="B151" i="51"/>
  <c r="A151" i="51"/>
  <c r="F150" i="51"/>
  <c r="E150" i="51"/>
  <c r="D150" i="51"/>
  <c r="C150" i="51"/>
  <c r="B150" i="51"/>
  <c r="A150" i="51"/>
  <c r="F149" i="51"/>
  <c r="E149" i="51"/>
  <c r="D149" i="51"/>
  <c r="C149" i="51"/>
  <c r="B149" i="51"/>
  <c r="A149" i="51"/>
  <c r="F148" i="51"/>
  <c r="E148" i="51"/>
  <c r="D148" i="51"/>
  <c r="C148" i="51"/>
  <c r="B148" i="51"/>
  <c r="A148" i="51"/>
  <c r="F147" i="51"/>
  <c r="E147" i="51"/>
  <c r="D147" i="51"/>
  <c r="C147" i="51"/>
  <c r="B147" i="51"/>
  <c r="A147" i="51"/>
  <c r="F146" i="51"/>
  <c r="E146" i="51"/>
  <c r="D146" i="51"/>
  <c r="C146" i="51"/>
  <c r="B146" i="51"/>
  <c r="A146" i="51"/>
  <c r="F145" i="51"/>
  <c r="E145" i="51"/>
  <c r="D145" i="51"/>
  <c r="C145" i="51"/>
  <c r="B145" i="51"/>
  <c r="A145" i="51"/>
  <c r="F144" i="51"/>
  <c r="E144" i="51"/>
  <c r="D144" i="51"/>
  <c r="C144" i="51"/>
  <c r="B144" i="51"/>
  <c r="A144" i="51"/>
  <c r="F143" i="51"/>
  <c r="E143" i="51"/>
  <c r="D143" i="51"/>
  <c r="C143" i="51"/>
  <c r="B143" i="51"/>
  <c r="A143" i="51"/>
  <c r="F142" i="51"/>
  <c r="E142" i="51"/>
  <c r="D142" i="51"/>
  <c r="C142" i="51"/>
  <c r="B142" i="51"/>
  <c r="A142" i="51"/>
  <c r="F141" i="51"/>
  <c r="E141" i="51"/>
  <c r="D141" i="51"/>
  <c r="C141" i="51"/>
  <c r="B141" i="51"/>
  <c r="A141" i="51"/>
  <c r="F140" i="51"/>
  <c r="E140" i="51"/>
  <c r="D140" i="51"/>
  <c r="C140" i="51"/>
  <c r="B140" i="51"/>
  <c r="A140" i="51"/>
  <c r="F139" i="51"/>
  <c r="E139" i="51"/>
  <c r="D139" i="51"/>
  <c r="C139" i="51"/>
  <c r="B139" i="51"/>
  <c r="A139" i="51"/>
  <c r="F138" i="51"/>
  <c r="E138" i="51"/>
  <c r="D138" i="51"/>
  <c r="C138" i="51"/>
  <c r="B138" i="51"/>
  <c r="A138" i="51"/>
  <c r="F137" i="51"/>
  <c r="E137" i="51"/>
  <c r="D137" i="51"/>
  <c r="C137" i="51"/>
  <c r="B137" i="51"/>
  <c r="A137" i="51"/>
  <c r="F136" i="51"/>
  <c r="E136" i="51"/>
  <c r="D136" i="51"/>
  <c r="C136" i="51"/>
  <c r="B136" i="51"/>
  <c r="A136" i="51"/>
  <c r="F135" i="51"/>
  <c r="E135" i="51"/>
  <c r="D135" i="51"/>
  <c r="C135" i="51"/>
  <c r="B135" i="51"/>
  <c r="A135" i="51"/>
  <c r="F134" i="51"/>
  <c r="E134" i="51"/>
  <c r="D134" i="51"/>
  <c r="C134" i="51"/>
  <c r="B134" i="51"/>
  <c r="A134" i="51"/>
  <c r="F133" i="51"/>
  <c r="E133" i="51"/>
  <c r="D133" i="51"/>
  <c r="C133" i="51"/>
  <c r="B133" i="51"/>
  <c r="A133" i="51"/>
  <c r="F132" i="51"/>
  <c r="E132" i="51"/>
  <c r="D132" i="51"/>
  <c r="C132" i="51"/>
  <c r="B132" i="51"/>
  <c r="A132" i="51"/>
  <c r="F131" i="51"/>
  <c r="E131" i="51"/>
  <c r="D131" i="51"/>
  <c r="C131" i="51"/>
  <c r="B131" i="51"/>
  <c r="A131" i="51"/>
  <c r="F130" i="51"/>
  <c r="E130" i="51"/>
  <c r="D130" i="51"/>
  <c r="C130" i="51"/>
  <c r="B130" i="51"/>
  <c r="A130" i="51"/>
  <c r="F129" i="51"/>
  <c r="E129" i="51"/>
  <c r="D129" i="51"/>
  <c r="C129" i="51"/>
  <c r="B129" i="51"/>
  <c r="A129" i="51"/>
  <c r="F128" i="51"/>
  <c r="E128" i="51"/>
  <c r="D128" i="51"/>
  <c r="C128" i="51"/>
  <c r="B128" i="51"/>
  <c r="A128" i="51"/>
  <c r="F127" i="51"/>
  <c r="E127" i="51"/>
  <c r="D127" i="51"/>
  <c r="C127" i="51"/>
  <c r="B127" i="51"/>
  <c r="A127" i="51"/>
  <c r="F126" i="51"/>
  <c r="E126" i="51"/>
  <c r="D126" i="51"/>
  <c r="C126" i="51"/>
  <c r="B126" i="51"/>
  <c r="A126" i="51"/>
  <c r="F125" i="51"/>
  <c r="E125" i="51"/>
  <c r="D125" i="51"/>
  <c r="B125" i="51"/>
  <c r="A125" i="51"/>
  <c r="F123" i="51"/>
  <c r="E123" i="51"/>
  <c r="D123" i="51"/>
  <c r="C123" i="51"/>
  <c r="B123" i="51"/>
  <c r="A123" i="51"/>
  <c r="F122" i="51"/>
  <c r="E122" i="51"/>
  <c r="D122" i="51"/>
  <c r="C122" i="51"/>
  <c r="B122" i="51"/>
  <c r="A122" i="51"/>
  <c r="F121" i="51"/>
  <c r="E121" i="51"/>
  <c r="D121" i="51"/>
  <c r="C121" i="51"/>
  <c r="B121" i="51"/>
  <c r="A121" i="51"/>
  <c r="F120" i="51"/>
  <c r="E120" i="51"/>
  <c r="D120" i="51"/>
  <c r="C120" i="51"/>
  <c r="B120" i="51"/>
  <c r="A120" i="51"/>
  <c r="F119" i="51"/>
  <c r="E119" i="51"/>
  <c r="D119" i="51"/>
  <c r="C119" i="51"/>
  <c r="B119" i="51"/>
  <c r="A119" i="51"/>
  <c r="F118" i="51"/>
  <c r="E118" i="51"/>
  <c r="D118" i="51"/>
  <c r="C118" i="51"/>
  <c r="B118" i="51"/>
  <c r="A118" i="51"/>
  <c r="F117" i="51"/>
  <c r="E117" i="51"/>
  <c r="D117" i="51"/>
  <c r="C117" i="51"/>
  <c r="B117" i="51"/>
  <c r="A117" i="51"/>
  <c r="F116" i="51"/>
  <c r="E116" i="51"/>
  <c r="D116" i="51"/>
  <c r="C116" i="51"/>
  <c r="B116" i="51"/>
  <c r="A116" i="51"/>
  <c r="F115" i="51"/>
  <c r="E115" i="51"/>
  <c r="D115" i="51"/>
  <c r="C115" i="51"/>
  <c r="B115" i="51"/>
  <c r="A115" i="51"/>
  <c r="F114" i="51"/>
  <c r="E114" i="51"/>
  <c r="D114" i="51"/>
  <c r="C114" i="51"/>
  <c r="B114" i="51"/>
  <c r="A114" i="51"/>
  <c r="F113" i="51"/>
  <c r="E113" i="51"/>
  <c r="D113" i="51"/>
  <c r="C113" i="51"/>
  <c r="B113" i="51"/>
  <c r="A113" i="51"/>
  <c r="F112" i="51"/>
  <c r="E112" i="51"/>
  <c r="D112" i="51"/>
  <c r="C112" i="51"/>
  <c r="B112" i="51"/>
  <c r="A112" i="51"/>
  <c r="F111" i="51"/>
  <c r="E111" i="51"/>
  <c r="D111" i="51"/>
  <c r="C111" i="51"/>
  <c r="B111" i="51"/>
  <c r="A111" i="51"/>
  <c r="F110" i="51"/>
  <c r="E110" i="51"/>
  <c r="D110" i="51"/>
  <c r="C110" i="51"/>
  <c r="B110" i="51"/>
  <c r="A110" i="51"/>
  <c r="F109" i="51"/>
  <c r="E109" i="51"/>
  <c r="D109" i="51"/>
  <c r="C109" i="51"/>
  <c r="B109" i="51"/>
  <c r="A109" i="51"/>
  <c r="F108" i="51"/>
  <c r="E108" i="51"/>
  <c r="D108" i="51"/>
  <c r="C108" i="51"/>
  <c r="B108" i="51"/>
  <c r="A108" i="51"/>
  <c r="F107" i="51"/>
  <c r="E107" i="51"/>
  <c r="D107" i="51"/>
  <c r="C107" i="51"/>
  <c r="B107" i="51"/>
  <c r="A107" i="51"/>
  <c r="F106" i="51"/>
  <c r="E106" i="51"/>
  <c r="D106" i="51"/>
  <c r="C106" i="51"/>
  <c r="B106" i="51"/>
  <c r="A106" i="51"/>
  <c r="F105" i="51"/>
  <c r="E105" i="51"/>
  <c r="D105" i="51"/>
  <c r="C105" i="51"/>
  <c r="B105" i="51"/>
  <c r="A105" i="51"/>
  <c r="F104" i="51"/>
  <c r="E104" i="51"/>
  <c r="D104" i="51"/>
  <c r="C104" i="51"/>
  <c r="B104" i="51"/>
  <c r="A104" i="51"/>
  <c r="F103" i="51"/>
  <c r="E103" i="51"/>
  <c r="D103" i="51"/>
  <c r="C103" i="51"/>
  <c r="B103" i="51"/>
  <c r="A103" i="51"/>
  <c r="F102" i="51"/>
  <c r="E102" i="51"/>
  <c r="D102" i="51"/>
  <c r="C102" i="51"/>
  <c r="B102" i="51"/>
  <c r="A102" i="51"/>
  <c r="F101" i="51"/>
  <c r="E101" i="51"/>
  <c r="D101" i="51"/>
  <c r="C101" i="51"/>
  <c r="B101" i="51"/>
  <c r="A101" i="51"/>
  <c r="F100" i="51"/>
  <c r="E100" i="51"/>
  <c r="D100" i="51"/>
  <c r="C100" i="51"/>
  <c r="B100" i="51"/>
  <c r="A100" i="51"/>
  <c r="F99" i="51"/>
  <c r="E99" i="51"/>
  <c r="D99" i="51"/>
  <c r="C99" i="51"/>
  <c r="B99" i="51"/>
  <c r="A99" i="51"/>
  <c r="F98" i="51"/>
  <c r="E98" i="51"/>
  <c r="D98" i="51"/>
  <c r="C98" i="51"/>
  <c r="B98" i="51"/>
  <c r="A98" i="51"/>
  <c r="F97" i="51"/>
  <c r="E97" i="51"/>
  <c r="D97" i="51"/>
  <c r="C97" i="51"/>
  <c r="B97" i="51"/>
  <c r="A97" i="51"/>
  <c r="F96" i="51"/>
  <c r="E96" i="51"/>
  <c r="D96" i="51"/>
  <c r="C96" i="51"/>
  <c r="B96" i="51"/>
  <c r="A96" i="51"/>
  <c r="F95" i="51"/>
  <c r="E95" i="51"/>
  <c r="D95" i="51"/>
  <c r="C95" i="51"/>
  <c r="B95" i="51"/>
  <c r="A95" i="51"/>
  <c r="F94" i="51"/>
  <c r="E94" i="51"/>
  <c r="D94" i="51"/>
  <c r="C94" i="51"/>
  <c r="B94" i="51"/>
  <c r="A94" i="51"/>
  <c r="F93" i="51"/>
  <c r="E93" i="51"/>
  <c r="D93" i="51"/>
  <c r="C93" i="51"/>
  <c r="B93" i="51"/>
  <c r="A93" i="51"/>
  <c r="F92" i="51"/>
  <c r="E92" i="51"/>
  <c r="D92" i="51"/>
  <c r="C92" i="51"/>
  <c r="B92" i="51"/>
  <c r="A92" i="51"/>
  <c r="F91" i="51"/>
  <c r="E91" i="51"/>
  <c r="D91" i="51"/>
  <c r="C91" i="51"/>
  <c r="B91" i="51"/>
  <c r="A91" i="51"/>
  <c r="F90" i="51"/>
  <c r="E90" i="51"/>
  <c r="D90" i="51"/>
  <c r="C90" i="51"/>
  <c r="B90" i="51"/>
  <c r="A90" i="51"/>
  <c r="F89" i="51"/>
  <c r="E89" i="51"/>
  <c r="D89" i="51"/>
  <c r="C89" i="51"/>
  <c r="B89" i="51"/>
  <c r="A89" i="51"/>
  <c r="F88" i="51"/>
  <c r="E88" i="51"/>
  <c r="D88" i="51"/>
  <c r="C88" i="51"/>
  <c r="B88" i="51"/>
  <c r="A88" i="51"/>
  <c r="F87" i="51"/>
  <c r="E87" i="51"/>
  <c r="D87" i="51"/>
  <c r="C87" i="51"/>
  <c r="B87" i="51"/>
  <c r="A87" i="51"/>
  <c r="F86" i="51"/>
  <c r="E86" i="51"/>
  <c r="D86" i="51"/>
  <c r="C86" i="51"/>
  <c r="B86" i="51"/>
  <c r="A86" i="51"/>
  <c r="F85" i="51"/>
  <c r="E85" i="51"/>
  <c r="D85" i="51"/>
  <c r="C85" i="51"/>
  <c r="B85" i="51"/>
  <c r="A85" i="51"/>
  <c r="F84" i="51"/>
  <c r="E84" i="51"/>
  <c r="D84" i="51"/>
  <c r="C84" i="51"/>
  <c r="B84" i="51"/>
  <c r="A84" i="51"/>
  <c r="F83" i="51"/>
  <c r="E83" i="51"/>
  <c r="D83" i="51"/>
  <c r="C83" i="51"/>
  <c r="B83" i="51"/>
  <c r="A83" i="51"/>
  <c r="F82" i="51"/>
  <c r="E82" i="51"/>
  <c r="D82" i="51"/>
  <c r="C82" i="51"/>
  <c r="B82" i="51"/>
  <c r="A82" i="51"/>
  <c r="F81" i="51"/>
  <c r="E81" i="51"/>
  <c r="D81" i="51"/>
  <c r="C81" i="51"/>
  <c r="B81" i="51"/>
  <c r="A81" i="51"/>
  <c r="F80" i="51"/>
  <c r="E80" i="51"/>
  <c r="D80" i="51"/>
  <c r="C80" i="51"/>
  <c r="B80" i="51"/>
  <c r="A80" i="51"/>
  <c r="F79" i="51"/>
  <c r="E79" i="51"/>
  <c r="D79" i="51"/>
  <c r="C79" i="51"/>
  <c r="B79" i="51"/>
  <c r="A79" i="51"/>
  <c r="F78" i="51"/>
  <c r="E78" i="51"/>
  <c r="D78" i="51"/>
  <c r="C78" i="51"/>
  <c r="B78" i="51"/>
  <c r="A78" i="51"/>
  <c r="F77" i="51"/>
  <c r="E77" i="51"/>
  <c r="D77" i="51"/>
  <c r="C77" i="51"/>
  <c r="B77" i="51"/>
  <c r="A77" i="51"/>
  <c r="F76" i="51"/>
  <c r="E76" i="51"/>
  <c r="D76" i="51"/>
  <c r="C76" i="51"/>
  <c r="B76" i="51"/>
  <c r="A76" i="51"/>
  <c r="F75" i="51"/>
  <c r="E75" i="51"/>
  <c r="D75" i="51"/>
  <c r="C75" i="51"/>
  <c r="B75" i="51"/>
  <c r="A75" i="51"/>
  <c r="F74" i="51"/>
  <c r="E74" i="51"/>
  <c r="D74" i="51"/>
  <c r="C74" i="51"/>
  <c r="B74" i="51"/>
  <c r="A74" i="51"/>
  <c r="F73" i="51"/>
  <c r="E73" i="51"/>
  <c r="D73" i="51"/>
  <c r="C73" i="51"/>
  <c r="B73" i="51"/>
  <c r="A73" i="51"/>
  <c r="F72" i="51"/>
  <c r="E72" i="51"/>
  <c r="D72" i="51"/>
  <c r="C72" i="51"/>
  <c r="B72" i="51"/>
  <c r="A72" i="51"/>
  <c r="F71" i="51"/>
  <c r="E71" i="51"/>
  <c r="D71" i="51"/>
  <c r="C71" i="51"/>
  <c r="B71" i="51"/>
  <c r="A71" i="51"/>
  <c r="F70" i="51"/>
  <c r="E70" i="51"/>
  <c r="D70" i="51"/>
  <c r="C70" i="51"/>
  <c r="B70" i="51"/>
  <c r="A70" i="51"/>
  <c r="F69" i="51"/>
  <c r="E69" i="51"/>
  <c r="D69" i="51"/>
  <c r="C69" i="51"/>
  <c r="B69" i="51"/>
  <c r="A69" i="51"/>
  <c r="F68" i="51"/>
  <c r="E68" i="51"/>
  <c r="D68" i="51"/>
  <c r="C68" i="51"/>
  <c r="B68" i="51"/>
  <c r="A68" i="51"/>
  <c r="F67" i="51"/>
  <c r="E67" i="51"/>
  <c r="D67" i="51"/>
  <c r="C67" i="51"/>
  <c r="B67" i="51"/>
  <c r="A67" i="51"/>
  <c r="F66" i="51"/>
  <c r="E66" i="51"/>
  <c r="D66" i="51"/>
  <c r="C66" i="51"/>
  <c r="B66" i="51"/>
  <c r="A66" i="51"/>
  <c r="F65" i="51"/>
  <c r="E65" i="51"/>
  <c r="D65" i="51"/>
  <c r="C65" i="51"/>
  <c r="B65" i="51"/>
  <c r="A65" i="51"/>
  <c r="F64" i="51"/>
  <c r="E64" i="51"/>
  <c r="D64" i="51"/>
  <c r="C64" i="51"/>
  <c r="B64" i="51"/>
  <c r="A64" i="51"/>
  <c r="F62" i="51"/>
  <c r="E62" i="51"/>
  <c r="D62" i="51"/>
  <c r="C62" i="51"/>
  <c r="B62" i="51"/>
  <c r="A62" i="51"/>
  <c r="F61" i="51"/>
  <c r="E61" i="51"/>
  <c r="D61" i="51"/>
  <c r="C61" i="51"/>
  <c r="B61" i="51"/>
  <c r="A61" i="51"/>
  <c r="F60" i="51"/>
  <c r="E60" i="51"/>
  <c r="D60" i="51"/>
  <c r="C60" i="51"/>
  <c r="B60" i="51"/>
  <c r="A60" i="51"/>
  <c r="F59" i="51"/>
  <c r="E59" i="51"/>
  <c r="D59" i="51"/>
  <c r="C59" i="51"/>
  <c r="B59" i="51"/>
  <c r="A59" i="51"/>
  <c r="F58" i="51"/>
  <c r="E58" i="51"/>
  <c r="D58" i="51"/>
  <c r="C58" i="51"/>
  <c r="B58" i="51"/>
  <c r="A58" i="51"/>
  <c r="F57" i="51"/>
  <c r="E57" i="51"/>
  <c r="D57" i="51"/>
  <c r="C57" i="51"/>
  <c r="B57" i="51"/>
  <c r="A57" i="51"/>
  <c r="F56" i="51"/>
  <c r="E56" i="51"/>
  <c r="D56" i="51"/>
  <c r="C56" i="51"/>
  <c r="B56" i="51"/>
  <c r="A56" i="51"/>
  <c r="F55" i="51"/>
  <c r="E55" i="51"/>
  <c r="D55" i="51"/>
  <c r="C55" i="51"/>
  <c r="B55" i="51"/>
  <c r="A55" i="51"/>
  <c r="F54" i="51"/>
  <c r="E54" i="51"/>
  <c r="D54" i="51"/>
  <c r="C54" i="51"/>
  <c r="B54" i="51"/>
  <c r="A54" i="51"/>
  <c r="F53" i="51"/>
  <c r="E53" i="51"/>
  <c r="D53" i="51"/>
  <c r="C53" i="51"/>
  <c r="B53" i="51"/>
  <c r="A53" i="51"/>
  <c r="F52" i="51"/>
  <c r="E52" i="51"/>
  <c r="D52" i="51"/>
  <c r="C52" i="51"/>
  <c r="B52" i="51"/>
  <c r="A52" i="51"/>
  <c r="F51" i="51"/>
  <c r="E51" i="51"/>
  <c r="D51" i="51"/>
  <c r="C51" i="51"/>
  <c r="B51" i="51"/>
  <c r="A51" i="51"/>
  <c r="F50" i="51"/>
  <c r="E50" i="51"/>
  <c r="D50" i="51"/>
  <c r="C50" i="51"/>
  <c r="B50" i="51"/>
  <c r="A50" i="51"/>
  <c r="F49" i="51"/>
  <c r="E49" i="51"/>
  <c r="D49" i="51"/>
  <c r="C49" i="51"/>
  <c r="B49" i="51"/>
  <c r="A49" i="51"/>
  <c r="F48" i="51"/>
  <c r="E48" i="51"/>
  <c r="D48" i="51"/>
  <c r="C48" i="51"/>
  <c r="B48" i="51"/>
  <c r="A48" i="51"/>
  <c r="F47" i="51"/>
  <c r="E47" i="51"/>
  <c r="D47" i="51"/>
  <c r="C47" i="51"/>
  <c r="B47" i="51"/>
  <c r="A47" i="51"/>
  <c r="F46" i="51"/>
  <c r="E46" i="51"/>
  <c r="D46" i="51"/>
  <c r="C46" i="51"/>
  <c r="B46" i="51"/>
  <c r="A46" i="51"/>
  <c r="F45" i="51"/>
  <c r="E45" i="51"/>
  <c r="D45" i="51"/>
  <c r="C45" i="51"/>
  <c r="B45" i="51"/>
  <c r="A45" i="51"/>
  <c r="F44" i="51"/>
  <c r="E44" i="51"/>
  <c r="D44" i="51"/>
  <c r="C44" i="51"/>
  <c r="B44" i="51"/>
  <c r="A44" i="51"/>
  <c r="F43" i="51"/>
  <c r="E43" i="51"/>
  <c r="D43" i="51"/>
  <c r="C43" i="51"/>
  <c r="B43" i="51"/>
  <c r="A43" i="51"/>
  <c r="F42" i="51"/>
  <c r="E42" i="51"/>
  <c r="D42" i="51"/>
  <c r="C42" i="51"/>
  <c r="B42" i="51"/>
  <c r="A42" i="51"/>
  <c r="F41" i="51"/>
  <c r="E41" i="51"/>
  <c r="D41" i="51"/>
  <c r="C41" i="51"/>
  <c r="B41" i="51"/>
  <c r="A41" i="51"/>
  <c r="F40" i="51"/>
  <c r="E40" i="51"/>
  <c r="D40" i="51"/>
  <c r="C40" i="51"/>
  <c r="B40" i="51"/>
  <c r="A40" i="51"/>
  <c r="F39" i="51"/>
  <c r="E39" i="51"/>
  <c r="D39" i="51"/>
  <c r="C39" i="51"/>
  <c r="B39" i="51"/>
  <c r="A39" i="51"/>
  <c r="F38" i="51"/>
  <c r="E38" i="51"/>
  <c r="D38" i="51"/>
  <c r="C38" i="51"/>
  <c r="B38" i="51"/>
  <c r="A38" i="51"/>
  <c r="F37" i="51"/>
  <c r="E37" i="51"/>
  <c r="D37" i="51"/>
  <c r="C37" i="51"/>
  <c r="B37" i="51"/>
  <c r="A37" i="51"/>
  <c r="F36" i="51"/>
  <c r="E36" i="51"/>
  <c r="D36" i="51"/>
  <c r="C36" i="51"/>
  <c r="B36" i="51"/>
  <c r="A36" i="51"/>
  <c r="F35" i="51"/>
  <c r="E35" i="51"/>
  <c r="D35" i="51"/>
  <c r="C35" i="51"/>
  <c r="B35" i="51"/>
  <c r="A35" i="51"/>
  <c r="F34" i="51"/>
  <c r="E34" i="51"/>
  <c r="D34" i="51"/>
  <c r="C34" i="51"/>
  <c r="B34" i="51"/>
  <c r="A34" i="51"/>
  <c r="F33" i="51"/>
  <c r="E33" i="51"/>
  <c r="D33" i="51"/>
  <c r="C33" i="51"/>
  <c r="B33" i="51"/>
  <c r="A33" i="51"/>
  <c r="F32" i="51"/>
  <c r="E32" i="51"/>
  <c r="D32" i="51"/>
  <c r="C32" i="51"/>
  <c r="B32" i="51"/>
  <c r="A32" i="51"/>
  <c r="F31" i="51"/>
  <c r="E31" i="51"/>
  <c r="D31" i="51"/>
  <c r="C31" i="51"/>
  <c r="B31" i="51"/>
  <c r="A31" i="51"/>
  <c r="F30" i="51"/>
  <c r="E30" i="51"/>
  <c r="D30" i="51"/>
  <c r="B30" i="51"/>
  <c r="A30" i="51"/>
  <c r="F29" i="51"/>
  <c r="E29" i="51"/>
  <c r="D29" i="51"/>
  <c r="B29" i="51"/>
  <c r="A29" i="51"/>
  <c r="F28" i="51"/>
  <c r="E28" i="51"/>
  <c r="D28" i="51"/>
  <c r="B28" i="51"/>
  <c r="A28" i="51"/>
  <c r="F27" i="51"/>
  <c r="E27" i="51"/>
  <c r="D27" i="51"/>
  <c r="B27" i="51"/>
  <c r="A27" i="51"/>
  <c r="F26" i="51"/>
  <c r="E26" i="51"/>
  <c r="D26" i="51"/>
  <c r="B26" i="51"/>
  <c r="A26" i="51"/>
  <c r="F25" i="51"/>
  <c r="E25" i="51"/>
  <c r="D25" i="51"/>
  <c r="B25" i="51"/>
  <c r="A25" i="51"/>
  <c r="F24" i="51"/>
  <c r="E24" i="51"/>
  <c r="D24" i="51"/>
  <c r="B24" i="51"/>
  <c r="A24" i="51"/>
  <c r="F23" i="51"/>
  <c r="E23" i="51"/>
  <c r="D23" i="51"/>
  <c r="B23" i="51"/>
  <c r="A23" i="51"/>
  <c r="F22" i="51"/>
  <c r="E22" i="51"/>
  <c r="D22" i="51"/>
  <c r="B22" i="51"/>
  <c r="A22" i="51"/>
  <c r="F21" i="51"/>
  <c r="E21" i="51"/>
  <c r="D21" i="51"/>
  <c r="B21" i="51"/>
  <c r="A21" i="51"/>
  <c r="F20" i="51"/>
  <c r="E20" i="51"/>
  <c r="D20" i="51"/>
  <c r="B20" i="51"/>
  <c r="A20" i="51"/>
  <c r="F19" i="51"/>
  <c r="E19" i="51"/>
  <c r="D19" i="51"/>
  <c r="B19" i="51"/>
  <c r="A19" i="51"/>
  <c r="F18" i="51"/>
  <c r="E18" i="51"/>
  <c r="D18" i="51"/>
  <c r="B18" i="51"/>
  <c r="A18" i="51"/>
  <c r="F17" i="51"/>
  <c r="E17" i="51"/>
  <c r="D17" i="51"/>
  <c r="B17" i="51"/>
  <c r="A17" i="51"/>
  <c r="F16" i="51"/>
  <c r="E16" i="51"/>
  <c r="D16" i="51"/>
  <c r="B16" i="51"/>
  <c r="A16" i="51"/>
  <c r="F15" i="51"/>
  <c r="E15" i="51"/>
  <c r="D15" i="51"/>
  <c r="B15" i="51"/>
  <c r="A15" i="51"/>
  <c r="F14" i="51"/>
  <c r="E14" i="51"/>
  <c r="D14" i="51"/>
  <c r="B14" i="51"/>
  <c r="A14" i="51"/>
  <c r="F13" i="51"/>
  <c r="E13" i="51"/>
  <c r="D13" i="51"/>
  <c r="B13" i="51"/>
  <c r="A13" i="51"/>
  <c r="F12" i="51"/>
  <c r="E12" i="51"/>
  <c r="D12" i="51"/>
  <c r="B12" i="51"/>
  <c r="A12" i="51"/>
  <c r="F11" i="51"/>
  <c r="E11" i="51"/>
  <c r="D11" i="51"/>
  <c r="B11" i="51"/>
  <c r="A11" i="51"/>
  <c r="F10" i="51"/>
  <c r="E10" i="51"/>
  <c r="D10" i="51"/>
  <c r="B10" i="51"/>
  <c r="A10" i="51"/>
  <c r="F9" i="51"/>
  <c r="E9" i="51"/>
  <c r="D9" i="51"/>
  <c r="B9" i="51"/>
  <c r="A9" i="51"/>
  <c r="F8" i="51"/>
  <c r="E8" i="51"/>
  <c r="D8" i="51"/>
  <c r="B8" i="51"/>
  <c r="A8" i="51"/>
  <c r="F7" i="51"/>
  <c r="E7" i="51"/>
  <c r="D7" i="51"/>
  <c r="B7" i="51"/>
  <c r="A7" i="51"/>
  <c r="F6" i="51"/>
  <c r="E6" i="51"/>
  <c r="D6" i="51"/>
  <c r="B6" i="51"/>
  <c r="A6" i="51"/>
  <c r="F5" i="51"/>
  <c r="E5" i="51"/>
  <c r="D5" i="51"/>
  <c r="B5" i="51"/>
  <c r="F4" i="51"/>
  <c r="E4" i="51"/>
  <c r="D4" i="51"/>
  <c r="C4" i="51"/>
  <c r="B4" i="51"/>
  <c r="A4" i="51"/>
  <c r="F3" i="51"/>
  <c r="E3" i="51"/>
  <c r="D3" i="51"/>
  <c r="C3" i="51"/>
  <c r="B3" i="51"/>
  <c r="A3" i="51"/>
  <c r="F917" i="51"/>
  <c r="E917" i="51"/>
  <c r="D917" i="51"/>
  <c r="C917" i="51"/>
  <c r="B917" i="51"/>
  <c r="A917" i="51"/>
  <c r="F856" i="51"/>
  <c r="E856" i="51"/>
  <c r="D856" i="51"/>
  <c r="C856" i="51"/>
  <c r="B856" i="51"/>
  <c r="A856" i="51"/>
  <c r="F795" i="51"/>
  <c r="E795" i="51"/>
  <c r="D795" i="51"/>
  <c r="C795" i="51"/>
  <c r="B795" i="51"/>
  <c r="A795" i="51"/>
  <c r="F734" i="51"/>
  <c r="E734" i="51"/>
  <c r="D734" i="51"/>
  <c r="C734" i="51"/>
  <c r="B734" i="51"/>
  <c r="A734" i="51"/>
  <c r="F673" i="51"/>
  <c r="E673" i="51"/>
  <c r="D673" i="51"/>
  <c r="C673" i="51"/>
  <c r="B673" i="51"/>
  <c r="A673" i="51"/>
  <c r="F612" i="51"/>
  <c r="E612" i="51"/>
  <c r="D612" i="51"/>
  <c r="C612" i="51"/>
  <c r="B612" i="51"/>
  <c r="A612" i="51"/>
  <c r="F551" i="51"/>
  <c r="E551" i="51"/>
  <c r="D551" i="51"/>
  <c r="C551" i="51"/>
  <c r="B551" i="51"/>
  <c r="A551" i="51"/>
  <c r="F490" i="51"/>
  <c r="E490" i="51"/>
  <c r="D490" i="51"/>
  <c r="C490" i="51"/>
  <c r="B490" i="51"/>
  <c r="A490" i="51"/>
  <c r="F429" i="51"/>
  <c r="E429" i="51"/>
  <c r="D429" i="51"/>
  <c r="C429" i="51"/>
  <c r="B429" i="51"/>
  <c r="A429" i="51"/>
  <c r="F368" i="51"/>
  <c r="E368" i="51"/>
  <c r="D368" i="51"/>
  <c r="C368" i="51"/>
  <c r="B368" i="51"/>
  <c r="A368" i="51"/>
  <c r="F307" i="51"/>
  <c r="E307" i="51"/>
  <c r="D307" i="51"/>
  <c r="C307" i="51"/>
  <c r="B307" i="51"/>
  <c r="A307" i="51"/>
  <c r="F246" i="51"/>
  <c r="E246" i="51"/>
  <c r="D246" i="51"/>
  <c r="C246" i="51"/>
  <c r="B246" i="51"/>
  <c r="A246" i="51"/>
  <c r="F185" i="51"/>
  <c r="E185" i="51"/>
  <c r="D185" i="51"/>
  <c r="C185" i="51"/>
  <c r="B185" i="51"/>
  <c r="A185" i="51"/>
  <c r="F124" i="51"/>
  <c r="E124" i="51"/>
  <c r="D124" i="51"/>
  <c r="C124" i="51"/>
  <c r="B124" i="51"/>
  <c r="A124" i="51"/>
  <c r="F63" i="51"/>
  <c r="E63" i="51"/>
  <c r="D63" i="51"/>
  <c r="C63" i="51"/>
  <c r="B63" i="51"/>
  <c r="A63" i="51"/>
  <c r="F2" i="51"/>
  <c r="E2" i="51"/>
  <c r="D2" i="51"/>
  <c r="C2" i="51"/>
  <c r="B2" i="51"/>
  <c r="A2" i="51"/>
  <c r="B35" i="37" l="1"/>
  <c r="B38" i="37"/>
  <c r="B39" i="37"/>
  <c r="B40" i="37"/>
  <c r="B37" i="37"/>
  <c r="B36" i="37"/>
  <c r="B84" i="43" l="1"/>
  <c r="B37" i="41"/>
  <c r="B38" i="41"/>
  <c r="B95" i="44"/>
  <c r="B36" i="41"/>
  <c r="B93" i="44"/>
  <c r="B91" i="44"/>
  <c r="B92" i="44"/>
  <c r="B34" i="37"/>
  <c r="B90" i="44"/>
  <c r="B94" i="44"/>
  <c r="B100" i="44"/>
  <c r="B103" i="44"/>
  <c r="B104" i="44"/>
  <c r="B105" i="44"/>
  <c r="B106" i="44"/>
  <c r="B116" i="44"/>
  <c r="B117" i="44"/>
  <c r="B90" i="43"/>
  <c r="B95" i="43"/>
  <c r="B97" i="43"/>
  <c r="B98" i="43"/>
  <c r="B100" i="43"/>
  <c r="B101" i="43"/>
  <c r="B102" i="43"/>
  <c r="B104" i="43"/>
  <c r="B14" i="55"/>
  <c r="B89" i="44" l="1"/>
  <c r="B12" i="56"/>
  <c r="B17" i="57"/>
  <c r="B18" i="57"/>
  <c r="B19" i="57"/>
  <c r="B12" i="57"/>
  <c r="B16" i="57"/>
  <c r="B87" i="44"/>
  <c r="B32" i="37" l="1"/>
  <c r="B55" i="45"/>
  <c r="B56" i="45"/>
  <c r="B52" i="45"/>
  <c r="B53" i="45"/>
  <c r="I71" i="57" l="1"/>
  <c r="B69" i="57"/>
  <c r="B68" i="57"/>
  <c r="B67" i="57"/>
  <c r="B54" i="57"/>
  <c r="B52" i="57"/>
  <c r="B50" i="57"/>
  <c r="B48" i="57"/>
  <c r="B47" i="57"/>
  <c r="B45" i="57"/>
  <c r="B44" i="57"/>
  <c r="B42" i="57"/>
  <c r="B41" i="57"/>
  <c r="B31" i="57"/>
  <c r="B30" i="57"/>
  <c r="B24" i="57"/>
  <c r="B23" i="57"/>
  <c r="B21" i="57"/>
  <c r="B11" i="57"/>
  <c r="B10" i="57"/>
  <c r="B10" i="56"/>
  <c r="B11" i="56"/>
  <c r="H38" i="56"/>
  <c r="B36" i="56"/>
  <c r="B35" i="56"/>
  <c r="B34" i="56"/>
  <c r="B33" i="56"/>
  <c r="B32" i="56"/>
  <c r="B31" i="56"/>
  <c r="B30" i="56"/>
  <c r="B29" i="56"/>
  <c r="B28" i="56"/>
  <c r="B27" i="56"/>
  <c r="B26" i="56"/>
  <c r="B25" i="56"/>
  <c r="B24" i="56"/>
  <c r="B20" i="56"/>
  <c r="B31" i="37"/>
  <c r="B82" i="44"/>
  <c r="B73" i="43"/>
  <c r="B30" i="37"/>
  <c r="B80" i="44" l="1"/>
  <c r="B79" i="44"/>
  <c r="B35" i="41"/>
  <c r="B70" i="44"/>
  <c r="B28" i="37"/>
  <c r="B27" i="37"/>
  <c r="B11" i="55"/>
  <c r="B11" i="54"/>
  <c r="B13" i="50"/>
  <c r="B47" i="45"/>
  <c r="H41" i="55"/>
  <c r="B39" i="55"/>
  <c r="B38" i="55"/>
  <c r="B37" i="55"/>
  <c r="B36" i="55"/>
  <c r="B35" i="55"/>
  <c r="B34" i="55"/>
  <c r="B33" i="55"/>
  <c r="B32" i="55"/>
  <c r="B27" i="55"/>
  <c r="B26" i="55"/>
  <c r="B24" i="55"/>
  <c r="B21" i="55"/>
  <c r="B10" i="55"/>
  <c r="H43" i="54"/>
  <c r="B41" i="54"/>
  <c r="B40" i="54"/>
  <c r="B39" i="54"/>
  <c r="B38" i="54"/>
  <c r="B37" i="54"/>
  <c r="B36" i="54"/>
  <c r="B35" i="54"/>
  <c r="B34" i="54"/>
  <c r="B33" i="54"/>
  <c r="B32" i="54"/>
  <c r="B31" i="54"/>
  <c r="B30" i="54"/>
  <c r="B29" i="54"/>
  <c r="B28" i="54"/>
  <c r="B27" i="54"/>
  <c r="B26" i="54"/>
  <c r="B25" i="54"/>
  <c r="B24" i="54"/>
  <c r="B20" i="54"/>
  <c r="B19" i="54"/>
  <c r="B18" i="54"/>
  <c r="B15" i="54"/>
  <c r="B10" i="54"/>
  <c r="B26" i="37"/>
  <c r="B54" i="45"/>
  <c r="B58" i="45"/>
  <c r="B60" i="45"/>
  <c r="B61" i="45"/>
  <c r="B62" i="45"/>
  <c r="B63" i="45"/>
  <c r="B67" i="45"/>
  <c r="B68" i="45"/>
  <c r="B69" i="45"/>
  <c r="B83" i="44"/>
  <c r="B84" i="44"/>
  <c r="B85" i="44"/>
  <c r="B86" i="44"/>
  <c r="B71" i="43"/>
  <c r="B72" i="43"/>
  <c r="B74" i="43"/>
  <c r="B76" i="43"/>
  <c r="B77" i="43"/>
  <c r="B78" i="43"/>
  <c r="B79" i="43"/>
  <c r="B80" i="43"/>
  <c r="B81" i="43"/>
  <c r="B83" i="43"/>
  <c r="B44" i="45"/>
  <c r="B23" i="41"/>
  <c r="B24" i="41"/>
  <c r="B22" i="41"/>
  <c r="B25" i="46"/>
  <c r="B43" i="45" l="1"/>
  <c r="B27" i="41"/>
  <c r="B28" i="41"/>
  <c r="B23" i="37"/>
  <c r="B35" i="45"/>
  <c r="B20" i="37"/>
  <c r="B67" i="43"/>
  <c r="B69" i="43"/>
  <c r="B70" i="43"/>
  <c r="B86" i="43"/>
  <c r="B18" i="43"/>
  <c r="B16" i="43"/>
  <c r="B37" i="43" l="1"/>
  <c r="B38" i="43"/>
  <c r="B57" i="44"/>
  <c r="B14" i="41" l="1"/>
  <c r="C14" i="52"/>
  <c r="B18" i="37"/>
  <c r="B17" i="37"/>
  <c r="B11" i="50"/>
  <c r="I59" i="53"/>
  <c r="B57" i="53"/>
  <c r="B39" i="53"/>
  <c r="B31" i="53"/>
  <c r="B30" i="53"/>
  <c r="B27" i="53"/>
  <c r="B26" i="53"/>
  <c r="B20" i="53"/>
  <c r="B18" i="53"/>
  <c r="B15" i="53"/>
  <c r="B12" i="53"/>
  <c r="B10" i="53"/>
  <c r="H53" i="52"/>
  <c r="B51" i="52"/>
  <c r="B50" i="52"/>
  <c r="B49" i="52"/>
  <c r="B48" i="52"/>
  <c r="B47" i="52"/>
  <c r="B46" i="52"/>
  <c r="B45" i="52"/>
  <c r="B44" i="52"/>
  <c r="B43" i="52"/>
  <c r="B42" i="52"/>
  <c r="B41" i="52"/>
  <c r="B40" i="52"/>
  <c r="B39" i="52"/>
  <c r="B38" i="52"/>
  <c r="B37" i="52"/>
  <c r="B36" i="52"/>
  <c r="B35" i="52"/>
  <c r="B34" i="52"/>
  <c r="B33" i="52"/>
  <c r="B32" i="52"/>
  <c r="B31" i="52"/>
  <c r="B30" i="52"/>
  <c r="B29" i="52"/>
  <c r="B23" i="52"/>
  <c r="B18" i="52"/>
  <c r="B16" i="52"/>
  <c r="B15" i="52"/>
  <c r="B13" i="52"/>
  <c r="B12" i="52"/>
  <c r="B11" i="52"/>
  <c r="B10" i="52"/>
  <c r="B56" i="43" l="1"/>
  <c r="B43" i="43"/>
  <c r="B46" i="44"/>
  <c r="B45" i="44"/>
  <c r="B43" i="44"/>
  <c r="B44" i="44"/>
  <c r="B41" i="44"/>
  <c r="B10" i="47"/>
  <c r="B12" i="47"/>
  <c r="B13" i="47"/>
  <c r="B14" i="47"/>
  <c r="B26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10" i="46"/>
  <c r="B11" i="46"/>
  <c r="B12" i="46"/>
  <c r="B13" i="46"/>
  <c r="B14" i="46"/>
  <c r="B16" i="46"/>
  <c r="B17" i="46"/>
  <c r="B18" i="46"/>
  <c r="B19" i="46"/>
  <c r="B20" i="46"/>
  <c r="B22" i="46"/>
  <c r="B27" i="46"/>
  <c r="B28" i="46"/>
  <c r="B31" i="46"/>
  <c r="B33" i="46"/>
  <c r="B49" i="46"/>
  <c r="B50" i="46"/>
  <c r="B51" i="46"/>
  <c r="B52" i="46"/>
  <c r="B53" i="46"/>
  <c r="B54" i="46"/>
  <c r="B55" i="46"/>
  <c r="B10" i="37"/>
  <c r="B11" i="37"/>
  <c r="B12" i="37"/>
  <c r="B13" i="37"/>
  <c r="B14" i="37"/>
  <c r="B16" i="37"/>
  <c r="B25" i="37"/>
  <c r="B42" i="37"/>
  <c r="B51" i="37"/>
  <c r="B53" i="37"/>
  <c r="B54" i="37"/>
  <c r="B59" i="37"/>
  <c r="B74" i="37"/>
  <c r="B11" i="48"/>
  <c r="B17" i="48"/>
  <c r="B18" i="48"/>
  <c r="B20" i="48"/>
  <c r="B22" i="48"/>
  <c r="B23" i="48"/>
  <c r="B24" i="48"/>
  <c r="B25" i="48"/>
  <c r="B26" i="48"/>
  <c r="B27" i="48"/>
  <c r="B29" i="48"/>
  <c r="B30" i="48"/>
  <c r="B31" i="48"/>
  <c r="B32" i="48"/>
  <c r="B33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47" i="48"/>
  <c r="B48" i="48"/>
  <c r="B49" i="48"/>
  <c r="B10" i="50"/>
  <c r="B22" i="50"/>
  <c r="B23" i="50"/>
  <c r="B24" i="50"/>
  <c r="B25" i="50"/>
  <c r="B26" i="50"/>
  <c r="B27" i="50"/>
  <c r="B28" i="50"/>
  <c r="B29" i="50"/>
  <c r="B30" i="50"/>
  <c r="B31" i="50"/>
  <c r="B32" i="50"/>
  <c r="B33" i="50"/>
  <c r="B34" i="50"/>
  <c r="B35" i="50"/>
  <c r="B36" i="50"/>
  <c r="B37" i="50"/>
  <c r="B38" i="50"/>
  <c r="B39" i="50"/>
  <c r="B40" i="50"/>
  <c r="B41" i="50"/>
  <c r="B42" i="50"/>
  <c r="B43" i="50"/>
  <c r="B44" i="50"/>
  <c r="B45" i="50"/>
  <c r="B46" i="50"/>
  <c r="B47" i="50"/>
  <c r="B48" i="50"/>
  <c r="B49" i="50"/>
  <c r="B10" i="45"/>
  <c r="B11" i="45"/>
  <c r="B12" i="45"/>
  <c r="B13" i="45"/>
  <c r="B14" i="45"/>
  <c r="B15" i="45"/>
  <c r="B16" i="45"/>
  <c r="B17" i="45"/>
  <c r="B18" i="45"/>
  <c r="B19" i="45"/>
  <c r="B20" i="45"/>
  <c r="B21" i="45"/>
  <c r="B23" i="45"/>
  <c r="B24" i="45"/>
  <c r="B25" i="45"/>
  <c r="B26" i="45"/>
  <c r="B27" i="45"/>
  <c r="B28" i="45"/>
  <c r="B29" i="45"/>
  <c r="B30" i="45"/>
  <c r="B31" i="45"/>
  <c r="B33" i="45"/>
  <c r="B34" i="45"/>
  <c r="B38" i="45"/>
  <c r="B39" i="45"/>
  <c r="B40" i="45"/>
  <c r="B41" i="45"/>
  <c r="B42" i="45"/>
  <c r="B46" i="45"/>
  <c r="B48" i="45"/>
  <c r="B49" i="45"/>
  <c r="B51" i="45"/>
  <c r="B71" i="45"/>
  <c r="B184" i="45"/>
  <c r="B10" i="43"/>
  <c r="B11" i="43"/>
  <c r="B12" i="43"/>
  <c r="B13" i="43"/>
  <c r="B14" i="43"/>
  <c r="B15" i="43"/>
  <c r="B17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9" i="43"/>
  <c r="B40" i="43"/>
  <c r="B41" i="43"/>
  <c r="B42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7" i="43"/>
  <c r="B59" i="43"/>
  <c r="B60" i="43"/>
  <c r="B61" i="43"/>
  <c r="B62" i="43"/>
  <c r="B63" i="43"/>
  <c r="B64" i="43"/>
  <c r="B65" i="43"/>
  <c r="B243" i="43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2" i="44"/>
  <c r="B47" i="44"/>
  <c r="B48" i="44"/>
  <c r="B49" i="44"/>
  <c r="B50" i="44"/>
  <c r="B51" i="44"/>
  <c r="B53" i="44"/>
  <c r="B54" i="44"/>
  <c r="B55" i="44"/>
  <c r="B56" i="44"/>
  <c r="B59" i="44"/>
  <c r="B60" i="44"/>
  <c r="B61" i="44"/>
  <c r="B63" i="44"/>
  <c r="B64" i="44"/>
  <c r="B65" i="44"/>
  <c r="B66" i="44"/>
  <c r="B67" i="44"/>
  <c r="B68" i="44"/>
  <c r="B71" i="44"/>
  <c r="B72" i="44"/>
  <c r="B73" i="44"/>
  <c r="B74" i="44"/>
  <c r="B75" i="44"/>
  <c r="B76" i="44"/>
  <c r="B77" i="44"/>
  <c r="B78" i="44"/>
  <c r="B10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10" i="41"/>
  <c r="B11" i="41"/>
  <c r="B12" i="41"/>
  <c r="B13" i="41"/>
  <c r="B15" i="41"/>
  <c r="B16" i="41"/>
  <c r="B17" i="41"/>
  <c r="B18" i="41"/>
  <c r="B19" i="41"/>
  <c r="B20" i="41"/>
  <c r="B25" i="41"/>
  <c r="B26" i="41"/>
  <c r="B29" i="41"/>
  <c r="B30" i="41"/>
  <c r="B31" i="41"/>
  <c r="B32" i="41"/>
  <c r="B34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I10" i="44" l="1"/>
  <c r="I118" i="44" s="1"/>
  <c r="I120" i="44" l="1"/>
  <c r="L123" i="44" s="1"/>
  <c r="C125" i="51"/>
  <c r="I51" i="50"/>
  <c r="H51" i="48"/>
  <c r="I57" i="46" l="1"/>
  <c r="H52" i="47"/>
  <c r="H51" i="42"/>
  <c r="H60" i="41"/>
  <c r="H76" i="3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tc={109DC52C-6D85-4B9E-834D-F129C6C1352C}</author>
    <author>tc={534ABD7D-9115-4F3F-876F-93BA7EB41C98}</author>
  </authors>
  <commentList>
    <comment ref="D9" authorId="0" shapeId="0" xr:uid="{109DC52C-6D85-4B9E-834D-F129C6C1352C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534ABD7D-9115-4F3F-876F-93BA7EB41C98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tc={6C99DF29-490F-4B83-A589-7889A6D332D4}</author>
    <author>tc={4B53450A-B071-42D0-8433-FA138A9DDCFE}</author>
  </authors>
  <commentList>
    <comment ref="D9" authorId="0" shapeId="0" xr:uid="{6C99DF29-490F-4B83-A589-7889A6D332D4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4B53450A-B071-42D0-8433-FA138A9DDCFE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tc={2806897F-B60A-4E2B-8178-BB2F6616B027}</author>
    <author>tc={F57B14B1-339A-467B-8B98-306E5540DAF4}</author>
  </authors>
  <commentList>
    <comment ref="D9" authorId="0" shapeId="0" xr:uid="{2806897F-B60A-4E2B-8178-BB2F6616B027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F57B14B1-339A-467B-8B98-306E5540DAF4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tc={0F849F7A-B073-42AE-B75B-676420938611}</author>
    <author>tc={21E2442D-BABB-4B08-8FA9-4F8A54257CA8}</author>
  </authors>
  <commentList>
    <comment ref="D9" authorId="0" shapeId="0" xr:uid="{0F849F7A-B073-42AE-B75B-67642093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21E2442D-BABB-4B08-8FA9-4F8A54257CA8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tc={D75EAB41-60EB-4269-ABEE-CC5DE44E418A}</author>
    <author>tc={ACEA735C-8F05-4473-AB24-AEC97ED0F49C}</author>
  </authors>
  <commentList>
    <comment ref="D9" authorId="0" shapeId="0" xr:uid="{D75EAB41-60EB-4269-ABEE-CC5DE44E418A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ACEA735C-8F05-4473-AB24-AEC97ED0F49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tc={5EE4D5A3-121E-4C14-AEFF-829B904681EE}</author>
    <author>tc={B3EC091B-9A4E-4D6F-AC4B-B2AE46B7604C}</author>
  </authors>
  <commentList>
    <comment ref="D9" authorId="0" shapeId="0" xr:uid="{5EE4D5A3-121E-4C14-AEFF-829B904681EE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B3EC091B-9A4E-4D6F-AC4B-B2AE46B7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tc={AA6BB6ED-220B-4099-BA25-A373FB78E98A}</author>
    <author>tc={47C504DF-05F3-470A-872A-DF03D55CE2E2}</author>
  </authors>
  <commentList>
    <comment ref="D9" authorId="0" shapeId="0" xr:uid="{AA6BB6ED-220B-4099-BA25-A373FB78E98A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47C504DF-05F3-470A-872A-DF03D55CE2E2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tc={2B52151D-8C70-48E4-BC9D-6DF20F1903E6}</author>
    <author>tc={DD3E1763-AB99-4FA7-9519-CE9B244B1BE5}</author>
    <author>tc={3F67BC65-B88F-4F47-AF3D-53F7A3BA058F}</author>
    <author>tc={48E981E3-9633-4D57-B67B-C689E48F17F1}</author>
  </authors>
  <commentList>
    <comment ref="D9" authorId="0" shapeId="0" xr:uid="{2B52151D-8C70-48E4-BC9D-6DF20F1903E6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DD3E1763-AB99-4FA7-9519-CE9B244B1BE5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  <comment ref="I25" authorId="2" shapeId="0" xr:uid="{3F67BC65-B88F-4F47-AF3D-53F7A3BA05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15898.05 USD a cambio de $1410
</t>
      </text>
    </comment>
    <comment ref="I26" authorId="3" shapeId="0" xr:uid="{48E981E3-9633-4D57-B67B-C689E48F17F1}">
      <text>
        <t>[Threaded comment]
Your version of Excel allows you to read this threaded comment; however, any edits to it will get removed if the file is opened in a newer version of Excel. Learn more: https://go.microsoft.com/fwlink/?linkid=870924
Comment:
    A cambio de 1420usd del dia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tc={37E77C57-F4AD-4357-BD7B-404ECC614E4A}</author>
    <author>tc={A6417018-4C6A-41A8-81B4-8E444D24F22E}</author>
  </authors>
  <commentList>
    <comment ref="D9" authorId="0" shapeId="0" xr:uid="{37E77C57-F4AD-4357-BD7B-404ECC614E4A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A6417018-4C6A-41A8-81B4-8E444D24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tc={D945C9A5-F4A9-48A5-858B-765E8DCEB18E}</author>
    <author>tc={5E237971-8A18-4E6F-A328-27790E91F78A}</author>
  </authors>
  <commentList>
    <comment ref="D9" authorId="0" shapeId="0" xr:uid="{D945C9A5-F4A9-48A5-858B-765E8DCEB18E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5E237971-8A18-4E6F-A328-27790E91F78A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tc={78A6511F-C4A0-453E-B4BD-C1DAD3F9883F}</author>
    <author>tc={8C6847AA-CE5F-45A9-B8F5-52D07BD305AD}</author>
  </authors>
  <commentList>
    <comment ref="D9" authorId="0" shapeId="0" xr:uid="{78A6511F-C4A0-453E-B4BD-C1DAD3F9883F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8C6847AA-CE5F-45A9-B8F5-52D07BD305AD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tc={D0B2BE66-3D60-42E6-9683-EAAA6D397D2C}</author>
    <author>tc={248A439F-B242-43F0-B224-10A58256F524}</author>
  </authors>
  <commentList>
    <comment ref="D9" authorId="0" shapeId="0" xr:uid="{D0B2BE66-3D60-42E6-9683-EAAA6D397D2C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248A439F-B242-43F0-B224-10A58256F524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tc={BA225A09-994D-4ED3-AF91-094F305EA407}</author>
    <author>tc={C3850705-65FF-4357-8A94-1750AD307B2C}</author>
  </authors>
  <commentList>
    <comment ref="D9" authorId="0" shapeId="0" xr:uid="{BA225A09-994D-4ED3-AF91-094F305EA407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C3850705-65FF-4357-8A94-1750AD307B2C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tc={9A290F60-DED7-46E5-8BBE-6E397BE2AAF7}</author>
    <author>tc={35EE29CB-7EBF-4D2E-ABBB-9165D03AC314}</author>
  </authors>
  <commentList>
    <comment ref="D9" authorId="0" shapeId="0" xr:uid="{9A290F60-DED7-46E5-8BBE-6E397BE2AAF7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35EE29CB-7EBF-4D2E-ABBB-9165D03AC314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tc={19C5BD14-27EA-4266-A302-B02B5BDA341B}</author>
    <author>tc={C12A7F9A-6F62-45C6-A899-EF1D2F009579}</author>
  </authors>
  <commentList>
    <comment ref="D9" authorId="0" shapeId="0" xr:uid="{19C5BD14-27EA-4266-A302-B02B5BDA341B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C12A7F9A-6F62-45C6-A899-EF1D2F009579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tc={39A4E448-24F1-4500-A88A-18EC53F615BD}</author>
    <author>tc={D913C551-AA0C-4478-A394-35DA1BF38E7A}</author>
  </authors>
  <commentList>
    <comment ref="D9" authorId="0" shapeId="0" xr:uid="{39A4E448-24F1-4500-A88A-18EC53F615BD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D913C551-AA0C-4478-A394-35DA1BF38E7A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tc={1361F4C0-8AC9-4368-9B7D-BEDA983E7077}</author>
    <author>tc={B76C3521-9E1F-4726-854E-5B296B82CA0E}</author>
    <author>tc={F704025C-8EC5-4270-8D1D-F0F555946CD6}</author>
    <author>tc={E6717F2C-2C5E-4157-9D6E-2959D50130E3}</author>
  </authors>
  <commentList>
    <comment ref="D9" authorId="0" shapeId="0" xr:uid="{1361F4C0-8AC9-4368-9B7D-BEDA983E7077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B76C3521-9E1F-4726-854E-5B296B82CA0E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  <comment ref="I10" authorId="2" shapeId="0" xr:uid="{F704025C-8EC5-4270-8D1D-F0F555946CD6}">
      <text>
        <t>[Threaded comment]
Your version of Excel allows you to read this threaded comment; however, any edits to it will get removed if the file is opened in a newer version of Excel. Learn more: https://go.microsoft.com/fwlink/?linkid=870924
Comment:
    USAR MISMA MONEDA -  NO PUEDO MANEJAR DOS MONEDAS DIFERENTES
MANUEL</t>
      </text>
    </comment>
    <comment ref="J10" authorId="3" shapeId="0" xr:uid="{E6717F2C-2C5E-4157-9D6E-2959D50130E3}">
      <text>
        <t>[Threaded comment]
Your version of Excel allows you to read this threaded comment; however, any edits to it will get removed if the file is opened in a newer version of Excel. Learn more: https://go.microsoft.com/fwlink/?linkid=870924
Comment:
    USAR MISMA MONEDA -  NO PUEDO MANEJAR DOS MONEDAS DIFERENTES
MANUEL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tc={708E0F72-1CDB-4C55-8B69-897F8C9BE820}</author>
    <author>tc={378882C2-F280-4DD3-A140-8F226526B092}</author>
  </authors>
  <commentList>
    <comment ref="D9" authorId="0" shapeId="0" xr:uid="{708E0F72-1CDB-4C55-8B69-897F8C9BE820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378882C2-F280-4DD3-A140-8F226526B092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tc={C3070DE2-711C-4EBC-BDF9-950ED1F0227E}</author>
    <author>tc={5D9C6E83-0C99-4547-BB6F-E4F2E0875EFD}</author>
  </authors>
  <commentList>
    <comment ref="D9" authorId="0" shapeId="0" xr:uid="{C3070DE2-711C-4EBC-BDF9-950ED1F0227E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5D9C6E83-0C99-4547-BB6F-E4F2E0875EFD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tc={3D42EE33-A731-4E1F-9831-E31D602857DE}</author>
    <author>tc={2A5549A8-CD79-4EA0-A11B-579D5F390D92}</author>
  </authors>
  <commentList>
    <comment ref="D9" authorId="0" shapeId="0" xr:uid="{3D42EE33-A731-4E1F-9831-E31D602857DE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 A, B o S/N(efectivo)</t>
      </text>
    </comment>
    <comment ref="E9" authorId="1" shapeId="0" xr:uid="{2A5549A8-CD79-4EA0-A11B-579D5F390D92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factura, cliente o empresa</t>
      </text>
    </comment>
  </commentList>
</comments>
</file>

<file path=xl/sharedStrings.xml><?xml version="1.0" encoding="utf-8"?>
<sst xmlns="http://schemas.openxmlformats.org/spreadsheetml/2006/main" count="6671" uniqueCount="1324">
  <si>
    <t>Proveedor</t>
  </si>
  <si>
    <t>Observación: Usar estos nombres de proveedores para completar las planillas</t>
  </si>
  <si>
    <t>Acerco</t>
  </si>
  <si>
    <t>Cba</t>
  </si>
  <si>
    <t>Hierro</t>
  </si>
  <si>
    <t>Serin</t>
  </si>
  <si>
    <t>Acero VCA S.A.S</t>
  </si>
  <si>
    <t>Alta gracia</t>
  </si>
  <si>
    <t>Hierros</t>
  </si>
  <si>
    <t>Almada</t>
  </si>
  <si>
    <t>Obra gruesa</t>
  </si>
  <si>
    <t>cuenta corriente</t>
  </si>
  <si>
    <t>Alquilo BV</t>
  </si>
  <si>
    <t>Alquiler maquinaria</t>
  </si>
  <si>
    <t>Alquilo Todo</t>
  </si>
  <si>
    <t>Alquilo Todo AG</t>
  </si>
  <si>
    <t>Alquilo Todo VGB</t>
  </si>
  <si>
    <t>Apromax</t>
  </si>
  <si>
    <t>Boccolini</t>
  </si>
  <si>
    <t>Áridos</t>
  </si>
  <si>
    <t>Boderau</t>
  </si>
  <si>
    <t>San Cayetano</t>
  </si>
  <si>
    <t>Cerroplast</t>
  </si>
  <si>
    <t>Media sombra</t>
  </si>
  <si>
    <t>Calido 20°</t>
  </si>
  <si>
    <t>Climatización</t>
  </si>
  <si>
    <t>Can-Mar</t>
  </si>
  <si>
    <t>Calamuchita</t>
  </si>
  <si>
    <t>Cantera El Alto</t>
  </si>
  <si>
    <t>Hormigón</t>
  </si>
  <si>
    <t>Canteras</t>
  </si>
  <si>
    <t>Porcellanato</t>
  </si>
  <si>
    <t>Chamtac</t>
  </si>
  <si>
    <t>Impermeabilización</t>
  </si>
  <si>
    <t>CM impr.</t>
  </si>
  <si>
    <t>Enpolex</t>
  </si>
  <si>
    <t>Molones</t>
  </si>
  <si>
    <t>Construluz</t>
  </si>
  <si>
    <t>Iluminación</t>
  </si>
  <si>
    <t>Prohome - Kevin</t>
  </si>
  <si>
    <t>Domótica</t>
  </si>
  <si>
    <t>Conte Fer</t>
  </si>
  <si>
    <t>Cba-Mendiolaza</t>
  </si>
  <si>
    <t>Contenedor obra</t>
  </si>
  <si>
    <t>Alias: naracha
CVU: 0000003100039046325684
Nombre: Matias Nicolas Fiora</t>
  </si>
  <si>
    <t>Conte Mas</t>
  </si>
  <si>
    <t>Baño quimico</t>
  </si>
  <si>
    <t>Conte Top</t>
  </si>
  <si>
    <t>Contigiani</t>
  </si>
  <si>
    <t>Centro Acero</t>
  </si>
  <si>
    <t>Cristian Canziani</t>
  </si>
  <si>
    <t>VGB</t>
  </si>
  <si>
    <t>Fletes</t>
  </si>
  <si>
    <t>De Stefano</t>
  </si>
  <si>
    <t>Deplano</t>
  </si>
  <si>
    <t>Instalaciones</t>
  </si>
  <si>
    <t>Dickhaus</t>
  </si>
  <si>
    <t>Vgb</t>
  </si>
  <si>
    <t>Dimotec</t>
  </si>
  <si>
    <t>Bombas hidrau</t>
  </si>
  <si>
    <t>Edificor</t>
  </si>
  <si>
    <t>El Alto</t>
  </si>
  <si>
    <t>Electroalem</t>
  </si>
  <si>
    <t>Electricidad</t>
  </si>
  <si>
    <t>Enas</t>
  </si>
  <si>
    <t>Hermida</t>
  </si>
  <si>
    <t>Separadores</t>
  </si>
  <si>
    <t>Fernando Bustos</t>
  </si>
  <si>
    <t>Molvento</t>
  </si>
  <si>
    <t>Mov. Suelo</t>
  </si>
  <si>
    <t>Fernando MHZ</t>
  </si>
  <si>
    <t>Ferrocons</t>
  </si>
  <si>
    <t>Feyro</t>
  </si>
  <si>
    <t>Peusso</t>
  </si>
  <si>
    <t>Flete Cba bueno</t>
  </si>
  <si>
    <t>Flete de ENAS</t>
  </si>
  <si>
    <t>Flete Hugo Godoy</t>
  </si>
  <si>
    <t xml:space="preserve">Flete Jonatan </t>
  </si>
  <si>
    <t>Flete Matias Sanchez</t>
  </si>
  <si>
    <t>Flete Gonza Moreno</t>
  </si>
  <si>
    <t>Flete Fede Castro</t>
  </si>
  <si>
    <t>Frio Latina</t>
  </si>
  <si>
    <t>Chapa</t>
  </si>
  <si>
    <t>Garin</t>
  </si>
  <si>
    <t>Mat. Pintura</t>
  </si>
  <si>
    <t>Tecnocolón</t>
  </si>
  <si>
    <t>Goldman</t>
  </si>
  <si>
    <t>Generación Clima S.R.L.</t>
  </si>
  <si>
    <t>Gran Ombu</t>
  </si>
  <si>
    <t>Guaticor</t>
  </si>
  <si>
    <t>Gruas Izar</t>
  </si>
  <si>
    <t>Villa gral Belgrano</t>
  </si>
  <si>
    <t>Gruas</t>
  </si>
  <si>
    <t>Gruas mare</t>
  </si>
  <si>
    <t>Gruas martin</t>
  </si>
  <si>
    <t>Hierros Industriales</t>
  </si>
  <si>
    <t>Holcim</t>
  </si>
  <si>
    <t>Hormiblock</t>
  </si>
  <si>
    <t>Hormicor</t>
  </si>
  <si>
    <t>Río Tercero</t>
  </si>
  <si>
    <t>Hormilas</t>
  </si>
  <si>
    <t>Indusparquet</t>
  </si>
  <si>
    <t>Maderas</t>
  </si>
  <si>
    <t>Ivanar</t>
  </si>
  <si>
    <t>Rosario</t>
  </si>
  <si>
    <t>Maxi Herrero</t>
  </si>
  <si>
    <t>Herrería</t>
  </si>
  <si>
    <t>Jack SRL</t>
  </si>
  <si>
    <t>Vía seca</t>
  </si>
  <si>
    <t>Leo Sanchez</t>
  </si>
  <si>
    <t>Pellicer</t>
  </si>
  <si>
    <t>Light</t>
  </si>
  <si>
    <t>Lucho Parayso</t>
  </si>
  <si>
    <t>Luminotecnia</t>
  </si>
  <si>
    <t>Maderas Colon</t>
  </si>
  <si>
    <t>Maderas Cumbre</t>
  </si>
  <si>
    <t>Maestre</t>
  </si>
  <si>
    <t>Merlino</t>
  </si>
  <si>
    <t>Marcos aurelio</t>
  </si>
  <si>
    <t>Mendio SA</t>
  </si>
  <si>
    <t>Met. Panamericana</t>
  </si>
  <si>
    <t>Plegados</t>
  </si>
  <si>
    <t>Miguel Ángel Papa</t>
  </si>
  <si>
    <t>Ferreteria</t>
  </si>
  <si>
    <t>Natalia Marin</t>
  </si>
  <si>
    <t>Nicolas Carusso</t>
  </si>
  <si>
    <t>Onix</t>
  </si>
  <si>
    <t>Rafael Calvo</t>
  </si>
  <si>
    <t>Revestimiento</t>
  </si>
  <si>
    <t>Raúl Olmedo</t>
  </si>
  <si>
    <t>Mov. suelo</t>
  </si>
  <si>
    <t>Pablo Ledesma</t>
  </si>
  <si>
    <t>Pastorino</t>
  </si>
  <si>
    <t>Matafuegos</t>
  </si>
  <si>
    <t>Patagonia</t>
  </si>
  <si>
    <t>Pilca</t>
  </si>
  <si>
    <t>Pintecord</t>
  </si>
  <si>
    <t>Quimex</t>
  </si>
  <si>
    <t>Friolatina LTN</t>
  </si>
  <si>
    <t>Cubierta Metalica</t>
  </si>
  <si>
    <t>Rogiro Aceros</t>
  </si>
  <si>
    <t>Bs As</t>
  </si>
  <si>
    <t>Roncaglia</t>
  </si>
  <si>
    <t>Saniplast</t>
  </si>
  <si>
    <t>Sinis</t>
  </si>
  <si>
    <t>SteelBrox</t>
  </si>
  <si>
    <t>Tectura</t>
  </si>
  <si>
    <t>Tejamax</t>
  </si>
  <si>
    <t>Telpor</t>
  </si>
  <si>
    <t>Terralon</t>
  </si>
  <si>
    <t>Zingueria los alemanes</t>
  </si>
  <si>
    <t>Zingueria Villa Allende</t>
  </si>
  <si>
    <t>Lunes</t>
  </si>
  <si>
    <t>Martes</t>
  </si>
  <si>
    <t>Miércoles</t>
  </si>
  <si>
    <t>Jueves</t>
  </si>
  <si>
    <t>Viernes</t>
  </si>
  <si>
    <t>Sábado</t>
  </si>
  <si>
    <t>Domingo</t>
  </si>
  <si>
    <t>NOVIEMBRE</t>
  </si>
  <si>
    <t>Feriados</t>
  </si>
  <si>
    <t>DICIEMBRE</t>
  </si>
  <si>
    <t>carga area computo</t>
  </si>
  <si>
    <t>Despues area adm manda pagos</t>
  </si>
  <si>
    <t>Dia de pagos</t>
  </si>
  <si>
    <t>Todos los jueves se actualiza el tablero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</si>
  <si>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</si>
  <si>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</si>
  <si>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</si>
  <si>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</si>
  <si>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</si>
  <si>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</si>
  <si>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</si>
  <si>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</si>
  <si>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</si>
  <si>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</si>
  <si>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GASTOS MATERIAL OBRA</t>
  </si>
  <si>
    <t>Cliente:</t>
  </si>
  <si>
    <t>SG</t>
  </si>
  <si>
    <t>Domicilio:</t>
  </si>
  <si>
    <t>Localidad:</t>
  </si>
  <si>
    <t>OBRA</t>
  </si>
  <si>
    <t>Fecha de FC</t>
  </si>
  <si>
    <t>Condición</t>
  </si>
  <si>
    <t>Razón social</t>
  </si>
  <si>
    <t>Descripción</t>
  </si>
  <si>
    <t>Rubro</t>
  </si>
  <si>
    <t>Importe final Pesos (Iva incluido)</t>
  </si>
  <si>
    <t>Importe final USD (Iva incluido)</t>
  </si>
  <si>
    <t>Observaciones</t>
  </si>
  <si>
    <t>Estado Factura Cliente</t>
  </si>
  <si>
    <t>Estado Factura Bauvek</t>
  </si>
  <si>
    <t>Estado material</t>
  </si>
  <si>
    <t>Resarcimiento Bauvek</t>
  </si>
  <si>
    <t>Nº Remito</t>
  </si>
  <si>
    <t>Encargado</t>
  </si>
  <si>
    <t>Fact-A-27083</t>
  </si>
  <si>
    <t>Guillermo Fiore</t>
  </si>
  <si>
    <t>2 placas antihumedad y perfiles z</t>
  </si>
  <si>
    <t>Jack</t>
  </si>
  <si>
    <t>Durlock</t>
  </si>
  <si>
    <t>A bauvek</t>
  </si>
  <si>
    <t>Cuenta Corriente</t>
  </si>
  <si>
    <t>Fact-A-27097</t>
  </si>
  <si>
    <t>4 placas comunes y 2 puntas atorn.</t>
  </si>
  <si>
    <t>Fact-A-08640</t>
  </si>
  <si>
    <t>Materiales de pintura, rodillos y lijas</t>
  </si>
  <si>
    <t>Pintura</t>
  </si>
  <si>
    <t>A proveedor</t>
  </si>
  <si>
    <t>Pagado</t>
  </si>
  <si>
    <t>Fact-A-27313</t>
  </si>
  <si>
    <t>1 cinta tramada y 1 lata de masilla</t>
  </si>
  <si>
    <t>Efectivo</t>
  </si>
  <si>
    <t>Flete de tejuelas de Almada a obra SG</t>
  </si>
  <si>
    <t>Devolucion de andamios de obra a Guaticor</t>
  </si>
  <si>
    <t>Una placa vibradora</t>
  </si>
  <si>
    <t>Alquiler</t>
  </si>
  <si>
    <t>Flete de pegamento de contigiani y pintura de garin</t>
  </si>
  <si>
    <t>Pasado quincena</t>
  </si>
  <si>
    <t>Fact-B-22514</t>
  </si>
  <si>
    <t>Alambre tejido + ganchos + alambre 2.2, etc</t>
  </si>
  <si>
    <t>Cerco</t>
  </si>
  <si>
    <t>Terminacion</t>
  </si>
  <si>
    <t>Fact-B-171951</t>
  </si>
  <si>
    <t xml:space="preserve">Material de plomeria </t>
  </si>
  <si>
    <t>Plomeria</t>
  </si>
  <si>
    <t>Fact-B-171950</t>
  </si>
  <si>
    <t>Bomba presurizadora</t>
  </si>
  <si>
    <t>Sin Factura</t>
  </si>
  <si>
    <t>Flete de materiales de CERCO, CONTIGIANI y SANIPLAST a obra</t>
  </si>
  <si>
    <t>Pago en efectivo</t>
  </si>
  <si>
    <t>Fact-B-140685</t>
  </si>
  <si>
    <t>Bastidores, modulos, teclas, etc.</t>
  </si>
  <si>
    <t>Fact-B-140686</t>
  </si>
  <si>
    <t>Cables</t>
  </si>
  <si>
    <t>Fact-B-140687</t>
  </si>
  <si>
    <t>7 Luz led embutido de ingreso</t>
  </si>
  <si>
    <t>Fact-B-140688</t>
  </si>
  <si>
    <t>Plafones, lamparas, spots</t>
  </si>
  <si>
    <t>Fact-B-14076</t>
  </si>
  <si>
    <t>Consumidor final</t>
  </si>
  <si>
    <t>Tornillos, tarugos y disco videa</t>
  </si>
  <si>
    <t>Ferreteros</t>
  </si>
  <si>
    <t>Ferretería</t>
  </si>
  <si>
    <t>Pago Mariana de Bauvek, recuperar</t>
  </si>
  <si>
    <t>1 viaje de tierra negra</t>
  </si>
  <si>
    <t>Mov. De suelo</t>
  </si>
  <si>
    <t>Flete de materiales de saniplast, retirar hercal y adoquines y llevar a obra arzola</t>
  </si>
  <si>
    <t>Fact-B-00106530</t>
  </si>
  <si>
    <t>Porcelanato de cocina + pastina</t>
  </si>
  <si>
    <t>Flete de materiales de SANIPLAST a obra</t>
  </si>
  <si>
    <t>A cuenta bauvek</t>
  </si>
  <si>
    <t>Travesaños largos</t>
  </si>
  <si>
    <t>NC-A-28345</t>
  </si>
  <si>
    <t>Devolucion Travesaños largos</t>
  </si>
  <si>
    <t>Fact-A-28343</t>
  </si>
  <si>
    <t>Travesaños cortos</t>
  </si>
  <si>
    <t>Prox cierre</t>
  </si>
  <si>
    <t>TOTAL</t>
  </si>
  <si>
    <t>Hernan Reboni</t>
  </si>
  <si>
    <t>Lote 456</t>
  </si>
  <si>
    <t>El Terrón</t>
  </si>
  <si>
    <t>REMODELACION ARZOLA</t>
  </si>
  <si>
    <t>Huascar 8631, Arguello</t>
  </si>
  <si>
    <t>Arguello</t>
  </si>
  <si>
    <t>Columna1</t>
  </si>
  <si>
    <t>Columna2</t>
  </si>
  <si>
    <t>PRES - 24300</t>
  </si>
  <si>
    <t>BAUVEK S.A.S.</t>
  </si>
  <si>
    <t>Materiales de DURLOCK</t>
  </si>
  <si>
    <t>Obra Gruesa</t>
  </si>
  <si>
    <t>FACT 13-6500-A</t>
  </si>
  <si>
    <t>Materiales de OBRA GRUESA</t>
  </si>
  <si>
    <t>1 VIAJE DE ARENA GRUESA Y 1/2 VIAJE DE GRANZA</t>
  </si>
  <si>
    <t>Nico Carusso</t>
  </si>
  <si>
    <t>1 ROLLO DE GEOMEMBRANA Y 20KG DE ALAMBRE ATAR</t>
  </si>
  <si>
    <t>Material que se llevo del QB</t>
  </si>
  <si>
    <t>1 PAQUETE DE SOLERAS</t>
  </si>
  <si>
    <t>EQUIPOS BAJO SILUETA Y SPLIT</t>
  </si>
  <si>
    <t>Calefacción</t>
  </si>
  <si>
    <t>CORTAR ARBOLES</t>
  </si>
  <si>
    <t>Gabriel Bobcat</t>
  </si>
  <si>
    <t>Limpieza de arboles</t>
  </si>
  <si>
    <t>PRES - 24583</t>
  </si>
  <si>
    <t>MATERIAL DURLOCK PAREDES Y CIELORASO</t>
  </si>
  <si>
    <t>MATERIAL DE OBRA GRUESA PARA AMPLIACION</t>
  </si>
  <si>
    <t>LADRILLOS PARA AMPLIACION</t>
  </si>
  <si>
    <t>REVOQUE FINO - 8 BOLSAS</t>
  </si>
  <si>
    <t>MATERIALES DE KIT Y CONDUCTOS</t>
  </si>
  <si>
    <t>Adrian Giordano</t>
  </si>
  <si>
    <t>MANO DE OBRA INSTALCION EQUIPOS</t>
  </si>
  <si>
    <t>FACT 61575</t>
  </si>
  <si>
    <t>MATERIALES DE ELECTRICIDAD</t>
  </si>
  <si>
    <t>NC 24853</t>
  </si>
  <si>
    <t>DEVOLUCIÓN DE UNOS TARUGOS</t>
  </si>
  <si>
    <t>TARUGOS + TORNILLOS FISHER 8mm</t>
  </si>
  <si>
    <t>MATERIAL DE DURLOCK</t>
  </si>
  <si>
    <t>FACT 61638</t>
  </si>
  <si>
    <t>CABLE SUBTERRANEO</t>
  </si>
  <si>
    <t>FACT 13921</t>
  </si>
  <si>
    <t>ROLLO DE NYLONY CINTAS</t>
  </si>
  <si>
    <t>HORMIGÓN DE FUNDACIÓN 6m3</t>
  </si>
  <si>
    <t>HORMIGÓN DE FUNDACIÓN 4m3 (adicionales/con remito)</t>
  </si>
  <si>
    <t>FACT 38416</t>
  </si>
  <si>
    <t>Material de agua</t>
  </si>
  <si>
    <t>Recibido en obra</t>
  </si>
  <si>
    <t>1 VIAJE DE ARENA GRUESA</t>
  </si>
  <si>
    <t>3 cámaras de seguridad Kit Wifi</t>
  </si>
  <si>
    <t>Seguridad Centro</t>
  </si>
  <si>
    <t>FACT 48252</t>
  </si>
  <si>
    <t>Material de cloaca y pluvial</t>
  </si>
  <si>
    <t>FACT 48243</t>
  </si>
  <si>
    <t>FACT 38526</t>
  </si>
  <si>
    <t>FACT 38525</t>
  </si>
  <si>
    <t>1/2 VIAJE DE ARENA FINA</t>
  </si>
  <si>
    <t>FACT 9004</t>
  </si>
  <si>
    <t>Rodillo de pintura</t>
  </si>
  <si>
    <t>FACT 62298</t>
  </si>
  <si>
    <t>Materiales electricos</t>
  </si>
  <si>
    <t>6 palet del portante del 18</t>
  </si>
  <si>
    <t>1 viaje de arena</t>
  </si>
  <si>
    <t>Aridos</t>
  </si>
  <si>
    <t>Materiales para losa</t>
  </si>
  <si>
    <t>250 ladrillos comunes</t>
  </si>
  <si>
    <t>Hierro y block portante para el cerco</t>
  </si>
  <si>
    <t>1/2 viaje de arena y 1/2 viaje de granza</t>
  </si>
  <si>
    <t>A cuenta de Bauvek</t>
  </si>
  <si>
    <t>1 viaje de arena gruesa de 7,5 m3</t>
  </si>
  <si>
    <t>Boccolini Aridos</t>
  </si>
  <si>
    <t>1 rollo de geomembrana y 3 bolsas de fino</t>
  </si>
  <si>
    <t>Flete del rollo y las bolsas de fino</t>
  </si>
  <si>
    <t>FACT 30753</t>
  </si>
  <si>
    <t>Materiales de pintura</t>
  </si>
  <si>
    <t>1 viaje de piedra + flete</t>
  </si>
  <si>
    <t>Claudio</t>
  </si>
  <si>
    <t>FACT 65867</t>
  </si>
  <si>
    <t>Materiales de electricidad, cables etc.</t>
  </si>
  <si>
    <t>Pago con cheque</t>
  </si>
  <si>
    <t>FACT 06967</t>
  </si>
  <si>
    <t>Material portante, hierros, etc</t>
  </si>
  <si>
    <t>1 viaje de grancilla de 1 m3</t>
  </si>
  <si>
    <t>1 palet de hercal, 650 ladrillos comunes</t>
  </si>
  <si>
    <t>30 m2 de piedra de revestimiento</t>
  </si>
  <si>
    <t>Materiales de plomeria</t>
  </si>
  <si>
    <t>Plomería</t>
  </si>
  <si>
    <t>Flete de materiales de Deplano</t>
  </si>
  <si>
    <t>2 m2 de arena + 1 m3 de grancilla</t>
  </si>
  <si>
    <t>Se entrega el lunes</t>
  </si>
  <si>
    <t>1 palet de cemento, 6 mallas sima</t>
  </si>
  <si>
    <t>el martes 13 lo dejan en obra</t>
  </si>
  <si>
    <t>Flete de hercal y adoquines desde la obra de SG</t>
  </si>
  <si>
    <t>FACT 28218</t>
  </si>
  <si>
    <t>12 montantes de 35mm</t>
  </si>
  <si>
    <t>Pendiente</t>
  </si>
  <si>
    <t>NC 28219</t>
  </si>
  <si>
    <t>1 paquete de soleras de 70mm</t>
  </si>
  <si>
    <t>Todavia no se devolvió</t>
  </si>
  <si>
    <t>FACT 10033</t>
  </si>
  <si>
    <t>1 lata de latex blanco</t>
  </si>
  <si>
    <t>FACT 53187</t>
  </si>
  <si>
    <t>Flete de hercal y adoquines desde la obra de SG y pintura de garin</t>
  </si>
  <si>
    <t>FACT 69537</t>
  </si>
  <si>
    <t>Materiales porcellanato interior</t>
  </si>
  <si>
    <t>Con echeq a 0-30-60 días</t>
  </si>
  <si>
    <t>S/N</t>
  </si>
  <si>
    <t>Impermeabilización de techo</t>
  </si>
  <si>
    <t>Jessica Quimax</t>
  </si>
  <si>
    <t>FACT 67297</t>
  </si>
  <si>
    <t>Materiales de electricidad</t>
  </si>
  <si>
    <t>Guardacantos para nicho y baño</t>
  </si>
  <si>
    <t>FACT 53259</t>
  </si>
  <si>
    <t>FACT 28527</t>
  </si>
  <si>
    <t>Placas, cintas y sellador, tornillos</t>
  </si>
  <si>
    <t>Falta entregar las placas</t>
  </si>
  <si>
    <t>FACT 0041330</t>
  </si>
  <si>
    <t>Codos de 100 y codos de 63 (cloaca)</t>
  </si>
  <si>
    <t>FACT 0041331</t>
  </si>
  <si>
    <t>Materiales de agua p/ colocar cuadro de ducha</t>
  </si>
  <si>
    <t>FACT 0010111</t>
  </si>
  <si>
    <t>Material de pintura general</t>
  </si>
  <si>
    <t>Lo entregan el lunes</t>
  </si>
  <si>
    <t>FACT 28700</t>
  </si>
  <si>
    <t>8 soleras y 8 montantes de 35mm</t>
  </si>
  <si>
    <t>FACT 0053753</t>
  </si>
  <si>
    <t>Material de plomeria</t>
  </si>
  <si>
    <t>Nota de Credito 011489</t>
  </si>
  <si>
    <t>Codos y manguitos</t>
  </si>
  <si>
    <t>FACT 0053810</t>
  </si>
  <si>
    <t>FACT 0053814</t>
  </si>
  <si>
    <t>Mat. p/ instalacion de inodoros PA</t>
  </si>
  <si>
    <t>Nota de Credito 10009</t>
  </si>
  <si>
    <t>3 Tubos cloacas negro Awaduct</t>
  </si>
  <si>
    <t>FACT 0053818</t>
  </si>
  <si>
    <t>4 Tubos cloacas negro duratop</t>
  </si>
  <si>
    <t>2 tachos de masilla y cinta tramada</t>
  </si>
  <si>
    <t>1 cuerpo y medio de andamios. 1 cuerpo de barandas y 1 tablon</t>
  </si>
  <si>
    <t>a Bauvek</t>
  </si>
  <si>
    <t>s/n</t>
  </si>
  <si>
    <t>Flete de jack, ferrocons, deplano a arguello</t>
  </si>
  <si>
    <t>a proveedor</t>
  </si>
  <si>
    <t>Flete de Feyro a arguello</t>
  </si>
  <si>
    <t>EN PLANILLA DE CUADRO FINANCIERO</t>
  </si>
  <si>
    <t>MATERIALES TODOS CON LA SUMA DE JUAN PAGO MÁS</t>
  </si>
  <si>
    <t>SOLO FILTRAR MANO DE ORBA</t>
  </si>
  <si>
    <t xml:space="preserve">ADRIAN GIORDANO </t>
  </si>
  <si>
    <t xml:space="preserve">JUAN TIENE UN PAGO MENOS </t>
  </si>
  <si>
    <t>ALMADA</t>
  </si>
  <si>
    <t>JUAN PAGO MÁS</t>
  </si>
  <si>
    <t xml:space="preserve">BOCCOLINI </t>
  </si>
  <si>
    <t>JUAN PAGO MENOS</t>
  </si>
  <si>
    <t>CERROPLAST</t>
  </si>
  <si>
    <t>OK</t>
  </si>
  <si>
    <t>CLAUDIO GOMEZ PIEDRA</t>
  </si>
  <si>
    <t>DEPLANO</t>
  </si>
  <si>
    <t>FERROCONS</t>
  </si>
  <si>
    <t>FEYRO</t>
  </si>
  <si>
    <t>FLETE HUGO</t>
  </si>
  <si>
    <t>FILTRAR SOLO PODA ARBOLES EN JUAN</t>
  </si>
  <si>
    <t>GABRIEL BOBCAT</t>
  </si>
  <si>
    <t>GARIN</t>
  </si>
  <si>
    <t>JUAN NO PAGO NADA</t>
  </si>
  <si>
    <t>GOLDMAN</t>
  </si>
  <si>
    <t>HORMIBLOCK</t>
  </si>
  <si>
    <t>JACK</t>
  </si>
  <si>
    <t>JESSICA IMPERMEABILIZACION QUIMEX</t>
  </si>
  <si>
    <t>JUAN NO TIENE CARGADO PAGO</t>
  </si>
  <si>
    <t>NICO CARUSSO</t>
  </si>
  <si>
    <t>SEGURIDAD CENTRO</t>
  </si>
  <si>
    <t>JULIETA SANTIAGO - IVAN PETRINI</t>
  </si>
  <si>
    <t>MZA 58 - LOTE 10</t>
  </si>
  <si>
    <t>Fact-A-23399</t>
  </si>
  <si>
    <t>PETRINI IVAN</t>
  </si>
  <si>
    <t>Puntales de pino para cerco</t>
  </si>
  <si>
    <t>Mendio</t>
  </si>
  <si>
    <t>Obra Preliminar</t>
  </si>
  <si>
    <t>Fact-A-12403</t>
  </si>
  <si>
    <t>Media sombra para cerco</t>
  </si>
  <si>
    <t>Fact-A-283011</t>
  </si>
  <si>
    <t xml:space="preserve">Material de hierro </t>
  </si>
  <si>
    <t>Fact-A-158348</t>
  </si>
  <si>
    <t>Material de hierro - alambres y clavos</t>
  </si>
  <si>
    <t>Fact-A-158599</t>
  </si>
  <si>
    <t>Material para porton</t>
  </si>
  <si>
    <t>Sin factura</t>
  </si>
  <si>
    <t>Obrador y baño quimico x 6 meses</t>
  </si>
  <si>
    <t>Natalia Obrador</t>
  </si>
  <si>
    <t>Hormigon de fundaciones pilotes</t>
  </si>
  <si>
    <t>Hormigon de vigas de fundacion</t>
  </si>
  <si>
    <t>Tablas cepilladas, fenolicos, etc</t>
  </si>
  <si>
    <t>Planchuelas para columnas</t>
  </si>
  <si>
    <t>Obra Metalica</t>
  </si>
  <si>
    <t>Fact-A-286400</t>
  </si>
  <si>
    <t>28 hierro del 16</t>
  </si>
  <si>
    <t>Fact-A-286401</t>
  </si>
  <si>
    <t>100 mallas</t>
  </si>
  <si>
    <t>Fact-A-</t>
  </si>
  <si>
    <t>Material de obra gruesa (facturado)</t>
  </si>
  <si>
    <t>Material de obra gruesa (en efectivo)</t>
  </si>
  <si>
    <t>Fact-A-287740</t>
  </si>
  <si>
    <t>Hierros del 8, 12 y 16</t>
  </si>
  <si>
    <t>Acopio de aridos</t>
  </si>
  <si>
    <t>Acopio</t>
  </si>
  <si>
    <t>Fact-A-287741</t>
  </si>
  <si>
    <t>1º cuota de ENAS</t>
  </si>
  <si>
    <t>ENAS</t>
  </si>
  <si>
    <t>Hormigon de vigas de fundacion 10m3 mas</t>
  </si>
  <si>
    <t>Flete de alambron del 6 y clavos</t>
  </si>
  <si>
    <t>Maderas cepilladas para HV</t>
  </si>
  <si>
    <t xml:space="preserve">Flete de alambron del 6 </t>
  </si>
  <si>
    <t>Factura</t>
  </si>
  <si>
    <t>Alambron del 6</t>
  </si>
  <si>
    <t>Hormigon 1º tabique NPT</t>
  </si>
  <si>
    <t>Tablas cepilladas</t>
  </si>
  <si>
    <t>Factura A 0018-00070952</t>
  </si>
  <si>
    <t>Plomeria, materiales pluviales</t>
  </si>
  <si>
    <t>Factura A 0018-00070953</t>
  </si>
  <si>
    <t>Plomeria, materiales cloacas</t>
  </si>
  <si>
    <t>Factura A 0018-00070954</t>
  </si>
  <si>
    <t>Plomeria, materiales agua</t>
  </si>
  <si>
    <t>Fact-A-02959</t>
  </si>
  <si>
    <t>Alquiler Acrow/Enas</t>
  </si>
  <si>
    <t>Apuntalamiento</t>
  </si>
  <si>
    <t>Fact-A-64125</t>
  </si>
  <si>
    <t>Corrugados, cajas, cintas, conectores, etc.</t>
  </si>
  <si>
    <t>Pletinas para columnas de PSS</t>
  </si>
  <si>
    <t>Fact-A-71324</t>
  </si>
  <si>
    <t>Caños color negro</t>
  </si>
  <si>
    <t>Alquiler de martillo neumatico</t>
  </si>
  <si>
    <t>Alquiler de vibrador</t>
  </si>
  <si>
    <t>Alquilo Todo CBA</t>
  </si>
  <si>
    <t>Hormigon de contrapiso</t>
  </si>
  <si>
    <t xml:space="preserve">Tablas cepilladas </t>
  </si>
  <si>
    <t>Fact-A-001146</t>
  </si>
  <si>
    <t>Alquiler de Enas</t>
  </si>
  <si>
    <t>Fact-A-001147</t>
  </si>
  <si>
    <t>Fact-A-0292452</t>
  </si>
  <si>
    <t>Fact-A-0167436</t>
  </si>
  <si>
    <t>Mallas del 6</t>
  </si>
  <si>
    <t>Fact-A-050049</t>
  </si>
  <si>
    <t>Hormigon - bombeo</t>
  </si>
  <si>
    <t>Fact-A-050007</t>
  </si>
  <si>
    <t>Hormigon - instalacion bomba</t>
  </si>
  <si>
    <t>Fact-A-050006</t>
  </si>
  <si>
    <t>Hormigon H25</t>
  </si>
  <si>
    <t>NCA - 14156</t>
  </si>
  <si>
    <t>Devoluc. caños de cloacas y cojinetes</t>
  </si>
  <si>
    <t>A cliente</t>
  </si>
  <si>
    <t>Fact-A-065327</t>
  </si>
  <si>
    <t>Caño corrugado semipesado</t>
  </si>
  <si>
    <t>Fact-A-027601</t>
  </si>
  <si>
    <t>Tablas, fenolicos, puntales de THº PB</t>
  </si>
  <si>
    <t>Fact-A-0293934</t>
  </si>
  <si>
    <t>4 Perfiles UPN180</t>
  </si>
  <si>
    <t>Herreria</t>
  </si>
  <si>
    <t>Placa de 30x30x1/2 pulgada</t>
  </si>
  <si>
    <t>Fact-A-003857</t>
  </si>
  <si>
    <t xml:space="preserve">Buñas </t>
  </si>
  <si>
    <t>Maderas Colón</t>
  </si>
  <si>
    <t>Fact-A-0000945</t>
  </si>
  <si>
    <t>Hormigon visto H25 Tabiques PB</t>
  </si>
  <si>
    <t>Fact-A-0072462</t>
  </si>
  <si>
    <t>Materiales de gas</t>
  </si>
  <si>
    <t>Fact-A-001155</t>
  </si>
  <si>
    <t>Alambron del 6, alambre de atar, clavos y alambre del 4</t>
  </si>
  <si>
    <t>Flete de alambron del 6 y chanfles</t>
  </si>
  <si>
    <t>Transeferencia</t>
  </si>
  <si>
    <t>Flete del canguro desde Alq Todo VGB a obra</t>
  </si>
  <si>
    <t>1 Compactadora canguro BS52 y BS600 - alquiler 4 días</t>
  </si>
  <si>
    <t>1 Vibrador - alquiler 1 día</t>
  </si>
  <si>
    <t>1 Vibrador - BAUVEK - alquiler 1 día</t>
  </si>
  <si>
    <t>Maquinarias BV</t>
  </si>
  <si>
    <t>Flete del canguro y vibra desde obra a Alq Todo VGB</t>
  </si>
  <si>
    <t>Fact-A-14771</t>
  </si>
  <si>
    <t>Bauvek SAS</t>
  </si>
  <si>
    <t>Nylon 200 micrones para contrapiso PSS</t>
  </si>
  <si>
    <t>Fact-A-028148</t>
  </si>
  <si>
    <t>Maderas cepilladas para tabiques vistos PB</t>
  </si>
  <si>
    <t>Fact-A-003063</t>
  </si>
  <si>
    <t>Alquiler material Nº 6558A1</t>
  </si>
  <si>
    <t>Fact-A-003074</t>
  </si>
  <si>
    <t>Alquiler material Nº 6558A0</t>
  </si>
  <si>
    <t>Fact-A-003094</t>
  </si>
  <si>
    <t>Fact-A-295490</t>
  </si>
  <si>
    <t xml:space="preserve">Hierros para mitad losa PB </t>
  </si>
  <si>
    <t>Fact-A-170541</t>
  </si>
  <si>
    <t>Alambres, clavos y mallas tabiques PB</t>
  </si>
  <si>
    <t>MOV SUELO RESUMEN AL 22-01-2026</t>
  </si>
  <si>
    <t>MOV SUELO</t>
  </si>
  <si>
    <t>Fact-A-00003098</t>
  </si>
  <si>
    <t>Fact-A-0296547</t>
  </si>
  <si>
    <t xml:space="preserve">Hierros para 2da mitad losa PB </t>
  </si>
  <si>
    <t>Fact-A-0028598</t>
  </si>
  <si>
    <t>Tablas cepilladas, fenolicos, pntales p/ LOSA PB</t>
  </si>
  <si>
    <t>No ha ido todavia por tema lluvia</t>
  </si>
  <si>
    <t>Fact-A-001014</t>
  </si>
  <si>
    <t>Hormigon adeudado (7 m3 H17 y 6 m3 de H25)</t>
  </si>
  <si>
    <t>Hormigon</t>
  </si>
  <si>
    <t>Fact-A-001015</t>
  </si>
  <si>
    <t>Hormigon para parte de tabique PB (14 m3 de H25)</t>
  </si>
  <si>
    <t>2 vibros alquiler de 1 día</t>
  </si>
  <si>
    <t>Maquinaria</t>
  </si>
  <si>
    <t>Fact-A-03115</t>
  </si>
  <si>
    <t>Alquiler Enas Contrato 6558 A1</t>
  </si>
  <si>
    <t>Fact-A-003121</t>
  </si>
  <si>
    <t>Alquiler Enas Contrato 6558 A0 y RTO 3426 (1/2 al 2/3)</t>
  </si>
  <si>
    <t xml:space="preserve">Alquiler de 2º obrador </t>
  </si>
  <si>
    <t>Alambron del 6 de la obra de Silene y Guille</t>
  </si>
  <si>
    <t>Alambre</t>
  </si>
  <si>
    <t>Este material se saco del alambron que sobro en obra de guille y silene. Plata a favor de silene y guille</t>
  </si>
  <si>
    <t>Traslado alambron</t>
  </si>
  <si>
    <t>1 Vibrador - alquiler 1 día (chino)</t>
  </si>
  <si>
    <t>Fact-A-10883</t>
  </si>
  <si>
    <t>160 bolsas de Sika monotop y 80 de cemento</t>
  </si>
  <si>
    <t>Fact-A-10884</t>
  </si>
  <si>
    <t>1º cuota de Enas Contrato 6558 A2</t>
  </si>
  <si>
    <t>Fact-A-0006687</t>
  </si>
  <si>
    <t>Rolados del asador y hogar + sombreretes</t>
  </si>
  <si>
    <t>Fact-A-0006749</t>
  </si>
  <si>
    <t>(diferencia) Rolados del asador y hogar + sombreretes</t>
  </si>
  <si>
    <t>Fact-A-0000157</t>
  </si>
  <si>
    <t>Separadores para losa PB</t>
  </si>
  <si>
    <t>Fact-A-000298836</t>
  </si>
  <si>
    <t>Perfiles W, C y caños estr para cubierta losa PB (una parte)</t>
  </si>
  <si>
    <t>Fact-A-0001275</t>
  </si>
  <si>
    <t>Molones de telgopor</t>
  </si>
  <si>
    <t>Telgopor</t>
  </si>
  <si>
    <t>Fact-A-0005737</t>
  </si>
  <si>
    <t>Anclajes mecánicos para PB</t>
  </si>
  <si>
    <t>Fact-A-0010504</t>
  </si>
  <si>
    <t>Pintura para perfilerá metálica</t>
  </si>
  <si>
    <t>Fact-A-0001087</t>
  </si>
  <si>
    <t>26 m3 de H25 de hormigones que se tiraron hasta la fecha</t>
  </si>
  <si>
    <t>100 kg de alambron del 6</t>
  </si>
  <si>
    <t>6 cajas de preinstalación para aires</t>
  </si>
  <si>
    <t>Traslado de molones para vigas huecas galeria living</t>
  </si>
  <si>
    <t>Fact-B-0003138</t>
  </si>
  <si>
    <t>Fact-B-0003150</t>
  </si>
  <si>
    <t>Alquiler Enas Contrato 6558 A0</t>
  </si>
  <si>
    <t>Fact-B-0003168</t>
  </si>
  <si>
    <t>Traslado de alambrón y materiales eléctricos, cajas, etc</t>
  </si>
  <si>
    <t>Fact-B-0000007</t>
  </si>
  <si>
    <t>Materiales de preinstalación para los 6 aires</t>
  </si>
  <si>
    <t xml:space="preserve">100 m2 de Piedra Pirca </t>
  </si>
  <si>
    <t>Fact-B-00299485</t>
  </si>
  <si>
    <t>Perfiles W460 y 3 barras del 20</t>
  </si>
  <si>
    <t>Fact-B-000174376</t>
  </si>
  <si>
    <t>Perfiles C120 y C140</t>
  </si>
  <si>
    <t>Fact-B-00016312</t>
  </si>
  <si>
    <t>Rollo de media sombra de 2 mts de ancho</t>
  </si>
  <si>
    <t>Fact-A-00075213</t>
  </si>
  <si>
    <t>Materiales de agua</t>
  </si>
  <si>
    <t>Fact-A-00075212</t>
  </si>
  <si>
    <t>Materiales de cloaca y pluvial, embudos de hierro fund.</t>
  </si>
  <si>
    <t>Placas para las vigas metalicas y tabiques.</t>
  </si>
  <si>
    <t>78 housing</t>
  </si>
  <si>
    <t>Fact-B-00003172</t>
  </si>
  <si>
    <t>Traslado de puntales de madera, saniplast y mediasombra</t>
  </si>
  <si>
    <t>Fact-A-00001137</t>
  </si>
  <si>
    <t>69 m3 de H25 de hormigon de losa PB</t>
  </si>
  <si>
    <t>Fact-A-00075505</t>
  </si>
  <si>
    <t>Materiales de agua faltante</t>
  </si>
  <si>
    <t>Fact-A-00075506</t>
  </si>
  <si>
    <t>Fact-A-00029815</t>
  </si>
  <si>
    <t>Tablas cepilladas para tab PA y vigas zona cochera</t>
  </si>
  <si>
    <t>Encofrado</t>
  </si>
  <si>
    <t>Traslado materiales de gas</t>
  </si>
  <si>
    <t>Fact-B-00003190</t>
  </si>
  <si>
    <t>Renovación alquiler x 6 meses obrador y baño (25/4 al 25/10)</t>
  </si>
  <si>
    <t>Obrador y Baño</t>
  </si>
  <si>
    <t>A Bauvek</t>
  </si>
  <si>
    <t>1 viaje de arena gruesa</t>
  </si>
  <si>
    <t>8,5 horas de hidrogrua</t>
  </si>
  <si>
    <t>Hidrogrua</t>
  </si>
  <si>
    <t>2 viajes de arena gruesa</t>
  </si>
  <si>
    <t>Devolución de caños de gas desde obra a Saniplast</t>
  </si>
  <si>
    <t>Fact-B-000010914</t>
  </si>
  <si>
    <t>Portante del 18, geomembrana y pintura asfaltica PA</t>
  </si>
  <si>
    <t>Fact-B-000010918</t>
  </si>
  <si>
    <t>Cemento, hercal y pegamento para piedra revest. PB</t>
  </si>
  <si>
    <t>Fact-A-000015880</t>
  </si>
  <si>
    <t>Paneles foilroof PB y PA</t>
  </si>
  <si>
    <t>Cubierta Metálica</t>
  </si>
  <si>
    <t>NC-A-00075506</t>
  </si>
  <si>
    <t>NC-A-00014900</t>
  </si>
  <si>
    <t>NC-A-00014901</t>
  </si>
  <si>
    <t>Fact-A-0000175360</t>
  </si>
  <si>
    <t>Caño estructural 40x80x1,6mm</t>
  </si>
  <si>
    <t>Fact-A-0000300491</t>
  </si>
  <si>
    <t>Hierros del 6, 12, 16</t>
  </si>
  <si>
    <t>Fact-A-000000521</t>
  </si>
  <si>
    <t>Hierros del 6, 8, 10, 12, 16, 20</t>
  </si>
  <si>
    <t>Fact-A-00071706</t>
  </si>
  <si>
    <t>Caño corrugado semipesado, cajas, conectores, etc</t>
  </si>
  <si>
    <t>Fact-B-00003197</t>
  </si>
  <si>
    <t>Fact-B-00003203</t>
  </si>
  <si>
    <t>Alquiler Enas Contrato 6558 A2</t>
  </si>
  <si>
    <t>Fact-B-00003210</t>
  </si>
  <si>
    <t>Alquiler Enas Contrato 6558 A3</t>
  </si>
  <si>
    <t>Fact-B-00003221</t>
  </si>
  <si>
    <t>Fact-A-3284</t>
  </si>
  <si>
    <t>7 cuerpos de andamios, 5 tablones, y 4 ruedas</t>
  </si>
  <si>
    <t>alquiler</t>
  </si>
  <si>
    <t>Traslado pintura asfaltica apromax y andamios guaticor</t>
  </si>
  <si>
    <t>v</t>
  </si>
  <si>
    <t>Fact-A-00001182</t>
  </si>
  <si>
    <t>35 m3 de Hº alivianado en losa PA</t>
  </si>
  <si>
    <t>Fact-B-000010927</t>
  </si>
  <si>
    <t>10 latas de pintura asfálticas</t>
  </si>
  <si>
    <t>Fact-A-000030370</t>
  </si>
  <si>
    <t>50 chanfles moldura victoria</t>
  </si>
  <si>
    <t>15 contenedores desde el primero q se pidio hasta la fecha</t>
  </si>
  <si>
    <t>1 viaje de piedra 70 ocre 30 pirca gris (incluye flete) - se va a entregar viernes 03/07/2026</t>
  </si>
  <si>
    <t>Piedra</t>
  </si>
  <si>
    <t>1 viaje de piedra 70 ocre 30 pirca gris (incluye flete) - se va a entregar viernes 06/07/2026</t>
  </si>
  <si>
    <t>Fact-B-0000021380</t>
  </si>
  <si>
    <t>1 lata de 3 en 1 y una lata de 4 lts convertidor</t>
  </si>
  <si>
    <t>Fact-A-000026694</t>
  </si>
  <si>
    <t>15 latas de membrana liquida</t>
  </si>
  <si>
    <t>Flete de rollos de geomembrana y membrana liquida</t>
  </si>
  <si>
    <t>Fact-B-000010932</t>
  </si>
  <si>
    <t>30 bolsas de pegamento perfecto flexible de 25 gk</t>
  </si>
  <si>
    <t>Fact-A-000089970</t>
  </si>
  <si>
    <t xml:space="preserve">5 caños 80x40x1,6mm </t>
  </si>
  <si>
    <t>Fact-B-0000021436</t>
  </si>
  <si>
    <t>1 lata de 4lts de convertidor, 12lts tinner y 8lts de agaurras</t>
  </si>
  <si>
    <t>NC-A-00000484</t>
  </si>
  <si>
    <t>1 lata de 4 lts de esmalte sintetico negro</t>
  </si>
  <si>
    <t>21 m3 de Hº H25 en vigas cochera y tabique PA</t>
  </si>
  <si>
    <t>Fact-B-00003228</t>
  </si>
  <si>
    <t>Fact-B-00003229</t>
  </si>
  <si>
    <t>Fact-B-00003230</t>
  </si>
  <si>
    <t>Traslado de 5 caños estructurales de 80x40</t>
  </si>
  <si>
    <t>grúa, trabajo de 3 horas - traslado a molvento</t>
  </si>
  <si>
    <t>Grúa</t>
  </si>
  <si>
    <t>Fact-B-0000021536</t>
  </si>
  <si>
    <t>4 rodillos y 2 pinceletas</t>
  </si>
  <si>
    <t>Fact-B-0000010937</t>
  </si>
  <si>
    <t>2 palet de cemento, 2 de hercal, portante del 18, hidrofugo</t>
  </si>
  <si>
    <t>Fact-A-00001223</t>
  </si>
  <si>
    <t>36 m3 de Hº RDC carpeta cubierta PB</t>
  </si>
  <si>
    <t>Fact-B-000000569</t>
  </si>
  <si>
    <t>3 desencofrantes weber</t>
  </si>
  <si>
    <t>Fact-B-000010892</t>
  </si>
  <si>
    <t>2 sikadur y 2 desencofrante weber</t>
  </si>
  <si>
    <t>Fact-A-000002259</t>
  </si>
  <si>
    <t>30 mallas del 5 (2,4x3)</t>
  </si>
  <si>
    <t>Fact-A-000001566</t>
  </si>
  <si>
    <t>50 kg de alambre del 9</t>
  </si>
  <si>
    <t>1 viaje pago</t>
  </si>
  <si>
    <t>100 m2 de Piedra Pirca - 2 viajes</t>
  </si>
  <si>
    <t>1 viaje ya esta pagado</t>
  </si>
  <si>
    <t>NC-000010111</t>
  </si>
  <si>
    <t>150 m de corrugado</t>
  </si>
  <si>
    <t>Fact-A-000073059</t>
  </si>
  <si>
    <t>Material de cajas y caños para bocas de cieloraso cubierta</t>
  </si>
  <si>
    <t>Fact-A-00076970</t>
  </si>
  <si>
    <t>Materiales faltantes de agua PA y pluviales adicionales</t>
  </si>
  <si>
    <t>Transferencia</t>
  </si>
  <si>
    <t>Acopio de 3 viajes de arena gruesa y 1 viaje de granza 1:3</t>
  </si>
  <si>
    <t>Fact-A-00001241</t>
  </si>
  <si>
    <t>18 m3 de Hº RDC carpeta cubierta PB</t>
  </si>
  <si>
    <t>Fact-B-00003245</t>
  </si>
  <si>
    <t>Fact-B-00003251</t>
  </si>
  <si>
    <t>Fact-B-00003254</t>
  </si>
  <si>
    <t>Fact-B-00003255</t>
  </si>
  <si>
    <t>Traslado de chanfles, material de plomeria y rolados de hogar</t>
  </si>
  <si>
    <t>Fact-B-00004282</t>
  </si>
  <si>
    <t>Perfiles de 35mm durlock para los caños de luz</t>
  </si>
  <si>
    <t>Fact-A-000015062</t>
  </si>
  <si>
    <t>200 mts de cable 1,5 marron, amarillo, blanco y ver/amari</t>
  </si>
  <si>
    <t>2 viajes de piedra</t>
  </si>
  <si>
    <t>piedra</t>
  </si>
  <si>
    <t>No Pagado</t>
  </si>
  <si>
    <t>Fact-A-000077269</t>
  </si>
  <si>
    <t>Materiales de descarga de aberturas y descarga de baños</t>
  </si>
  <si>
    <t>Fact-B-0000000585</t>
  </si>
  <si>
    <t>6 palet del 12</t>
  </si>
  <si>
    <t>Fact-B-0000021831</t>
  </si>
  <si>
    <t>25 bidones de acido, etc</t>
  </si>
  <si>
    <t>Fact-B-0000000300</t>
  </si>
  <si>
    <t>Base aisladora</t>
  </si>
  <si>
    <t>Traslado de alambre, material de pintura, mat de plomeria</t>
  </si>
  <si>
    <t>sin factura</t>
  </si>
  <si>
    <t>Grúa, trabajo de 3 y media horas - traslado a molvento</t>
  </si>
  <si>
    <t>Fact-B-000000590</t>
  </si>
  <si>
    <t>2 palet de cemento</t>
  </si>
  <si>
    <t>Fact-B-0000027720</t>
  </si>
  <si>
    <t>25 bolsas de fino preparado</t>
  </si>
  <si>
    <t>Revoques</t>
  </si>
  <si>
    <t>Traslado de 25 bolsas de preparado fino</t>
  </si>
  <si>
    <t>Fact-B-0000029714</t>
  </si>
  <si>
    <t>3 latas de sikaguard de 20 lts</t>
  </si>
  <si>
    <t>Fact-B-0000029713</t>
  </si>
  <si>
    <t>4 Membrana liquida, 4 pintura asfaltica y 12 rollos de geo</t>
  </si>
  <si>
    <t>Acopio de 5 viajes de arena gruesa</t>
  </si>
  <si>
    <t>NC-0000001734</t>
  </si>
  <si>
    <t>Fact-B-00003274</t>
  </si>
  <si>
    <t>Fact-B-00003279</t>
  </si>
  <si>
    <t>Fact-B-00003280</t>
  </si>
  <si>
    <t>Fact-B-00003284</t>
  </si>
  <si>
    <t>Flete ENAS</t>
  </si>
  <si>
    <t>Fact-B-00003299</t>
  </si>
  <si>
    <t>Fact-B-00000596</t>
  </si>
  <si>
    <t>2 palet de cemento y 2 de hercal, y 60 bolsas de 150 autoniveladores</t>
  </si>
  <si>
    <t>Fact-B-000074327</t>
  </si>
  <si>
    <t>Bastidores, tomas, teclas y pulsadores.</t>
  </si>
  <si>
    <t>Fact-A-0003000015585</t>
  </si>
  <si>
    <t>Cables marca IMSA y material para caños de cochera</t>
  </si>
  <si>
    <t>Fact-B-00000604</t>
  </si>
  <si>
    <t>2 palet de portante del 18, revoque fino y pegamento porcelanato</t>
  </si>
  <si>
    <t>Fact-B-00002907</t>
  </si>
  <si>
    <t>Rolados se extension para ventilacion de hogar living y galeria</t>
  </si>
  <si>
    <t>Rolados</t>
  </si>
  <si>
    <t>Fact-A-003000015585</t>
  </si>
  <si>
    <t>Instalaciones Electricas</t>
  </si>
  <si>
    <t>Fact-A-001800077896</t>
  </si>
  <si>
    <t xml:space="preserve">Instalaciones Sanitarias </t>
  </si>
  <si>
    <t>Fact-B-006100090644</t>
  </si>
  <si>
    <t xml:space="preserve">Guardacanto Yesero - Alumguard- Quadra </t>
  </si>
  <si>
    <t>Albañileria</t>
  </si>
  <si>
    <t xml:space="preserve">Deuda Cuenta Corriente </t>
  </si>
  <si>
    <t>Fact-B-000600000613</t>
  </si>
  <si>
    <t>Bloque H° - Cemento Portland/Albañi. - Pallet Cement. - Ladrill. - Flete - Alambre</t>
  </si>
  <si>
    <t>Traslado de material de saniplast y rolados de roncaglia y la cautiva</t>
  </si>
  <si>
    <t>Devolucion de materiales de plomeria desde obra a saniplast</t>
  </si>
  <si>
    <t xml:space="preserve"> </t>
  </si>
  <si>
    <t>OBRA GIAVENNO</t>
  </si>
  <si>
    <t>LOTE 5, MZA 17</t>
  </si>
  <si>
    <t>Localidad: Zona Sur Cordoba</t>
  </si>
  <si>
    <t>Barrio: Cañuelas Country Golf</t>
  </si>
  <si>
    <t>FACT -A 00123</t>
  </si>
  <si>
    <t>Modulos ciegos Bauhaus</t>
  </si>
  <si>
    <t>Retiro Julian por la sucursal de o´higgins</t>
  </si>
  <si>
    <t>FACT -A 00138</t>
  </si>
  <si>
    <t>Cable utp</t>
  </si>
  <si>
    <t>FACT -A 00142</t>
  </si>
  <si>
    <t>Tapas, bastidores, Bauhaus</t>
  </si>
  <si>
    <t>FACT -A 00161</t>
  </si>
  <si>
    <t>Tapas y distanciadores bauhaus</t>
  </si>
  <si>
    <t>Alquiler x 1 día de bomba sumergible</t>
  </si>
  <si>
    <t>Retiró Julian por Alquilo Todo</t>
  </si>
  <si>
    <t>Pintura para retocar un problema de filtracion</t>
  </si>
  <si>
    <t>Retiró Julian por la sucursal de la oñhiggins</t>
  </si>
  <si>
    <t>FACT -A 001503</t>
  </si>
  <si>
    <t>Retiró Julian por la sucursal de la o´higgins camino san carlos</t>
  </si>
  <si>
    <t>FACT-A67132</t>
  </si>
  <si>
    <t>mat de electricidad</t>
  </si>
  <si>
    <t>FACT-A 10331</t>
  </si>
  <si>
    <t>Bauvek</t>
  </si>
  <si>
    <t>Mat pintura impermeabilizacion</t>
  </si>
  <si>
    <t>Retiro Mari en gauss</t>
  </si>
  <si>
    <t>EMILIO CONTIGIANI</t>
  </si>
  <si>
    <t>Lote 182</t>
  </si>
  <si>
    <t>El Terron</t>
  </si>
  <si>
    <t>Material arreglo</t>
  </si>
  <si>
    <t>Perdida</t>
  </si>
  <si>
    <t>Retiro/traslado de andamios de lote 364 a 182 del terron, Mendiolaza</t>
  </si>
  <si>
    <t>Flete</t>
  </si>
  <si>
    <t>Traslado de tejas de Contigiani a obra del terron</t>
  </si>
  <si>
    <t>HNOS ROSSI</t>
  </si>
  <si>
    <t>LOTE 12 - MZA 59</t>
  </si>
  <si>
    <t>Localidad: Villa Ciudad Parque</t>
  </si>
  <si>
    <t>Barrio: Molvento</t>
  </si>
  <si>
    <t>Fact-A-005426</t>
  </si>
  <si>
    <t>AGRICOLA MAGDALENA SRL</t>
  </si>
  <si>
    <t>Hierro para fundaciones</t>
  </si>
  <si>
    <t>Steel Brox</t>
  </si>
  <si>
    <t>Fact-A-014006</t>
  </si>
  <si>
    <t>Fact-A-025966</t>
  </si>
  <si>
    <t>Puntales para cerco</t>
  </si>
  <si>
    <t>Materiales para pilar de luz</t>
  </si>
  <si>
    <t>Obra Electrica</t>
  </si>
  <si>
    <t>Cheque</t>
  </si>
  <si>
    <t>Obrador y baño quimico x 12 meses</t>
  </si>
  <si>
    <t>Fact-A-050342</t>
  </si>
  <si>
    <t>Materiales para pico de agua</t>
  </si>
  <si>
    <t>Pagar y desp recuperar</t>
  </si>
  <si>
    <t>Fact-A-039846</t>
  </si>
  <si>
    <t>Mat. de plomeria para PSS</t>
  </si>
  <si>
    <t>Fact-A-050048</t>
  </si>
  <si>
    <t>Bombeo de hormigon</t>
  </si>
  <si>
    <t>Fact-A-050009</t>
  </si>
  <si>
    <t>Servicio de instalacion</t>
  </si>
  <si>
    <t>Fact-A-050008</t>
  </si>
  <si>
    <t>Hormigon de fundaciones</t>
  </si>
  <si>
    <t>Fact-A-029096</t>
  </si>
  <si>
    <t>Bomba sumergible</t>
  </si>
  <si>
    <t>Fact-A-029097</t>
  </si>
  <si>
    <t>25 m3 de hormigon de contrapiso H17</t>
  </si>
  <si>
    <t>Fact-A-027348</t>
  </si>
  <si>
    <t>Puntales, tablas cepilladas y fenolicos</t>
  </si>
  <si>
    <t>Fact-A-027349</t>
  </si>
  <si>
    <t xml:space="preserve">Mallas del 6 y hierros </t>
  </si>
  <si>
    <t>Fact-A-006032</t>
  </si>
  <si>
    <t>Vigas Enas (1º cuota con flete)</t>
  </si>
  <si>
    <t>Fact-A-024190</t>
  </si>
  <si>
    <t>Materiales de obra gruesa</t>
  </si>
  <si>
    <t>A definir</t>
  </si>
  <si>
    <t>Fact-A-014686</t>
  </si>
  <si>
    <t>Alambron del 6 y clavos de 2,5 pulgadas</t>
  </si>
  <si>
    <t>Fact-A-034143</t>
  </si>
  <si>
    <t>Separadores para tabiques</t>
  </si>
  <si>
    <t>Fact-A-065307</t>
  </si>
  <si>
    <t>Materiales de corrugado y cajas de electricidd</t>
  </si>
  <si>
    <t>Fact-A-000929</t>
  </si>
  <si>
    <t>26 m3 de H25 y 8 m3 del H21</t>
  </si>
  <si>
    <t>Hormigones</t>
  </si>
  <si>
    <t>Fact-A</t>
  </si>
  <si>
    <t>mat. Plomeria para bomba pluvial - Pago david, abonarle para recuperar</t>
  </si>
  <si>
    <t>Retiro de Hierros industriales, Apromax, feyro (Zona Guiñazu) y Sinis circunvalacion, envio a Molvento</t>
  </si>
  <si>
    <t>Fact-A 6081</t>
  </si>
  <si>
    <t>Fact-A-006421</t>
  </si>
  <si>
    <t>8 placas metalicas 25x25 para columnas</t>
  </si>
  <si>
    <t>Fact-A-72762,72761,72765,72763,72764</t>
  </si>
  <si>
    <t>Materiales de agua, cloaca, pluvial y gas</t>
  </si>
  <si>
    <t>Fact-A-00958</t>
  </si>
  <si>
    <t>Hormigon para pilotes y vigas PB</t>
  </si>
  <si>
    <t>Fact-A-30187</t>
  </si>
  <si>
    <t>50% de excavacion de pilotes PB</t>
  </si>
  <si>
    <t>Canteras El Alto</t>
  </si>
  <si>
    <t>Pilotes</t>
  </si>
  <si>
    <t>Fact-A-24358</t>
  </si>
  <si>
    <t>Hierros para pilotes y vigas fundacion PB</t>
  </si>
  <si>
    <t>Alquiler de 2 vibros bosh se uso en el hormigon del 22/12/2025</t>
  </si>
  <si>
    <t>Flete materiales de plomería</t>
  </si>
  <si>
    <t>Placas roncaglia a oficina</t>
  </si>
  <si>
    <t>Flete devolución ENAS de Molvento a centro</t>
  </si>
  <si>
    <t>Flete Yonatan</t>
  </si>
  <si>
    <t>Fact-A-24438</t>
  </si>
  <si>
    <t>Materiales de obra gruesa para PB</t>
  </si>
  <si>
    <t>Fact-A-14772</t>
  </si>
  <si>
    <t>Fact-A 24451</t>
  </si>
  <si>
    <t>Hierros para columnas PB y mallas contrapiso</t>
  </si>
  <si>
    <t>Fact-A 6126</t>
  </si>
  <si>
    <t>Alquiler Enas Contrato 6643-A0</t>
  </si>
  <si>
    <t>Fact-A 6179</t>
  </si>
  <si>
    <t>Alquiler Enas Contrato 6643-A1</t>
  </si>
  <si>
    <t>Materiales de agua desde Saniplast hasta obra</t>
  </si>
  <si>
    <t>Fact-A 28334</t>
  </si>
  <si>
    <t>Tablas cepilladas, fenolicos, puntales para losa PB</t>
  </si>
  <si>
    <t>Fact-A 24496</t>
  </si>
  <si>
    <t>Hierros viga y losa PB, viguetas y ladrilllos PB</t>
  </si>
  <si>
    <t>Fact-A 6284</t>
  </si>
  <si>
    <t>1º Alquiler Enas Contrato 6643-A2</t>
  </si>
  <si>
    <t>Fact-A 6215</t>
  </si>
  <si>
    <t>Mes Alquiler Enas Contrato 6643-A0</t>
  </si>
  <si>
    <t>Fact-A 001034</t>
  </si>
  <si>
    <t>9 m3 de Hº alivianado y 12 m3 de H21 q se adeudaba</t>
  </si>
  <si>
    <t>Fact-A 001032</t>
  </si>
  <si>
    <t>19 m3 de H25 q se adeudaba</t>
  </si>
  <si>
    <t>Alquiler 2º obrador por 6 meses</t>
  </si>
  <si>
    <t>Fact-A 00297111</t>
  </si>
  <si>
    <t>Perfiles UPN 100 y UPN 140</t>
  </si>
  <si>
    <t>Fact-A 00297396</t>
  </si>
  <si>
    <t>Hierros para losa PB</t>
  </si>
  <si>
    <t>Fact-A 000172413</t>
  </si>
  <si>
    <t>Alambres y clavos</t>
  </si>
  <si>
    <t>Fact-A 00006266</t>
  </si>
  <si>
    <t>Fact-A 00006305</t>
  </si>
  <si>
    <t>Fact-A 00006354</t>
  </si>
  <si>
    <t>Fact-A 00006375</t>
  </si>
  <si>
    <t>Fact-A 00006378</t>
  </si>
  <si>
    <t>Alquiler Enas Contrato 6643-A2</t>
  </si>
  <si>
    <t>Fact-A 00006734</t>
  </si>
  <si>
    <t>Rolados y sombreretes para asador</t>
  </si>
  <si>
    <t>Fact-A 00003169</t>
  </si>
  <si>
    <t>Fact-A 00074747</t>
  </si>
  <si>
    <t>6 caños de 40 duratop color negro</t>
  </si>
  <si>
    <t>Traslado de 6 caños duratop y rolados</t>
  </si>
  <si>
    <t>Traslado 40 puntales y 30 vigas enas</t>
  </si>
  <si>
    <t>Fact-A 000298837</t>
  </si>
  <si>
    <t>Perfiles UPN 300</t>
  </si>
  <si>
    <t>Fact-A 000001101</t>
  </si>
  <si>
    <t>36 m3 de H25 para losa PB</t>
  </si>
  <si>
    <t>Fact-A 000024496</t>
  </si>
  <si>
    <t xml:space="preserve">Materiales de obra gruesa según presup.  Nº 224356 </t>
  </si>
  <si>
    <t>Planchuelas metalicas para vigas met en PA</t>
  </si>
  <si>
    <t>Fact-A 1453</t>
  </si>
  <si>
    <t>Alquiler 1 Bomba sumergible 1 750/1100W. | desde el 07/04/2026 al 16/04/2026</t>
  </si>
  <si>
    <t>Fact-A 0000299500</t>
  </si>
  <si>
    <t>Hierros de planta alta</t>
  </si>
  <si>
    <t>Fact-A 000016315</t>
  </si>
  <si>
    <t>30 housing</t>
  </si>
  <si>
    <t>Fact-A 000024892</t>
  </si>
  <si>
    <t>Viguetas y ladrillos de losa 11,5 de PA</t>
  </si>
  <si>
    <t>Traslado de mediasombra</t>
  </si>
  <si>
    <t>Perfiles UPN 300 y UPN 200, mallas del 6</t>
  </si>
  <si>
    <t>Fact-A 00075392</t>
  </si>
  <si>
    <t>Material de gas</t>
  </si>
  <si>
    <t>Fact-A 00075393</t>
  </si>
  <si>
    <t>Material de cloaca</t>
  </si>
  <si>
    <t>Fact-A 00075394</t>
  </si>
  <si>
    <t>Fact-A 000029779</t>
  </si>
  <si>
    <t>Puntales, tablas, fenolicos y chanfles para PA</t>
  </si>
  <si>
    <t>Traslado de materiales de plomeria</t>
  </si>
  <si>
    <t>Devolución de viguetas 2,20 y 2,80 de obra a Apromax</t>
  </si>
  <si>
    <t>Fact-A 00006431</t>
  </si>
  <si>
    <t>Fact-A 00006434</t>
  </si>
  <si>
    <t>Alquiler Enas Contrato 6643-A3</t>
  </si>
  <si>
    <t>Fact-A 00006466</t>
  </si>
  <si>
    <t>Fact-A 00006469</t>
  </si>
  <si>
    <t>Fact-A 00006551</t>
  </si>
  <si>
    <t>NC-A 00014877</t>
  </si>
  <si>
    <t>Tubos de gas, 25, 32, 40</t>
  </si>
  <si>
    <t>NC-A 00014878</t>
  </si>
  <si>
    <t>Tubos de gas de 50mm</t>
  </si>
  <si>
    <t>NC-A 00014895</t>
  </si>
  <si>
    <t>NC-A 00014896</t>
  </si>
  <si>
    <t>Fact-A-00071707</t>
  </si>
  <si>
    <t>Se retiró una parte del material</t>
  </si>
  <si>
    <t>10,5 horas de grua</t>
  </si>
  <si>
    <t>Fact-A 000001176</t>
  </si>
  <si>
    <t>12 m3 de H25 para losa PA</t>
  </si>
  <si>
    <t>Fact-A 000076208</t>
  </si>
  <si>
    <t>5 camaras de pvc y 10 tapones 110</t>
  </si>
  <si>
    <t>Fact-A 000076233</t>
  </si>
  <si>
    <t>5 tapones macho 1´´ ppn y 10 union aquasystem 32mm</t>
  </si>
  <si>
    <t>12 contenedores desde el primero q se pidio hasta la fecha</t>
  </si>
  <si>
    <t>Fact-A 0000015345</t>
  </si>
  <si>
    <t>200 kg de alambron del 6mm</t>
  </si>
  <si>
    <t>Paneles de friolatina - chapa/aisl. (15 de 12m y 15 de 2,5m)</t>
  </si>
  <si>
    <t>Fact-A 0000006591</t>
  </si>
  <si>
    <t>Flete de devolución de materiales</t>
  </si>
  <si>
    <t>Fact-A 0000006522</t>
  </si>
  <si>
    <t>Fact-A 0000006523</t>
  </si>
  <si>
    <t>Fact-A 0000006546</t>
  </si>
  <si>
    <t>Fact-A 0000006551</t>
  </si>
  <si>
    <t>Fact-A 0000010937</t>
  </si>
  <si>
    <t xml:space="preserve">2 latas de 3 en 1 </t>
  </si>
  <si>
    <t>Fact-A 0000010966</t>
  </si>
  <si>
    <t>1 lata de 20 lts de convertidor</t>
  </si>
  <si>
    <t>Traslado de 200 kg de alambrón del 6</t>
  </si>
  <si>
    <t>Fact-A 000025117</t>
  </si>
  <si>
    <t>Cemento, hercal, hidrofugo, portantes del 18</t>
  </si>
  <si>
    <t>Fact-A 000001949</t>
  </si>
  <si>
    <t>Perfiles para cubierta metalica y IPN 300 p/ escalera.</t>
  </si>
  <si>
    <t>Fact-A 000001224</t>
  </si>
  <si>
    <t>9 m3 de Hº H25 y 10 m3 de alivianado</t>
  </si>
  <si>
    <t>Fact-A 000076849</t>
  </si>
  <si>
    <t>Caños de agua y cloaca</t>
  </si>
  <si>
    <t>Fact-A 000001783</t>
  </si>
  <si>
    <t>5 Perfiles UPN 300, 30 hierros del 10 y 20 hierros del 6</t>
  </si>
  <si>
    <t>Fact-A 0000006590</t>
  </si>
  <si>
    <t>Alquiler Enas Contrato 6643-A4</t>
  </si>
  <si>
    <t>Fact-A 0000006600</t>
  </si>
  <si>
    <t>Fact-A 0000006618</t>
  </si>
  <si>
    <t>Tablas cepilladas que se compró a la obra de JS. Presupuesto de Mendio</t>
  </si>
  <si>
    <t>Fact-A 000077275</t>
  </si>
  <si>
    <t>Material para terminar agua y pluvial PA</t>
  </si>
  <si>
    <t>50% de la mano de obra de impermeabilización</t>
  </si>
  <si>
    <t>2 viajes de piedra de revestimiento</t>
  </si>
  <si>
    <t>Fact-A-0000029714</t>
  </si>
  <si>
    <t>Fact-A-0000029713</t>
  </si>
  <si>
    <t>Traslado de 12 geomemb. 4 pint asf y 4 memb. Liquida</t>
  </si>
  <si>
    <t>Traslado de devolucion de 77 bolsas de sika monotop 107</t>
  </si>
  <si>
    <t>71 bolsas de sika monotop 107</t>
  </si>
  <si>
    <t>11 m3 de H25 con bomba de arrastre y bombeo</t>
  </si>
  <si>
    <t>Fact-A-0000006622</t>
  </si>
  <si>
    <t>Fact-A-0000006656</t>
  </si>
  <si>
    <t>Fact-A-0000006665</t>
  </si>
  <si>
    <t>Fact-A-0000006697</t>
  </si>
  <si>
    <t>Fact-A-0000006698</t>
  </si>
  <si>
    <t>Fact-A-0000006685</t>
  </si>
  <si>
    <t>3 palet de portante 18 y 1 palet de hercal</t>
  </si>
  <si>
    <t>6,5 horas de gruas</t>
  </si>
  <si>
    <t>Metálico</t>
  </si>
  <si>
    <t>Anticipo del 15% del presupuesto de domotica</t>
  </si>
  <si>
    <t>Domotica</t>
  </si>
  <si>
    <t>Fact-A-00014-00007539</t>
  </si>
  <si>
    <t>Materiales Losa Radiante</t>
  </si>
  <si>
    <t>Calefaccion</t>
  </si>
  <si>
    <t>Fact-A-00014-00007540</t>
  </si>
  <si>
    <t>Fact-A-00014-00007541</t>
  </si>
  <si>
    <t xml:space="preserve">Aire Acondicionado </t>
  </si>
  <si>
    <t>Fact-A-0003-00000383</t>
  </si>
  <si>
    <t>Hierros Costruccion 6mm / 10mm cort.</t>
  </si>
  <si>
    <t>AcerosVCA</t>
  </si>
  <si>
    <t>Fact-A-00018-00077859</t>
  </si>
  <si>
    <t>Instalaciones Sanitarias</t>
  </si>
  <si>
    <t>Fact-A-0006-00006786</t>
  </si>
  <si>
    <t xml:space="preserve"> Cemento Portland x25kg - Cemento p/Albañileria x25 - Pallet</t>
  </si>
  <si>
    <t>N° 000100029047</t>
  </si>
  <si>
    <t>Servicio de  Montaje de cubierta de techo - 7 horas</t>
  </si>
  <si>
    <t>Grua y Transporte</t>
  </si>
  <si>
    <t>Traslado de andamios desde Alquilo Todo a obra</t>
  </si>
  <si>
    <t>Esteban y Matias</t>
  </si>
  <si>
    <t>Mza 3 - lote 16</t>
  </si>
  <si>
    <t>La Calera</t>
  </si>
  <si>
    <t>Vistas de La Deseada</t>
  </si>
  <si>
    <t>50% pago anticipo de moviemiento de suelo</t>
  </si>
  <si>
    <t>media sombra, alambre galvanizado</t>
  </si>
  <si>
    <t>cerco obra</t>
  </si>
  <si>
    <t>Puntales de madera y tablas para corralito</t>
  </si>
  <si>
    <t>Baño quimico y obrador por 6 meses</t>
  </si>
  <si>
    <t>Obrador</t>
  </si>
  <si>
    <t>Fact</t>
  </si>
  <si>
    <t>consumidor final</t>
  </si>
  <si>
    <t>Material pilar de luz</t>
  </si>
  <si>
    <t>pilar luz</t>
  </si>
  <si>
    <t>Material cerco obra</t>
  </si>
  <si>
    <t>Material canilla</t>
  </si>
  <si>
    <t xml:space="preserve">canilla </t>
  </si>
  <si>
    <t>Hierros fundacion y arena</t>
  </si>
  <si>
    <t>obra gruesa</t>
  </si>
  <si>
    <t>proyector solar ABS 800ml 5700K luz fria + panel solar</t>
  </si>
  <si>
    <t>iluminacion</t>
  </si>
  <si>
    <t>Carga en Cerroplast, Deplano, Feyro, taller del herrero</t>
  </si>
  <si>
    <t>flete</t>
  </si>
  <si>
    <t>Acopio de H° fundaciones y tabiques hasta planta subsuelo</t>
  </si>
  <si>
    <t>Materiales obra gruesa fundaciones</t>
  </si>
  <si>
    <t>Traslado de material de SINIS a vistas de la deseada</t>
  </si>
  <si>
    <t>Flete de tablas de madera de obra JS a obra</t>
  </si>
  <si>
    <t>Flete de fenolicos a obra</t>
  </si>
  <si>
    <t>Fact 29008</t>
  </si>
  <si>
    <t>bauvek</t>
  </si>
  <si>
    <t>Cuñas y buñas a cuenta de bauvek</t>
  </si>
  <si>
    <t>material</t>
  </si>
  <si>
    <t>Fact 29058</t>
  </si>
  <si>
    <t xml:space="preserve">Bauvek </t>
  </si>
  <si>
    <t>Fenolicos a cuenta de bauvek</t>
  </si>
  <si>
    <t>Devolucion de material en alquiler SINIS</t>
  </si>
  <si>
    <t>Fact 2004</t>
  </si>
  <si>
    <t>Perfiles metalicos</t>
  </si>
  <si>
    <t>perfiles</t>
  </si>
  <si>
    <t>nota de credito</t>
  </si>
  <si>
    <t>Granza 1.3</t>
  </si>
  <si>
    <t>aridos</t>
  </si>
  <si>
    <t>Fenolicos, buñas,</t>
  </si>
  <si>
    <t xml:space="preserve">Puntales </t>
  </si>
  <si>
    <t>Hierros industriales</t>
  </si>
  <si>
    <t>1 Martillo neumatico - dias a confirmar</t>
  </si>
  <si>
    <t>equipo</t>
  </si>
  <si>
    <t>1 canguro - dias a confirmar</t>
  </si>
  <si>
    <t>Fenolicos y puntales</t>
  </si>
  <si>
    <t>10 viajes de tierra</t>
  </si>
  <si>
    <t>tierra</t>
  </si>
  <si>
    <t>Losa y voladizo de subsuelo</t>
  </si>
  <si>
    <t>encofrados</t>
  </si>
  <si>
    <t>Esperando que facturen y transfiere cliente</t>
  </si>
  <si>
    <t>Tabiques de planta baja y planta alta</t>
  </si>
  <si>
    <t>Flete de SINIS a obra en vistas la deseada</t>
  </si>
  <si>
    <t>Flete de Jonathan. Material de Sinis a la obra</t>
  </si>
  <si>
    <t>2 fletes de Jonathan. Material de Sinis a la obra</t>
  </si>
  <si>
    <t>Por hacerse</t>
  </si>
  <si>
    <t>1 canguro x 4 dias</t>
  </si>
  <si>
    <t>Traslado de canguro desde alquilo todo a obra</t>
  </si>
  <si>
    <t>Rodolfo Subias y Melisa Lew</t>
  </si>
  <si>
    <t xml:space="preserve">Lote 364 </t>
  </si>
  <si>
    <t>El terrón, Mendiolaza</t>
  </si>
  <si>
    <t>Fact B</t>
  </si>
  <si>
    <t>Rodolfo Subias</t>
  </si>
  <si>
    <t>1 caja de porcellanato baño PA para guarda</t>
  </si>
  <si>
    <t>Terminación int</t>
  </si>
  <si>
    <t>Fact A</t>
  </si>
  <si>
    <t>1 caja de porcellanato por rotura en baño PA</t>
  </si>
  <si>
    <t>Materiales plomeria pluvial</t>
  </si>
  <si>
    <t xml:space="preserve">Ints. Pluvial </t>
  </si>
  <si>
    <t>Mat. Pintura parte metalica</t>
  </si>
  <si>
    <t>Retiro de Acerco, Ferrocons,Garin, Saniplast al terrón</t>
  </si>
  <si>
    <t>Mat. Pegamento/pastina</t>
  </si>
  <si>
    <t>Mat. Obra gruesa</t>
  </si>
  <si>
    <t>-</t>
  </si>
  <si>
    <t>ACERCO-CONTIGIANI al lote 364</t>
  </si>
  <si>
    <t>1 viaje de arena gruesa (ya pagado cliente a Bauvek)</t>
  </si>
  <si>
    <t>Retiro de jack srl al terron (material durlock)</t>
  </si>
  <si>
    <t>Retiro de ACERCO a taller de herrero en villa allende</t>
  </si>
  <si>
    <t>Devolucion de andamios del terron a GUATICOR</t>
  </si>
  <si>
    <t>1 contenedor de obra</t>
  </si>
  <si>
    <t>Contenedores Fer</t>
  </si>
  <si>
    <t>7 m3 de arena gruesa</t>
  </si>
  <si>
    <t>vintage sa</t>
  </si>
  <si>
    <t>pegamentos</t>
  </si>
  <si>
    <t>Contigini</t>
  </si>
  <si>
    <t>Mat de agua</t>
  </si>
  <si>
    <t>Saniplats</t>
  </si>
  <si>
    <t>Mat. Plomeria</t>
  </si>
  <si>
    <t>Angulos borde pileta</t>
  </si>
  <si>
    <t>Cyplo</t>
  </si>
  <si>
    <t>50% manos de obra y materiales</t>
  </si>
  <si>
    <t>Mat. Bombas hidrau.</t>
  </si>
  <si>
    <t>pegamento flex, cemento, lad. Cemento</t>
  </si>
  <si>
    <t>Traslado de adoquines del terron al malagueño corblock</t>
  </si>
  <si>
    <t>fact</t>
  </si>
  <si>
    <t>75 unid planchuela</t>
  </si>
  <si>
    <t>caño puertas tanque</t>
  </si>
  <si>
    <t>4 cuerpos de andamios, 4 tablones metalicos, 8 ruedas fijas sin frenos</t>
  </si>
  <si>
    <t>Traslado de Jack, acerco, a taller herrero y al terron</t>
  </si>
  <si>
    <t>Traslado de material del terron a Saniplast de la recta (devolucion de material)</t>
  </si>
  <si>
    <t>Traslado de macetas a obra</t>
  </si>
  <si>
    <t>Traslado de jack a obra</t>
  </si>
  <si>
    <t>Traslado deandamios de Q2 a obra</t>
  </si>
  <si>
    <t>Andamios del terron a Q2</t>
  </si>
  <si>
    <t>RODRIGO LUGON</t>
  </si>
  <si>
    <t>Lote 426</t>
  </si>
  <si>
    <t>Estancia Q2</t>
  </si>
  <si>
    <t>El gran Ombu</t>
  </si>
  <si>
    <t>1 contenedor</t>
  </si>
  <si>
    <t>Gran ombu</t>
  </si>
  <si>
    <t>Andamios de obra a guaticor</t>
  </si>
  <si>
    <t>Desplazamiento de andamios del terron a Q2</t>
  </si>
  <si>
    <t>NE</t>
  </si>
  <si>
    <t>Gastos Bauvek</t>
  </si>
  <si>
    <t>Retiro/traslado de tierra a chacras la villa</t>
  </si>
  <si>
    <t>Retiro/traslado de sillas Lucho a chacras la villa</t>
  </si>
  <si>
    <t>FACT A28027</t>
  </si>
  <si>
    <t>Material madera</t>
  </si>
  <si>
    <t>materiales</t>
  </si>
  <si>
    <t>Echeq a 30 días, ver cuando se emite</t>
  </si>
  <si>
    <t>Perfiles y tornillos</t>
  </si>
  <si>
    <t>Materiales</t>
  </si>
  <si>
    <t>ROLLO FILM NEGRO 3 X 50 MTS 200 MIC</t>
  </si>
  <si>
    <t>Para obra Emilio contigiani</t>
  </si>
  <si>
    <t>6 soleras</t>
  </si>
  <si>
    <t>casa Nico</t>
  </si>
  <si>
    <t>Fact A69918</t>
  </si>
  <si>
    <t>Mat electricidad</t>
  </si>
  <si>
    <t>Casa Nico</t>
  </si>
  <si>
    <t>Mat electricidad para casa de las sierras</t>
  </si>
  <si>
    <t>Casa Rio Cuarto</t>
  </si>
  <si>
    <t>Fact A10398</t>
  </si>
  <si>
    <t>Tersitech y venda</t>
  </si>
  <si>
    <t>Fact A10461</t>
  </si>
  <si>
    <t>1 contenedor casa Nico</t>
  </si>
  <si>
    <t>Fact A11044</t>
  </si>
  <si>
    <t>Tersinol, venda, latex profesional - obra LOCAL</t>
  </si>
  <si>
    <t>Fact A11045</t>
  </si>
  <si>
    <t>Yeso, esmalte sintetico blanco - obra LOCAL</t>
  </si>
  <si>
    <t>Fact A11069</t>
  </si>
  <si>
    <t>Latex profesional int - obra LOCAL</t>
  </si>
  <si>
    <t>4m3 de tierra de relleno</t>
  </si>
  <si>
    <t>Alma Viva</t>
  </si>
  <si>
    <t>Lote 9 - mza H</t>
  </si>
  <si>
    <t>Estancia San Miguel</t>
  </si>
  <si>
    <t>Río ceballos</t>
  </si>
  <si>
    <t>Retiro/traslado de material de Enas a obra Río ceballos, alma vida - turno mañana</t>
  </si>
  <si>
    <t>Retiro/traslado de material de Enas a obra Río ceballos, alma vida - turno Tarde</t>
  </si>
  <si>
    <t>Retiro/traslado de material de SINIS de obra Río Ceballos a Sinis</t>
  </si>
  <si>
    <t>Flete Jonatan</t>
  </si>
  <si>
    <t>Realizado</t>
  </si>
  <si>
    <t>Retiro/traslado de material de ENAS de obra Río Ceballos a ENAS centro</t>
  </si>
  <si>
    <t>20 puntales acrow E-3L</t>
  </si>
  <si>
    <t>Alquiler de 1 vibro bosh se uso en el hormigon del 22/12/2025</t>
  </si>
  <si>
    <t>Devolucion material de Enas</t>
  </si>
  <si>
    <t>Devolución de material de ENAS de obra Río Ceballos a ENAS centro</t>
  </si>
  <si>
    <t>ver que pague blussand por transferencia</t>
  </si>
  <si>
    <t>Fact-A-6106</t>
  </si>
  <si>
    <t>Alquiler material contra 6483A5</t>
  </si>
  <si>
    <t>Alquiler material</t>
  </si>
  <si>
    <t>Fact-A-6110</t>
  </si>
  <si>
    <t>Alquiler material contra 6483A4</t>
  </si>
  <si>
    <t>Fact-A-6155</t>
  </si>
  <si>
    <t>Alquiler material contra 6483A2</t>
  </si>
  <si>
    <t>Fact-A-6156</t>
  </si>
  <si>
    <t>Fact-A-6157</t>
  </si>
  <si>
    <t>Fact-A-6206</t>
  </si>
  <si>
    <t>Alquiler material contra 6483</t>
  </si>
  <si>
    <t>Fact-A-6237</t>
  </si>
  <si>
    <t>Alquiler material contra 6483A6</t>
  </si>
  <si>
    <t>Fact-A-6238</t>
  </si>
  <si>
    <t>Fact-A-6244</t>
  </si>
  <si>
    <t>Fact-A-6281</t>
  </si>
  <si>
    <t>Material roto</t>
  </si>
  <si>
    <t>material roto</t>
  </si>
  <si>
    <t>Se paga en dos veces</t>
  </si>
  <si>
    <t>LOSA HERRERA</t>
  </si>
  <si>
    <t>Lote 346</t>
  </si>
  <si>
    <t>Alquiler de 1 vibro bosh se uso en el hormigon del 17/12/2025</t>
  </si>
  <si>
    <t>contrato 6551</t>
  </si>
  <si>
    <t>Devolucion Material de Enas</t>
  </si>
  <si>
    <t>Fact-A - 505422</t>
  </si>
  <si>
    <t>Caución</t>
  </si>
  <si>
    <t xml:space="preserve">afianciadora de compañía de seguros </t>
  </si>
  <si>
    <t>Aseguradora</t>
  </si>
  <si>
    <t>Fact-A -527930</t>
  </si>
  <si>
    <t>Factura restado por nota de credito</t>
  </si>
  <si>
    <t>NT-Cred.104773</t>
  </si>
  <si>
    <t>Nota de credito corresponde a FactA-527930</t>
  </si>
  <si>
    <t>Material roto contrato A0/A1/A2</t>
  </si>
  <si>
    <t>Material alquile</t>
  </si>
  <si>
    <t>Colegio Malageño</t>
  </si>
  <si>
    <t>Peaje VCP</t>
  </si>
  <si>
    <t>Malagueño</t>
  </si>
  <si>
    <t>Retiro de anadamio Guaticor a peaje VCP- colegio Malagueño</t>
  </si>
  <si>
    <t>Traslado de andamios a obra en Arguello</t>
  </si>
  <si>
    <t>devolucion de andamios a Guaticor</t>
  </si>
  <si>
    <t>Casa siete soles</t>
  </si>
  <si>
    <t>Sieste soles</t>
  </si>
  <si>
    <t>Retiro de andamios alquilo todo a 7 soles</t>
  </si>
  <si>
    <t>1 cuerpo de andamios y 1 tablon</t>
  </si>
  <si>
    <t>alquiloTodo</t>
  </si>
  <si>
    <t>Retiro de acerco material a obra</t>
  </si>
  <si>
    <t>4 cuerpos de andamio y 2 tablones</t>
  </si>
  <si>
    <t>Julian</t>
  </si>
  <si>
    <t>4 cuerpos de andamio y 2 tablones RENOVACIÓN</t>
  </si>
  <si>
    <t>Agustin Zampol</t>
  </si>
  <si>
    <t>Mza 7 - lote 4</t>
  </si>
  <si>
    <t>Tatagua SA</t>
  </si>
  <si>
    <t>Estudio de suelo, altimetria, vegetación y vegetación autoctona</t>
  </si>
  <si>
    <t>Geotecnia</t>
  </si>
  <si>
    <t>Amojonamiento - ver cantidad de puntos</t>
  </si>
  <si>
    <t>Agrimensor</t>
  </si>
  <si>
    <t>Amojonamiento -colegiado</t>
  </si>
  <si>
    <t>Losa Mogetta</t>
  </si>
  <si>
    <t>Villa allende</t>
  </si>
  <si>
    <t>Alquiler encofrado losa vista</t>
  </si>
  <si>
    <t>Alquilar encofrado</t>
  </si>
  <si>
    <t>Costo mensual</t>
  </si>
  <si>
    <t>Factura por mes 28 días</t>
  </si>
  <si>
    <t>Alquiler encofrado losa NO vista</t>
  </si>
  <si>
    <t>Nota de credito</t>
  </si>
  <si>
    <t>Flete de SINIS a obra</t>
  </si>
  <si>
    <t>Puntales y vigas - losa no vista</t>
  </si>
  <si>
    <t>Puntales y vigas - losa vista</t>
  </si>
  <si>
    <t>Traslado de 50 unid molones de 20cm</t>
  </si>
  <si>
    <t>Puntales y vigas - losa NO vista</t>
  </si>
  <si>
    <t>Puntales y vigas - losa  vista</t>
  </si>
  <si>
    <t>Fact-A36270</t>
  </si>
  <si>
    <t>Puntales y vigas - losa PA</t>
  </si>
  <si>
    <t>Traslado vigas encofrado de villa allende a Sinis</t>
  </si>
  <si>
    <t>Flete tiene que pagarlo SINIS, realiza nota de credito</t>
  </si>
  <si>
    <t>Traslado vigas encofrado SINIS a villa allende</t>
  </si>
  <si>
    <t>1 matafuego - recarga</t>
  </si>
  <si>
    <t>Diego Casalis</t>
  </si>
  <si>
    <t>Lote 494</t>
  </si>
  <si>
    <t>Mendiolaza</t>
  </si>
  <si>
    <t>El terron</t>
  </si>
  <si>
    <t>Fact-71396</t>
  </si>
  <si>
    <t>Bauvek Sas</t>
  </si>
  <si>
    <t>Pilar de luz</t>
  </si>
  <si>
    <t>Materiales de electricidad (fusuibles que faltaban)</t>
  </si>
  <si>
    <t>Fact A-16680</t>
  </si>
  <si>
    <t>Materiales media sombra, alambre</t>
  </si>
  <si>
    <t>Echeq 30 dias</t>
  </si>
  <si>
    <t>Fact A-30214</t>
  </si>
  <si>
    <t>puntales de madera + tablas de corralito</t>
  </si>
  <si>
    <t>Fact-A-72240</t>
  </si>
  <si>
    <t>Materiales comienzo cerco</t>
  </si>
  <si>
    <t>Fact-A-53258</t>
  </si>
  <si>
    <t>Caños estructurales</t>
  </si>
  <si>
    <t>porton obra</t>
  </si>
  <si>
    <t>Acerco a herreria Maxi</t>
  </si>
  <si>
    <t>Herreria maxi a obra</t>
  </si>
  <si>
    <t>Traslado de 1 canguro de alquilo todo al terrón</t>
  </si>
  <si>
    <t>Traslado de 1 martillo 30kg de alquilo todo al terrón</t>
  </si>
  <si>
    <t>Alquiler de martillo 30kg</t>
  </si>
  <si>
    <t>Carola Ruda</t>
  </si>
  <si>
    <t>Mza 29 - lote 10</t>
  </si>
  <si>
    <t>Córdoba</t>
  </si>
  <si>
    <t>Las Delicias</t>
  </si>
  <si>
    <t>Material, acerco - cerroplas a obra</t>
  </si>
  <si>
    <t>Traslado de 10 fenolicos de Molvento a las delicias</t>
  </si>
  <si>
    <t>Alquiler de martillo 15kg- 3dias</t>
  </si>
  <si>
    <t>Alquiler de martillo 34kg</t>
  </si>
  <si>
    <t>Venturelli-Bernal</t>
  </si>
  <si>
    <t>Mza 49 lote 8</t>
  </si>
  <si>
    <t>Las Cañitas, Malagueño</t>
  </si>
  <si>
    <t>Alquiler de martillo canguro - 2 dias</t>
  </si>
  <si>
    <t>Alquiler de martillo canguro - controlar dias</t>
  </si>
  <si>
    <t>Obra</t>
  </si>
  <si>
    <t>Importe final (Iva incluido)</t>
  </si>
  <si>
    <t>Estado factura</t>
  </si>
  <si>
    <t>Estado Material</t>
  </si>
  <si>
    <t>Programado</t>
  </si>
  <si>
    <t>Devolución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</si>
</sst>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[$$-2C0A]\ #,##0.00"/>
    <numFmt numFmtId="165" formatCode="[$USD]\ #,##0.00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3" fillId="0" borderId="1"/>
    <xf numFmtId="0" fontId="12" fillId="0" borderId="1"/>
    <xf numFmtId="44" fontId="2" fillId="0" borderId="1" applyFont="0" applyFill="0" applyBorder="0" applyAlignment="0" applyProtection="0"/>
  </cellStyleXfs>
  <cellXfs count="536">
    <xf numFmtId="0" fontId="0" fillId="0" borderId="0" xfId="0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9" xfId="0" applyBorder="1"/>
    <xf numFmtId="164" fontId="0" fillId="0" borderId="6" xfId="0" applyNumberFormat="1" applyBorder="1"/>
    <xf numFmtId="0" fontId="6" fillId="0" borderId="20" xfId="0" applyFont="1" applyBorder="1"/>
    <xf numFmtId="0" fontId="0" fillId="0" borderId="0" xfId="0" applyAlignment="1">
      <alignment horizontal="center" vertical="center"/>
    </xf>
    <xf numFmtId="0" fontId="6" fillId="0" borderId="0" xfId="0" applyFont="1"/>
    <xf numFmtId="0" fontId="0" fillId="0" borderId="2" xfId="0" applyBorder="1"/>
    <xf numFmtId="0" fontId="0" fillId="0" borderId="4" xfId="0" applyBorder="1"/>
    <xf numFmtId="0" fontId="0" fillId="0" borderId="14" xfId="0" applyBorder="1"/>
    <xf numFmtId="0" fontId="0" fillId="0" borderId="26" xfId="0" applyBorder="1"/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5" xfId="0" applyNumberFormat="1" applyBorder="1"/>
    <xf numFmtId="164" fontId="0" fillId="0" borderId="0" xfId="0" applyNumberFormat="1"/>
    <xf numFmtId="0" fontId="0" fillId="5" borderId="5" xfId="0" applyFill="1" applyBorder="1"/>
    <xf numFmtId="0" fontId="6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64" fontId="0" fillId="0" borderId="1" xfId="0" applyNumberFormat="1" applyBorder="1"/>
    <xf numFmtId="164" fontId="6" fillId="0" borderId="1" xfId="0" applyNumberFormat="1" applyFont="1" applyBorder="1"/>
    <xf numFmtId="164" fontId="6" fillId="0" borderId="22" xfId="0" applyNumberFormat="1" applyFont="1" applyBorder="1"/>
    <xf numFmtId="0" fontId="6" fillId="0" borderId="23" xfId="0" applyFont="1" applyBorder="1" applyAlignment="1">
      <alignment vertical="center"/>
    </xf>
    <xf numFmtId="164" fontId="0" fillId="0" borderId="23" xfId="0" applyNumberFormat="1" applyBorder="1"/>
    <xf numFmtId="0" fontId="6" fillId="0" borderId="14" xfId="0" applyFont="1" applyBorder="1"/>
    <xf numFmtId="0" fontId="11" fillId="0" borderId="23" xfId="0" applyFont="1" applyBorder="1"/>
    <xf numFmtId="14" fontId="6" fillId="0" borderId="25" xfId="0" applyNumberFormat="1" applyFont="1" applyBorder="1" applyAlignment="1">
      <alignment horizontal="left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164" fontId="0" fillId="0" borderId="6" xfId="0" applyNumberForma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164" fontId="0" fillId="0" borderId="5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/>
    <xf numFmtId="0" fontId="7" fillId="3" borderId="40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6" fillId="0" borderId="41" xfId="0" applyFon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64" fontId="0" fillId="0" borderId="5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/>
    <xf numFmtId="0" fontId="0" fillId="0" borderId="38" xfId="0" applyBorder="1" applyAlignment="1">
      <alignment vertical="center"/>
    </xf>
    <xf numFmtId="0" fontId="0" fillId="0" borderId="38" xfId="0" applyBorder="1"/>
    <xf numFmtId="0" fontId="0" fillId="0" borderId="30" xfId="0" applyBorder="1"/>
    <xf numFmtId="0" fontId="0" fillId="0" borderId="5" xfId="0" applyBorder="1" applyAlignment="1">
      <alignment vertical="center"/>
    </xf>
    <xf numFmtId="14" fontId="0" fillId="0" borderId="18" xfId="0" applyNumberForma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0" fillId="0" borderId="31" xfId="0" applyNumberFormat="1" applyBorder="1" applyAlignment="1">
      <alignment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4" borderId="5" xfId="0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/>
    <xf numFmtId="164" fontId="6" fillId="0" borderId="0" xfId="0" applyNumberFormat="1" applyFont="1"/>
    <xf numFmtId="14" fontId="0" fillId="0" borderId="2" xfId="0" applyNumberForma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4" fontId="0" fillId="0" borderId="23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6" fillId="0" borderId="4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 wrapText="1"/>
    </xf>
    <xf numFmtId="0" fontId="0" fillId="5" borderId="18" xfId="0" applyFill="1" applyBorder="1"/>
    <xf numFmtId="0" fontId="6" fillId="5" borderId="10" xfId="0" applyFont="1" applyFill="1" applyBorder="1"/>
    <xf numFmtId="0" fontId="0" fillId="5" borderId="4" xfId="0" applyFill="1" applyBorder="1"/>
    <xf numFmtId="0" fontId="0" fillId="5" borderId="26" xfId="0" applyFill="1" applyBorder="1"/>
    <xf numFmtId="0" fontId="0" fillId="5" borderId="16" xfId="0" applyFill="1" applyBorder="1"/>
    <xf numFmtId="164" fontId="0" fillId="0" borderId="6" xfId="0" applyNumberForma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164" fontId="0" fillId="0" borderId="5" xfId="0" applyNumberForma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164" fontId="9" fillId="0" borderId="5" xfId="0" applyNumberFormat="1" applyFont="1" applyBorder="1" applyAlignment="1">
      <alignment horizontal="center" vertical="center"/>
    </xf>
    <xf numFmtId="14" fontId="0" fillId="0" borderId="0" xfId="0" applyNumberFormat="1"/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14" fontId="6" fillId="0" borderId="25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14" fontId="0" fillId="2" borderId="15" xfId="0" applyNumberForma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left" vertical="center"/>
    </xf>
    <xf numFmtId="164" fontId="0" fillId="2" borderId="6" xfId="0" applyNumberFormat="1" applyFill="1" applyBorder="1" applyAlignment="1">
      <alignment vertical="center"/>
    </xf>
    <xf numFmtId="164" fontId="0" fillId="2" borderId="6" xfId="0" applyNumberForma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0" xfId="0" applyFill="1"/>
    <xf numFmtId="0" fontId="15" fillId="2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/>
    <xf numFmtId="0" fontId="0" fillId="2" borderId="30" xfId="0" applyFill="1" applyBorder="1"/>
    <xf numFmtId="0" fontId="6" fillId="2" borderId="10" xfId="0" applyFont="1" applyFill="1" applyBorder="1" applyAlignment="1">
      <alignment vertical="center"/>
    </xf>
    <xf numFmtId="164" fontId="0" fillId="2" borderId="6" xfId="0" applyNumberFormat="1" applyFill="1" applyBorder="1" applyAlignment="1">
      <alignment horizontal="right" vertical="center"/>
    </xf>
    <xf numFmtId="164" fontId="0" fillId="2" borderId="8" xfId="0" applyNumberFormat="1" applyFill="1" applyBorder="1"/>
    <xf numFmtId="0" fontId="6" fillId="0" borderId="2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164" fontId="0" fillId="0" borderId="10" xfId="0" applyNumberFormat="1" applyBorder="1"/>
    <xf numFmtId="14" fontId="0" fillId="0" borderId="43" xfId="0" applyNumberFormat="1" applyBorder="1" applyAlignment="1">
      <alignment horizontal="center" vertical="center"/>
    </xf>
    <xf numFmtId="164" fontId="0" fillId="0" borderId="33" xfId="0" applyNumberFormat="1" applyBorder="1"/>
    <xf numFmtId="0" fontId="0" fillId="0" borderId="47" xfId="0" applyBorder="1"/>
    <xf numFmtId="0" fontId="7" fillId="3" borderId="52" xfId="0" applyFont="1" applyFill="1" applyBorder="1" applyAlignment="1">
      <alignment horizontal="center" vertical="center" wrapText="1"/>
    </xf>
    <xf numFmtId="14" fontId="0" fillId="2" borderId="43" xfId="0" applyNumberFormat="1" applyFill="1" applyBorder="1" applyAlignment="1">
      <alignment horizontal="center" vertical="center"/>
    </xf>
    <xf numFmtId="164" fontId="0" fillId="0" borderId="22" xfId="0" applyNumberFormat="1" applyBorder="1"/>
    <xf numFmtId="14" fontId="0" fillId="0" borderId="0" xfId="0" applyNumberFormat="1" applyAlignment="1">
      <alignment horizontal="center" vertical="center"/>
    </xf>
    <xf numFmtId="0" fontId="0" fillId="4" borderId="29" xfId="0" applyFill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0" fillId="5" borderId="19" xfId="0" applyFill="1" applyBorder="1"/>
    <xf numFmtId="0" fontId="0" fillId="5" borderId="14" xfId="0" applyFill="1" applyBorder="1"/>
    <xf numFmtId="164" fontId="15" fillId="0" borderId="23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/>
    <xf numFmtId="14" fontId="6" fillId="2" borderId="43" xfId="0" applyNumberFormat="1" applyFont="1" applyFill="1" applyBorder="1" applyAlignment="1">
      <alignment horizontal="center" vertical="center"/>
    </xf>
    <xf numFmtId="14" fontId="6" fillId="2" borderId="15" xfId="0" applyNumberFormat="1" applyFont="1" applyFill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4" fontId="9" fillId="0" borderId="53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9" fillId="4" borderId="29" xfId="0" applyFont="1" applyFill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9" fillId="4" borderId="33" xfId="0" applyFont="1" applyFill="1" applyBorder="1" applyAlignment="1">
      <alignment vertical="center" wrapText="1"/>
    </xf>
    <xf numFmtId="0" fontId="9" fillId="0" borderId="9" xfId="0" applyFont="1" applyBorder="1" applyAlignment="1">
      <alignment horizontal="center" vertical="center"/>
    </xf>
    <xf numFmtId="14" fontId="0" fillId="8" borderId="0" xfId="0" applyNumberFormat="1" applyFill="1"/>
    <xf numFmtId="0" fontId="0" fillId="12" borderId="0" xfId="0" applyFill="1"/>
    <xf numFmtId="14" fontId="0" fillId="12" borderId="0" xfId="0" applyNumberFormat="1" applyFill="1"/>
    <xf numFmtId="0" fontId="7" fillId="3" borderId="43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0" fillId="11" borderId="5" xfId="0" applyFill="1" applyBorder="1"/>
    <xf numFmtId="0" fontId="0" fillId="13" borderId="5" xfId="0" applyFill="1" applyBorder="1"/>
    <xf numFmtId="0" fontId="0" fillId="10" borderId="5" xfId="0" applyFill="1" applyBorder="1"/>
    <xf numFmtId="0" fontId="0" fillId="6" borderId="0" xfId="0" applyFill="1"/>
    <xf numFmtId="14" fontId="0" fillId="6" borderId="43" xfId="0" applyNumberFormat="1" applyFill="1" applyBorder="1" applyAlignment="1">
      <alignment horizontal="center" vertical="center"/>
    </xf>
    <xf numFmtId="0" fontId="6" fillId="6" borderId="10" xfId="0" applyFont="1" applyFill="1" applyBorder="1" applyAlignment="1">
      <alignment vertical="center"/>
    </xf>
    <xf numFmtId="0" fontId="6" fillId="6" borderId="5" xfId="0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164" fontId="0" fillId="0" borderId="5" xfId="0" applyNumberFormat="1" applyBorder="1" applyAlignment="1">
      <alignment horizontal="left" vertical="center"/>
    </xf>
    <xf numFmtId="0" fontId="0" fillId="8" borderId="29" xfId="0" applyFill="1" applyBorder="1" applyAlignment="1">
      <alignment horizontal="center" vertical="center"/>
    </xf>
    <xf numFmtId="164" fontId="0" fillId="8" borderId="5" xfId="0" applyNumberFormat="1" applyFill="1" applyBorder="1" applyAlignment="1">
      <alignment vertical="center"/>
    </xf>
    <xf numFmtId="164" fontId="0" fillId="8" borderId="6" xfId="0" applyNumberFormat="1" applyFill="1" applyBorder="1" applyAlignment="1">
      <alignment vertical="center"/>
    </xf>
    <xf numFmtId="164" fontId="0" fillId="8" borderId="5" xfId="0" applyNumberFormat="1" applyFill="1" applyBorder="1" applyAlignment="1">
      <alignment horizontal="right" vertical="center"/>
    </xf>
    <xf numFmtId="164" fontId="0" fillId="2" borderId="5" xfId="0" applyNumberForma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6" fillId="0" borderId="33" xfId="0" applyFont="1" applyBorder="1" applyAlignment="1">
      <alignment vertical="center"/>
    </xf>
    <xf numFmtId="14" fontId="0" fillId="2" borderId="4" xfId="0" applyNumberFormat="1" applyFill="1" applyBorder="1" applyAlignment="1">
      <alignment horizontal="center" vertical="center"/>
    </xf>
    <xf numFmtId="0" fontId="0" fillId="4" borderId="33" xfId="0" applyFill="1" applyBorder="1" applyAlignment="1">
      <alignment vertical="center" wrapText="1"/>
    </xf>
    <xf numFmtId="0" fontId="0" fillId="0" borderId="6" xfId="0" applyBorder="1" applyAlignment="1">
      <alignment horizontal="left" vertical="center"/>
    </xf>
    <xf numFmtId="14" fontId="0" fillId="6" borderId="15" xfId="0" applyNumberForma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right" vertical="center"/>
    </xf>
    <xf numFmtId="0" fontId="0" fillId="6" borderId="5" xfId="0" applyFill="1" applyBorder="1" applyAlignment="1">
      <alignment horizontal="center" vertical="center"/>
    </xf>
    <xf numFmtId="0" fontId="0" fillId="6" borderId="8" xfId="0" applyFill="1" applyBorder="1"/>
    <xf numFmtId="164" fontId="0" fillId="0" borderId="5" xfId="0" applyNumberFormat="1" applyBorder="1" applyAlignment="1">
      <alignment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/>
    </xf>
    <xf numFmtId="0" fontId="0" fillId="4" borderId="6" xfId="0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6" borderId="6" xfId="0" applyNumberFormat="1" applyFill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6" fillId="0" borderId="4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0" fillId="11" borderId="1" xfId="0" applyNumberFormat="1" applyFill="1" applyBorder="1"/>
    <xf numFmtId="14" fontId="0" fillId="13" borderId="1" xfId="0" applyNumberFormat="1" applyFill="1" applyBorder="1"/>
    <xf numFmtId="0" fontId="0" fillId="12" borderId="1" xfId="0" applyFill="1" applyBorder="1"/>
    <xf numFmtId="0" fontId="0" fillId="12" borderId="48" xfId="0" applyFill="1" applyBorder="1"/>
    <xf numFmtId="14" fontId="0" fillId="0" borderId="47" xfId="0" applyNumberFormat="1" applyBorder="1"/>
    <xf numFmtId="14" fontId="0" fillId="0" borderId="1" xfId="0" applyNumberFormat="1" applyBorder="1"/>
    <xf numFmtId="14" fontId="0" fillId="10" borderId="1" xfId="0" applyNumberFormat="1" applyFill="1" applyBorder="1"/>
    <xf numFmtId="14" fontId="0" fillId="12" borderId="1" xfId="0" applyNumberFormat="1" applyFill="1" applyBorder="1"/>
    <xf numFmtId="14" fontId="0" fillId="12" borderId="48" xfId="0" applyNumberFormat="1" applyFill="1" applyBorder="1"/>
    <xf numFmtId="14" fontId="0" fillId="2" borderId="1" xfId="0" applyNumberFormat="1" applyFill="1" applyBorder="1"/>
    <xf numFmtId="14" fontId="0" fillId="0" borderId="49" xfId="0" applyNumberFormat="1" applyBorder="1"/>
    <xf numFmtId="14" fontId="0" fillId="0" borderId="50" xfId="0" applyNumberFormat="1" applyBorder="1"/>
    <xf numFmtId="14" fontId="0" fillId="2" borderId="50" xfId="0" applyNumberFormat="1" applyFill="1" applyBorder="1"/>
    <xf numFmtId="14" fontId="0" fillId="13" borderId="50" xfId="0" applyNumberFormat="1" applyFill="1" applyBorder="1"/>
    <xf numFmtId="14" fontId="0" fillId="12" borderId="50" xfId="0" applyNumberFormat="1" applyFill="1" applyBorder="1"/>
    <xf numFmtId="14" fontId="0" fillId="12" borderId="51" xfId="0" applyNumberFormat="1" applyFill="1" applyBorder="1"/>
    <xf numFmtId="14" fontId="0" fillId="11" borderId="47" xfId="0" applyNumberFormat="1" applyFill="1" applyBorder="1"/>
    <xf numFmtId="14" fontId="0" fillId="10" borderId="50" xfId="0" applyNumberFormat="1" applyFill="1" applyBorder="1"/>
    <xf numFmtId="0" fontId="0" fillId="12" borderId="51" xfId="0" applyFill="1" applyBorder="1"/>
    <xf numFmtId="14" fontId="0" fillId="11" borderId="49" xfId="0" applyNumberFormat="1" applyFill="1" applyBorder="1"/>
    <xf numFmtId="16" fontId="0" fillId="10" borderId="0" xfId="0" applyNumberFormat="1" applyFill="1"/>
    <xf numFmtId="16" fontId="0" fillId="8" borderId="0" xfId="0" applyNumberFormat="1" applyFill="1"/>
    <xf numFmtId="0" fontId="4" fillId="14" borderId="0" xfId="0" applyFont="1" applyFill="1" applyAlignment="1">
      <alignment horizontal="center" vertical="center" wrapText="1"/>
    </xf>
    <xf numFmtId="14" fontId="6" fillId="14" borderId="43" xfId="0" applyNumberFormat="1" applyFont="1" applyFill="1" applyBorder="1" applyAlignment="1">
      <alignment horizontal="center" vertical="center"/>
    </xf>
    <xf numFmtId="14" fontId="6" fillId="14" borderId="15" xfId="0" applyNumberFormat="1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64" fontId="0" fillId="14" borderId="6" xfId="0" applyNumberFormat="1" applyFill="1" applyBorder="1" applyAlignment="1">
      <alignment vertical="center"/>
    </xf>
    <xf numFmtId="164" fontId="0" fillId="14" borderId="6" xfId="0" applyNumberFormat="1" applyFill="1" applyBorder="1" applyAlignment="1">
      <alignment horizontal="center" wrapText="1"/>
    </xf>
    <xf numFmtId="0" fontId="6" fillId="14" borderId="6" xfId="0" applyFont="1" applyFill="1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0" fillId="14" borderId="8" xfId="0" applyFill="1" applyBorder="1" applyAlignment="1">
      <alignment vertical="center"/>
    </xf>
    <xf numFmtId="0" fontId="0" fillId="14" borderId="0" xfId="0" applyFill="1"/>
    <xf numFmtId="0" fontId="9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0" fillId="0" borderId="0" xfId="0" applyAlignment="1">
      <alignment wrapText="1"/>
    </xf>
    <xf numFmtId="14" fontId="9" fillId="0" borderId="6" xfId="0" applyNumberFormat="1" applyFont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164" fontId="0" fillId="0" borderId="6" xfId="0" applyNumberFormat="1" applyBorder="1" applyAlignment="1">
      <alignment horizontal="center" wrapText="1"/>
    </xf>
    <xf numFmtId="0" fontId="6" fillId="0" borderId="4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0" fillId="8" borderId="0" xfId="0" applyFill="1"/>
    <xf numFmtId="164" fontId="0" fillId="6" borderId="6" xfId="0" applyNumberFormat="1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6" fillId="0" borderId="56" xfId="0" applyFont="1" applyBorder="1"/>
    <xf numFmtId="164" fontId="6" fillId="0" borderId="57" xfId="0" applyNumberFormat="1" applyFont="1" applyBorder="1"/>
    <xf numFmtId="164" fontId="9" fillId="0" borderId="6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0" fillId="6" borderId="35" xfId="0" applyNumberFormat="1" applyFill="1" applyBorder="1" applyAlignment="1">
      <alignment vertical="center"/>
    </xf>
    <xf numFmtId="0" fontId="6" fillId="14" borderId="35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14" fontId="0" fillId="15" borderId="15" xfId="0" applyNumberFormat="1" applyFill="1" applyBorder="1" applyAlignment="1">
      <alignment horizontal="center" vertical="center"/>
    </xf>
    <xf numFmtId="0" fontId="6" fillId="15" borderId="10" xfId="0" applyFont="1" applyFill="1" applyBorder="1" applyAlignment="1">
      <alignment vertical="center"/>
    </xf>
    <xf numFmtId="164" fontId="0" fillId="15" borderId="6" xfId="0" applyNumberFormat="1" applyFill="1" applyBorder="1" applyAlignment="1">
      <alignment horizontal="center" vertical="center"/>
    </xf>
    <xf numFmtId="0" fontId="7" fillId="3" borderId="58" xfId="0" applyFont="1" applyFill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8" borderId="54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4" fillId="16" borderId="0" xfId="0" applyFont="1" applyFill="1" applyAlignment="1">
      <alignment horizontal="center" vertical="center" wrapText="1"/>
    </xf>
    <xf numFmtId="14" fontId="0" fillId="16" borderId="15" xfId="0" applyNumberFormat="1" applyFill="1" applyBorder="1" applyAlignment="1">
      <alignment horizontal="center" vertical="center"/>
    </xf>
    <xf numFmtId="14" fontId="6" fillId="16" borderId="15" xfId="0" applyNumberFormat="1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vertical="center"/>
    </xf>
    <xf numFmtId="0" fontId="6" fillId="16" borderId="6" xfId="0" applyFont="1" applyFill="1" applyBorder="1" applyAlignment="1">
      <alignment horizontal="left" vertical="center"/>
    </xf>
    <xf numFmtId="164" fontId="0" fillId="16" borderId="6" xfId="0" applyNumberFormat="1" applyFill="1" applyBorder="1" applyAlignment="1">
      <alignment vertical="center"/>
    </xf>
    <xf numFmtId="164" fontId="0" fillId="16" borderId="6" xfId="0" applyNumberFormat="1" applyFill="1" applyBorder="1" applyAlignment="1">
      <alignment horizontal="center" wrapText="1"/>
    </xf>
    <xf numFmtId="0" fontId="6" fillId="16" borderId="6" xfId="0" applyFont="1" applyFill="1" applyBorder="1" applyAlignment="1">
      <alignment horizontal="center" vertical="center"/>
    </xf>
    <xf numFmtId="0" fontId="0" fillId="16" borderId="35" xfId="0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0" fillId="16" borderId="8" xfId="0" applyFill="1" applyBorder="1" applyAlignment="1">
      <alignment vertical="center"/>
    </xf>
    <xf numFmtId="0" fontId="0" fillId="16" borderId="0" xfId="0" applyFill="1"/>
    <xf numFmtId="14" fontId="6" fillId="0" borderId="6" xfId="0" applyNumberFormat="1" applyFont="1" applyBorder="1" applyAlignment="1">
      <alignment vertical="center"/>
    </xf>
    <xf numFmtId="164" fontId="0" fillId="2" borderId="1" xfId="0" applyNumberFormat="1" applyFill="1" applyBorder="1"/>
    <xf numFmtId="164" fontId="0" fillId="2" borderId="0" xfId="0" applyNumberFormat="1" applyFill="1"/>
    <xf numFmtId="0" fontId="0" fillId="9" borderId="0" xfId="0" applyFill="1"/>
    <xf numFmtId="164" fontId="0" fillId="9" borderId="0" xfId="0" applyNumberFormat="1" applyFill="1"/>
    <xf numFmtId="0" fontId="6" fillId="2" borderId="33" xfId="0" applyFont="1" applyFill="1" applyBorder="1" applyAlignment="1">
      <alignment vertical="center"/>
    </xf>
    <xf numFmtId="0" fontId="6" fillId="2" borderId="33" xfId="0" applyFont="1" applyFill="1" applyBorder="1" applyAlignment="1">
      <alignment horizontal="left" vertical="center"/>
    </xf>
    <xf numFmtId="164" fontId="0" fillId="2" borderId="33" xfId="0" applyNumberFormat="1" applyFill="1" applyBorder="1" applyAlignment="1">
      <alignment vertical="center"/>
    </xf>
    <xf numFmtId="164" fontId="0" fillId="2" borderId="33" xfId="0" applyNumberFormat="1" applyFill="1" applyBorder="1" applyAlignment="1">
      <alignment horizontal="center" wrapText="1"/>
    </xf>
    <xf numFmtId="0" fontId="6" fillId="2" borderId="3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35" xfId="0" applyFill="1" applyBorder="1" applyAlignment="1">
      <alignment vertical="center"/>
    </xf>
    <xf numFmtId="14" fontId="0" fillId="0" borderId="33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wrapText="1"/>
    </xf>
    <xf numFmtId="0" fontId="0" fillId="0" borderId="35" xfId="0" applyBorder="1"/>
    <xf numFmtId="164" fontId="0" fillId="0" borderId="33" xfId="0" applyNumberFormat="1" applyBorder="1" applyAlignment="1">
      <alignment vertical="center"/>
    </xf>
    <xf numFmtId="164" fontId="0" fillId="0" borderId="33" xfId="0" applyNumberFormat="1" applyBorder="1" applyAlignment="1">
      <alignment horizontal="center" vertical="center"/>
    </xf>
    <xf numFmtId="0" fontId="0" fillId="0" borderId="37" xfId="0" applyBorder="1"/>
    <xf numFmtId="0" fontId="9" fillId="0" borderId="0" xfId="0" applyFont="1"/>
    <xf numFmtId="14" fontId="9" fillId="0" borderId="43" xfId="0" applyNumberFormat="1" applyFont="1" applyBorder="1" applyAlignment="1">
      <alignment horizontal="center" vertical="center"/>
    </xf>
    <xf numFmtId="14" fontId="9" fillId="0" borderId="15" xfId="0" applyNumberFormat="1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55" xfId="0" applyFont="1" applyBorder="1"/>
    <xf numFmtId="0" fontId="6" fillId="0" borderId="5" xfId="0" applyFont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0" fillId="11" borderId="8" xfId="0" applyFill="1" applyBorder="1"/>
    <xf numFmtId="0" fontId="7" fillId="3" borderId="29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right" vertical="center"/>
    </xf>
    <xf numFmtId="164" fontId="0" fillId="0" borderId="35" xfId="0" applyNumberFormat="1" applyBorder="1" applyAlignment="1">
      <alignment vertical="center"/>
    </xf>
    <xf numFmtId="164" fontId="0" fillId="8" borderId="9" xfId="0" applyNumberFormat="1" applyFill="1" applyBorder="1" applyAlignment="1">
      <alignment vertical="center"/>
    </xf>
    <xf numFmtId="164" fontId="0" fillId="8" borderId="8" xfId="0" applyNumberFormat="1" applyFill="1" applyBorder="1" applyAlignment="1">
      <alignment vertical="center"/>
    </xf>
    <xf numFmtId="164" fontId="0" fillId="2" borderId="8" xfId="0" applyNumberFormat="1" applyFill="1" applyBorder="1" applyAlignment="1">
      <alignment vertical="center"/>
    </xf>
    <xf numFmtId="164" fontId="0" fillId="2" borderId="9" xfId="0" applyNumberFormat="1" applyFill="1" applyBorder="1" applyAlignment="1">
      <alignment vertical="center"/>
    </xf>
    <xf numFmtId="164" fontId="0" fillId="8" borderId="9" xfId="0" applyNumberFormat="1" applyFill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164" fontId="9" fillId="0" borderId="8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6" fillId="8" borderId="5" xfId="0" applyFont="1" applyFill="1" applyBorder="1" applyAlignment="1">
      <alignment horizontal="center" vertical="center"/>
    </xf>
    <xf numFmtId="0" fontId="0" fillId="16" borderId="1" xfId="0" applyFill="1" applyBorder="1"/>
    <xf numFmtId="14" fontId="0" fillId="16" borderId="43" xfId="0" applyNumberFormat="1" applyFill="1" applyBorder="1" applyAlignment="1">
      <alignment horizontal="center" vertical="center"/>
    </xf>
    <xf numFmtId="0" fontId="6" fillId="16" borderId="33" xfId="0" applyFont="1" applyFill="1" applyBorder="1" applyAlignment="1">
      <alignment vertical="center"/>
    </xf>
    <xf numFmtId="164" fontId="0" fillId="16" borderId="6" xfId="0" applyNumberForma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8" xfId="0" applyFill="1" applyBorder="1"/>
    <xf numFmtId="0" fontId="6" fillId="16" borderId="1" xfId="0" applyFont="1" applyFill="1" applyBorder="1"/>
    <xf numFmtId="164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/>
    <xf numFmtId="0" fontId="0" fillId="2" borderId="1" xfId="0" applyFill="1" applyBorder="1"/>
    <xf numFmtId="0" fontId="0" fillId="14" borderId="6" xfId="0" applyFill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/>
    <xf numFmtId="0" fontId="6" fillId="16" borderId="1" xfId="0" applyFont="1" applyFill="1" applyBorder="1" applyAlignment="1">
      <alignment horizontal="center" vertical="center" wrapText="1"/>
    </xf>
    <xf numFmtId="164" fontId="0" fillId="2" borderId="6" xfId="0" applyNumberFormat="1" applyFill="1" applyBorder="1"/>
    <xf numFmtId="0" fontId="8" fillId="8" borderId="29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0" fontId="6" fillId="2" borderId="5" xfId="0" applyFont="1" applyFill="1" applyBorder="1" applyAlignment="1">
      <alignment vertical="center"/>
    </xf>
    <xf numFmtId="164" fontId="0" fillId="2" borderId="5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/>
    </xf>
    <xf numFmtId="14" fontId="6" fillId="2" borderId="5" xfId="0" applyNumberFormat="1" applyFon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6" fillId="0" borderId="22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6" fillId="6" borderId="3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164" fontId="9" fillId="0" borderId="6" xfId="0" applyNumberFormat="1" applyFont="1" applyBorder="1" applyAlignment="1">
      <alignment vertical="center"/>
    </xf>
    <xf numFmtId="164" fontId="9" fillId="0" borderId="5" xfId="0" applyNumberFormat="1" applyFont="1" applyBorder="1" applyAlignment="1">
      <alignment horizontal="center" wrapText="1"/>
    </xf>
    <xf numFmtId="14" fontId="6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165" fontId="0" fillId="0" borderId="6" xfId="0" applyNumberFormat="1" applyBorder="1" applyAlignment="1">
      <alignment vertical="center"/>
    </xf>
    <xf numFmtId="0" fontId="0" fillId="0" borderId="50" xfId="0" applyBorder="1"/>
    <xf numFmtId="0" fontId="0" fillId="12" borderId="50" xfId="0" applyFill="1" applyBorder="1"/>
    <xf numFmtId="0" fontId="0" fillId="2" borderId="10" xfId="0" applyFill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1" fillId="4" borderId="6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24" xfId="0" applyBorder="1" applyAlignment="1">
      <alignment horizontal="right"/>
    </xf>
    <xf numFmtId="0" fontId="11" fillId="0" borderId="44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14" fontId="6" fillId="5" borderId="3" xfId="0" applyNumberFormat="1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24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5" xfId="0" applyFont="1" applyBorder="1"/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1" xfId="0" applyFont="1" applyBorder="1"/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4" borderId="23" xfId="0" applyFont="1" applyFill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0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 wrapText="1"/>
    </xf>
    <xf numFmtId="0" fontId="1" fillId="16" borderId="6" xfId="0" applyFont="1" applyFill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6" xfId="0" applyFont="1" applyBorder="1"/>
    <xf numFmtId="0" fontId="1" fillId="0" borderId="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6" borderId="10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vertical="center"/>
    </xf>
    <xf numFmtId="0" fontId="1" fillId="15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/>
    </xf>
    <xf numFmtId="14" fontId="1" fillId="0" borderId="4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5" borderId="5" xfId="0" applyFont="1" applyFill="1" applyBorder="1"/>
    <xf numFmtId="0" fontId="1" fillId="5" borderId="9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4" xfId="0" applyFont="1" applyFill="1" applyBorder="1"/>
    <xf numFmtId="164" fontId="1" fillId="0" borderId="23" xfId="0" applyNumberFormat="1" applyFont="1" applyBorder="1"/>
    <xf numFmtId="164" fontId="1" fillId="0" borderId="10" xfId="0" applyNumberFormat="1" applyFont="1" applyBorder="1"/>
    <xf numFmtId="14" fontId="1" fillId="0" borderId="43" xfId="0" applyNumberFormat="1" applyFont="1" applyBorder="1" applyAlignment="1">
      <alignment horizontal="center" vertical="center"/>
    </xf>
    <xf numFmtId="0" fontId="1" fillId="14" borderId="6" xfId="0" applyFont="1" applyFill="1" applyBorder="1" applyAlignment="1">
      <alignment vertical="center"/>
    </xf>
    <xf numFmtId="0" fontId="1" fillId="5" borderId="27" xfId="0" applyFont="1" applyFill="1" applyBorder="1" applyAlignment="1">
      <alignment horizontal="center"/>
    </xf>
    <xf numFmtId="0" fontId="1" fillId="0" borderId="2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/>
    </xf>
    <xf numFmtId="0" fontId="1" fillId="6" borderId="5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center" vertical="center" wrapText="1"/>
    </xf>
    <xf numFmtId="0" fontId="1" fillId="4" borderId="33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5" xfId="0" applyNumberFormat="1" applyFont="1" applyBorder="1"/>
    <xf numFmtId="0" fontId="1" fillId="0" borderId="6" xfId="0" applyFont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4" borderId="33" xfId="0" applyFont="1" applyFill="1" applyBorder="1" applyAlignment="1">
      <alignment vertical="center" wrapText="1"/>
    </xf>
    <xf numFmtId="164" fontId="1" fillId="0" borderId="5" xfId="0" applyNumberFormat="1" applyFont="1" applyBorder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4" borderId="29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164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55" xfId="0" applyFont="1" applyBorder="1"/>
    <xf numFmtId="164" fontId="1" fillId="0" borderId="6" xfId="0" applyNumberFormat="1" applyFont="1" applyBorder="1"/>
    <xf numFmtId="164" fontId="1" fillId="0" borderId="6" xfId="0" applyNumberFormat="1" applyFont="1" applyBorder="1" applyAlignment="1">
      <alignment vertical="center"/>
    </xf>
  </cellXfs>
  <cellStyles count="4">
    <cellStyle name="Moneda 2" xfId="3" xr:uid="{347D1C11-AAF7-4DF8-89B0-AEA09CFCCAFB}"/>
    <cellStyle name="Normal" xfId="0" builtinId="0"/>
    <cellStyle name="Normal 2" xfId="1" xr:uid="{74A24D93-02EF-4AB7-93FC-3E4D7754F0EB}"/>
    <cellStyle name="Normal 3" xfId="2" xr:uid="{329069EF-C684-4827-B333-44DD47F87D8A}"/>
  </cellStyles>
  <dxfs count="139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bottom style="medium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[$$-2C0A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6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invitado" id="{0473F133-A02E-4422-A50D-B3A9F4CFC7D5}" userId="" providerId="Windows Live"/>
  <person displayName="Nahuel Tugnarelli" id="{1ACFC3C9-DC9C-4146-961B-61AE9EE559BF}" userId="caa053400eee9aa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302848-AFF1-4DAB-B13C-E86D111D6D74}" name="Tabla_SG" displayName="Tabla_SG" ref="B9:Q58" totalsRowShown="0" headerRowDxfId="1375" headerRowBorderDxfId="1373" tableBorderDxfId="1374">
  <autoFilter ref="B9:Q58" xr:uid="{C32E55CF-11FF-4875-9A2F-5993AF951892}"/>
  <tableColumns count="16">
    <tableColumn id="13" xr3:uid="{F693D2FD-CC42-4113-BC42-0F94F0AABC40}" name="OBRA" dataDxfId="1372">
      <calculatedColumnFormula>+$E$3</calculatedColumnFormula>
    </tableColumn>
    <tableColumn id="1" xr3:uid="{2B97E800-BF28-40F1-864A-3F3B8DD78A57}" name="Fecha de FC" dataDxfId="1371"/>
    <tableColumn id="2" xr3:uid="{4CC4377E-0589-4789-869A-23747525D9D7}" name="Condición" dataDxfId="1370"/>
    <tableColumn id="3" xr3:uid="{07B3146C-EDF8-4B47-9A95-F50518425915}" name="Razón social" dataDxfId="1369"/>
    <tableColumn id="4" xr3:uid="{FA5A6BCC-F270-410C-AE7C-0A3EE66FC518}" name="Descripción" dataDxfId="1368"/>
    <tableColumn id="5" xr3:uid="{713B29B7-86A1-4F2E-BA7E-063E920E6454}" name="Proveedor" dataDxfId="1367"/>
    <tableColumn id="6" xr3:uid="{E60DEDBE-FF45-4BB2-9018-6E04D725B588}" name="Rubro" dataDxfId="1366"/>
    <tableColumn id="7" xr3:uid="{737F6044-803D-4EFB-8290-3DB7A9AC513F}" name="Importe final Pesos (Iva incluido)" dataDxfId="1365"/>
    <tableColumn id="16" xr3:uid="{162F1662-D4DD-4080-A4F6-E8F453B6C199}" name="Importe final USD (Iva incluido)" dataDxfId="1364"/>
    <tableColumn id="8" xr3:uid="{9A2DB95B-FA6E-4725-9FC9-B3B56202F266}" name="Observaciones" dataDxfId="1363"/>
    <tableColumn id="9" xr3:uid="{E087986A-E700-497F-BF91-71AB80327DBF}" name="Estado Factura Cliente" dataDxfId="1362"/>
    <tableColumn id="15" xr3:uid="{515AA43D-8394-476A-8FC7-3ED56D55EA9D}" name="Estado Factura Bauvek" dataDxfId="1361"/>
    <tableColumn id="11" xr3:uid="{4E63A7F8-DBFF-4F43-86AE-6A332488ABFA}" name="Estado material" dataDxfId="1360"/>
    <tableColumn id="12" xr3:uid="{5B21651B-167D-4629-91A8-5A97724BD6E4}" name="Resarcimiento Bauvek" dataDxfId="1359"/>
    <tableColumn id="10" xr3:uid="{DB37296C-6415-4353-9B46-4BB790D32F18}" name="Nº Remito" dataDxfId="1358"/>
    <tableColumn id="14" xr3:uid="{C6379E8F-5262-480E-BFA6-A0162E78C371}" name="Encargado" dataDxfId="135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A46167-CC2D-4049-9EE9-0EDEDA729ED2}" name="Tabla_HR" displayName="Tabla_HR" ref="B9:Q49" totalsRowShown="0" headerRowDxfId="1349" headerRowBorderDxfId="1347" tableBorderDxfId="1348">
  <autoFilter ref="B9:Q49" xr:uid="{C32E55CF-11FF-4875-9A2F-5993AF951892}"/>
  <tableColumns count="16">
    <tableColumn id="13" xr3:uid="{8674BF2F-A715-421D-837C-04D74995C868}" name="OBRA" dataDxfId="1346">
      <calculatedColumnFormula>+$E$3</calculatedColumnFormula>
    </tableColumn>
    <tableColumn id="1" xr3:uid="{D1E389F9-CF52-42E3-B446-1102C5619A5E}" name="Fecha de FC" dataDxfId="1345"/>
    <tableColumn id="2" xr3:uid="{C2DEA707-2366-48BD-AC71-5F5DAA71E080}" name="Condición" dataDxfId="1344"/>
    <tableColumn id="3" xr3:uid="{219C66D7-0CAC-49F9-9DEE-32E8CA5C5B30}" name="Razón social" dataDxfId="1343"/>
    <tableColumn id="4" xr3:uid="{5B861D6C-C067-4EFC-8118-7095176AB3A9}" name="Descripción" dataDxfId="1342"/>
    <tableColumn id="5" xr3:uid="{65BF7445-A5B7-43DE-8716-8E02DE99B5A3}" name="Proveedor" dataDxfId="1341"/>
    <tableColumn id="6" xr3:uid="{148F09C3-C9A6-49D1-8531-A62D63E261AD}" name="Rubro" dataDxfId="1340"/>
    <tableColumn id="7" xr3:uid="{FEFE1299-2FB9-4DEA-92F9-82B0FD9A4EBD}" name="Importe final Pesos (Iva incluido)" dataDxfId="1339"/>
    <tableColumn id="16" xr3:uid="{A6464711-6CA4-4861-A675-E1289D140B45}" name="Importe final USD (Iva incluido)" dataDxfId="1338"/>
    <tableColumn id="8" xr3:uid="{78E2634D-5BB6-4470-959E-EFA11F349D15}" name="Observaciones" dataDxfId="1337"/>
    <tableColumn id="9" xr3:uid="{222A4E62-0F92-45B7-9D41-80E2347577A3}" name="Estado Factura Cliente" dataDxfId="1336"/>
    <tableColumn id="15" xr3:uid="{CB1A103E-AC83-4F06-B6B4-6EF72FA17669}" name="Estado Factura Bauvek" dataDxfId="1335"/>
    <tableColumn id="11" xr3:uid="{98497D65-07F7-47B0-A0AB-540673CF0817}" name="Estado material" dataDxfId="1334"/>
    <tableColumn id="12" xr3:uid="{5E558498-CD93-4434-A503-9F6E4107DC71}" name="Resarcimiento Bauvek" dataDxfId="1333"/>
    <tableColumn id="10" xr3:uid="{FDFDE818-1081-44B6-9633-3FC54368D2F0}" name="Nº Remito" dataDxfId="1332"/>
    <tableColumn id="14" xr3:uid="{072AA143-4D36-4421-823E-514548D8D197}" name="Encargado" dataDxfId="133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478FB1-E807-4B43-8B84-53465AFF958E}" name="Tabla_FAR" displayName="Tabla_FAR" ref="B9:S117" totalsRowShown="0" headerRowDxfId="1248" headerRowBorderDxfId="1246" tableBorderDxfId="1247">
  <autoFilter ref="B9:S117" xr:uid="{C32E55CF-11FF-4875-9A2F-5993AF951892}"/>
  <tableColumns count="18">
    <tableColumn id="13" xr3:uid="{D7B335CB-FF2F-458D-8382-1F0F9C623D43}" name="OBRA" dataDxfId="1245">
      <calculatedColumnFormula>+$E$3</calculatedColumnFormula>
    </tableColumn>
    <tableColumn id="1" xr3:uid="{3A675579-226B-42C3-95D9-73E876485DA3}" name="Fecha de FC" dataDxfId="1244"/>
    <tableColumn id="2" xr3:uid="{5ED5A988-99A1-4D60-AC55-99CF1C613492}" name="Condición" dataDxfId="1243"/>
    <tableColumn id="3" xr3:uid="{04CAD7FE-6F02-4196-96EE-356DB5B712D3}" name="Razón social" dataDxfId="1242"/>
    <tableColumn id="4" xr3:uid="{A8BFFA82-EA6C-4B80-89EF-BEB0BCDE3A22}" name="Descripción" dataDxfId="1241"/>
    <tableColumn id="5" xr3:uid="{A69B7185-5C34-4967-812D-0E9C22EFC25B}" name="Proveedor" dataDxfId="1240"/>
    <tableColumn id="6" xr3:uid="{3C25F0AE-BE98-4355-BC4E-2D3AD21B273B}" name="Rubro" dataDxfId="1239"/>
    <tableColumn id="7" xr3:uid="{55D934FA-1CB5-42BE-93C2-23F4F96F7698}" name="Importe final Pesos (Iva incluido)" dataDxfId="1238"/>
    <tableColumn id="19" xr3:uid="{0F429E28-7C33-4585-818A-0055F89C23B4}" name="Importe final USD (Iva incluido)" dataDxfId="1237"/>
    <tableColumn id="8" xr3:uid="{81580E41-2AD7-43E7-A12D-62D7C50E1902}" name="Observaciones" dataDxfId="1236"/>
    <tableColumn id="9" xr3:uid="{8D60521E-91C9-4EE3-B28E-AFB9DBB0ECB6}" name="Estado Factura Cliente" dataDxfId="1235"/>
    <tableColumn id="17" xr3:uid="{CEDDAAF1-931E-4357-83C6-B3E7D162E6B8}" name="Estado Factura Bauvek" dataDxfId="1234"/>
    <tableColumn id="11" xr3:uid="{A48B015A-A541-43E3-AC45-28B87747E117}" name="Estado material" dataDxfId="1233"/>
    <tableColumn id="12" xr3:uid="{92CF60BE-F4AE-42D3-B5C5-3EEE1F312F1C}" name="Resarcimiento Bauvek" dataDxfId="1232"/>
    <tableColumn id="10" xr3:uid="{9609F4D5-F8FD-4024-A68E-D3CDDE54C200}" name="Nº Remito" dataDxfId="1231"/>
    <tableColumn id="14" xr3:uid="{732E52C6-CDAF-4A35-97E5-E2906D3D678D}" name="Encargado" dataDxfId="1230"/>
    <tableColumn id="15" xr3:uid="{13F82B63-1049-4FA7-9F05-1CE5844221C6}" name="Columna1"/>
    <tableColumn id="16" xr3:uid="{10F2B7BE-0200-4A2B-AD64-33E362CC446D}" name="Columna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408D07-5670-405A-9ED1-F34897DCFC22}" name="Tabla_JS" displayName="Tabla_JS" ref="B9:R243" totalsRowShown="0" headerRowDxfId="1077" headerRowBorderDxfId="1075" tableBorderDxfId="1076">
  <autoFilter ref="B9:R243" xr:uid="{C32E55CF-11FF-4875-9A2F-5993AF951892}"/>
  <tableColumns count="17">
    <tableColumn id="13" xr3:uid="{800EBEFD-6F10-4266-862B-55391D5D9E5C}" name="OBRA" dataDxfId="1074">
      <calculatedColumnFormula>+$E$3</calculatedColumnFormula>
    </tableColumn>
    <tableColumn id="1" xr3:uid="{D55CCFDC-F86B-46A7-A855-ABF413F61D11}" name="Fecha de FC" dataDxfId="1073"/>
    <tableColumn id="2" xr3:uid="{C8167B6E-4C20-49D7-9E74-DDB90167ACE8}" name="Condición" dataDxfId="1072"/>
    <tableColumn id="3" xr3:uid="{2929336F-1D6E-48F0-9FCE-30C477480D2C}" name="Razón social" dataDxfId="1071"/>
    <tableColumn id="4" xr3:uid="{C3B0D4B7-0165-48DF-A953-9E55DDE20A00}" name="Descripción" dataDxfId="1070"/>
    <tableColumn id="5" xr3:uid="{189EBCE9-69F6-4DBD-A857-5A3A4A8B425D}" name="Proveedor" dataDxfId="1069"/>
    <tableColumn id="6" xr3:uid="{CA3263C7-AC4D-4473-B074-F2596E63FEAB}" name="Rubro" dataDxfId="1068"/>
    <tableColumn id="7" xr3:uid="{8F444134-132F-4A58-AF79-C44BBD6E51BA}" name="Importe final Pesos (Iva incluido)" dataDxfId="1067"/>
    <tableColumn id="16" xr3:uid="{AECC46AD-4706-47D0-B048-C2865D20BEBB}" name="Importe final USD (Iva incluido)" dataDxfId="1066"/>
    <tableColumn id="8" xr3:uid="{33DFE06A-E1F7-4D2F-B129-BF64A4A3D7DE}" name="Observaciones" dataDxfId="1065"/>
    <tableColumn id="9" xr3:uid="{65C0444D-A477-453E-B966-54627162360A}" name="Estado Factura Cliente" dataDxfId="1064"/>
    <tableColumn id="15" xr3:uid="{EAD35AF6-4F09-4A7B-9156-A1B4E7DE4DEB}" name="Estado Factura Bauvek" dataDxfId="1063"/>
    <tableColumn id="11" xr3:uid="{73E58A16-BB5D-4E80-B13E-61726F469AB5}" name="Estado material" dataDxfId="1062"/>
    <tableColumn id="12" xr3:uid="{9E1E0E08-B8DE-4DD8-9FB5-CA27BA95D39B}" name="Resarcimiento Bauvek" dataDxfId="1061"/>
    <tableColumn id="10" xr3:uid="{AF18B0DF-0153-4299-86A5-69056D36FE16}" name="Nº Remito" dataDxfId="1060"/>
    <tableColumn id="14" xr3:uid="{D3E85338-8FD6-455C-B272-25E9723F76B6}" name="Encargado" dataDxfId="1059"/>
    <tableColumn id="17" xr3:uid="{2E34B3E7-D644-48FB-99D9-242097399613}" name="Columna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3867FE-7342-4D03-88ED-E29F1E907CBE}" name="Tabla_OG" displayName="Tabla_OG" ref="B9:Q51" totalsRowShown="0" headerRowDxfId="1016" headerRowBorderDxfId="1014" tableBorderDxfId="1015">
  <autoFilter ref="B9:Q51" xr:uid="{C32E55CF-11FF-4875-9A2F-5993AF951892}"/>
  <tableColumns count="16">
    <tableColumn id="13" xr3:uid="{84E1915C-637E-4D16-8152-C176FD8C341D}" name="OBRA" dataDxfId="1013">
      <calculatedColumnFormula>+$E$3</calculatedColumnFormula>
    </tableColumn>
    <tableColumn id="1" xr3:uid="{5F2A5112-6A54-4E8C-924C-063E526963E8}" name="Fecha de FC" dataDxfId="1012"/>
    <tableColumn id="2" xr3:uid="{1497A0B1-1A02-4EFE-BC23-74E1BD31B46F}" name="Condición" dataDxfId="1011"/>
    <tableColumn id="3" xr3:uid="{30539B03-809D-453F-B72D-BDC09D8C82B2}" name="Razón social" dataDxfId="1010"/>
    <tableColumn id="4" xr3:uid="{66B933FD-AE5E-4D07-86EB-C382FD6F3ABE}" name="Descripción" dataDxfId="1009"/>
    <tableColumn id="5" xr3:uid="{841F7F1C-0632-4B07-9AD6-6EC55A4C90A7}" name="Proveedor" dataDxfId="1008"/>
    <tableColumn id="6" xr3:uid="{FD7F8808-E04E-4686-AC10-8E637A0ADBCF}" name="Rubro" dataDxfId="1007"/>
    <tableColumn id="7" xr3:uid="{4F9BACBE-F89F-468A-8E02-5CF4803F5FDF}" name="Importe final Pesos (Iva incluido)" dataDxfId="1006"/>
    <tableColumn id="16" xr3:uid="{0F52015B-CF07-4C51-9BBC-3F4A4D2DCFA7}" name="Importe final USD (Iva incluido)" dataDxfId="1005"/>
    <tableColumn id="8" xr3:uid="{570E662A-ECEE-42D9-B46E-4104A56B74E7}" name="Observaciones" dataDxfId="1004"/>
    <tableColumn id="9" xr3:uid="{51B1131C-E089-4FA7-890F-FA57C6818D78}" name="Estado Factura Cliente" dataDxfId="1003"/>
    <tableColumn id="15" xr3:uid="{6F980843-A24A-4AB3-97B0-3D5A36A04931}" name="Estado Factura Bauvek" dataDxfId="1002"/>
    <tableColumn id="11" xr3:uid="{3D38C047-C840-4013-95C4-48AD880F86AC}" name="Estado material" dataDxfId="1001"/>
    <tableColumn id="12" xr3:uid="{097BB87F-2C93-443F-B77D-58491517CD42}" name="Resarcimiento Bauvek" dataDxfId="1000"/>
    <tableColumn id="10" xr3:uid="{74B92ED6-1FA9-4C07-B728-26F5753187F4}" name="Nº Remito" dataDxfId="999"/>
    <tableColumn id="14" xr3:uid="{BD0996F7-7314-4F37-9165-8B8F80CC6AD4}" name="Encargado" dataDxfId="99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94415F-E8A6-40D1-A7A3-2639E60384C3}" name="Tabla_EC" displayName="Tabla_EC" ref="B9:Q49" totalsRowShown="0" headerRowDxfId="980" headerRowBorderDxfId="978" tableBorderDxfId="979">
  <autoFilter ref="B9:Q49" xr:uid="{C32E55CF-11FF-4875-9A2F-5993AF951892}"/>
  <tableColumns count="16">
    <tableColumn id="13" xr3:uid="{3882A895-B63A-45F6-9132-D1A3120D9BA9}" name="OBRA" dataDxfId="977">
      <calculatedColumnFormula>+$E$3</calculatedColumnFormula>
    </tableColumn>
    <tableColumn id="1" xr3:uid="{62560D2D-3C92-469D-80D9-DE858FB233BC}" name="Fecha de FC" dataDxfId="976"/>
    <tableColumn id="2" xr3:uid="{D2B9ED9F-AF96-4EE5-9BE7-EF970C7D0DED}" name="Condición" dataDxfId="975"/>
    <tableColumn id="3" xr3:uid="{6B65DF80-4766-4116-BE97-9FE22C3C50C9}" name="Razón social" dataDxfId="974"/>
    <tableColumn id="4" xr3:uid="{5548A7FC-5291-4FC2-8BD4-F1DC8BA5848F}" name="Descripción" dataDxfId="973"/>
    <tableColumn id="5" xr3:uid="{22847DBF-C0DF-4B16-9707-B1F70A31F86D}" name="Proveedor" dataDxfId="972"/>
    <tableColumn id="6" xr3:uid="{4048EB80-1CDD-485C-BB32-22B4DC69E87E}" name="Rubro" dataDxfId="971"/>
    <tableColumn id="7" xr3:uid="{301597DA-0C73-4E9D-9A15-842449E46945}" name="Importe final Pesos (Iva incluido)" dataDxfId="970"/>
    <tableColumn id="16" xr3:uid="{59333B60-4D50-4903-B04B-557CE8F5E2E3}" name="Importe final USD (Iva incluido)" dataDxfId="969"/>
    <tableColumn id="8" xr3:uid="{1BBADFEF-A5C2-4756-BB7E-41D76B233975}" name="Observaciones" dataDxfId="968"/>
    <tableColumn id="9" xr3:uid="{98823D45-EA8F-4249-9B51-3144FEC19B0C}" name="Estado Factura Cliente" dataDxfId="967"/>
    <tableColumn id="15" xr3:uid="{DACF48AE-1F32-42D8-B22F-D9D92A75DE9B}" name="Estado Factura Bauvek" dataDxfId="966"/>
    <tableColumn id="11" xr3:uid="{AD2632DF-5851-4BA5-B77A-70DAEB8A61EB}" name="Estado material" dataDxfId="965"/>
    <tableColumn id="12" xr3:uid="{BB161A16-59E0-44CA-9582-7F14595B1789}" name="Resarcimiento Bauvek" dataDxfId="964"/>
    <tableColumn id="10" xr3:uid="{774885B0-6A48-439A-85C3-82ED7ABD8328}" name="Nº Remito" dataDxfId="963"/>
    <tableColumn id="14" xr3:uid="{38E6D97B-9FF8-462D-BD22-0923EF85C37B}" name="Encargado" dataDxfId="96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1BFC98-C73A-4D31-81E5-2E8A5F3F619B}" name="Tabla_RR" displayName="Tabla_RR" ref="B9:S184" totalsRowShown="0" headerRowDxfId="819" headerRowBorderDxfId="817" tableBorderDxfId="818">
  <autoFilter ref="B9:S184" xr:uid="{C32E55CF-11FF-4875-9A2F-5993AF951892}"/>
  <tableColumns count="18">
    <tableColumn id="13" xr3:uid="{F0E9AF0C-213D-4894-8B82-7A1625739B3C}" name="OBRA" dataDxfId="816">
      <calculatedColumnFormula>+$E$3</calculatedColumnFormula>
    </tableColumn>
    <tableColumn id="1" xr3:uid="{79F44291-58B7-4715-A277-3A75E5CA5C7B}" name="Fecha de FC" dataDxfId="815"/>
    <tableColumn id="2" xr3:uid="{50E13EDF-7851-4230-8309-3F651E446C6B}" name="Condición" dataDxfId="814"/>
    <tableColumn id="3" xr3:uid="{D6CA1FD2-C80A-4C08-9B91-594AFC5A56E9}" name="Razón social" dataDxfId="813"/>
    <tableColumn id="4" xr3:uid="{1A78EF5F-F28A-4574-BF5B-22828C806E6C}" name="Descripción" dataDxfId="812"/>
    <tableColumn id="5" xr3:uid="{C92D2A67-9020-47EF-8B1A-3EE9DC21F314}" name="Proveedor" dataDxfId="811"/>
    <tableColumn id="6" xr3:uid="{37B7BFD8-8656-48DB-A229-9EF9A66ABF23}" name="Rubro" dataDxfId="810"/>
    <tableColumn id="7" xr3:uid="{B76D4CAD-AA96-415C-8C27-4B4C9BD36964}" name="Importe final Pesos (Iva incluido)" dataDxfId="809"/>
    <tableColumn id="17" xr3:uid="{D1B3F479-90AA-4611-959D-4C41074AA966}" name="Importe final USD (Iva incluido)" dataDxfId="808"/>
    <tableColumn id="8" xr3:uid="{5CB78EBA-F6E1-463D-AFB4-D0A1BA0BF07D}" name="Observaciones" dataDxfId="807"/>
    <tableColumn id="9" xr3:uid="{FFEE32EA-60D3-4ACA-8943-0CF6054DDE30}" name="Estado Factura Cliente" dataDxfId="806"/>
    <tableColumn id="16" xr3:uid="{7A0CF68B-EAB3-4A9A-8360-E42F92510BBE}" name="Estado Factura Bauvek" dataDxfId="805"/>
    <tableColumn id="11" xr3:uid="{47881BC1-8740-409E-A191-E11A45336036}" name="Estado material" dataDxfId="804"/>
    <tableColumn id="12" xr3:uid="{300C885E-370C-4E8D-A8BB-F17EF0A81A88}" name="Resarcimiento Bauvek" dataDxfId="803"/>
    <tableColumn id="10" xr3:uid="{C0696C04-185A-41EC-8DB5-D2F17E532F9F}" name="Nº Remito" dataDxfId="802"/>
    <tableColumn id="14" xr3:uid="{EF83EAAC-F7FC-4813-8E79-AEAD948A7203}" name="Encargado" dataDxfId="801"/>
    <tableColumn id="15" xr3:uid="{823DC7F3-72B7-4C63-BCCA-6C945ED193A8}" name="Columna1"/>
    <tableColumn id="18" xr3:uid="{6FF5BBB3-5457-4991-964A-D682E2584B67}" name="Columna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3F7214-6B4A-4E33-AD54-A1B861025161}" name="Tabla_EM" displayName="Tabla_EM" ref="B9:R70" totalsRowShown="0" headerRowDxfId="738" headerRowBorderDxfId="736" tableBorderDxfId="737">
  <autoFilter ref="B9:R70" xr:uid="{C63F7214-6B4A-4E33-AD54-A1B861025161}"/>
  <tableColumns count="17">
    <tableColumn id="13" xr3:uid="{98978B27-35E9-4232-AA98-A2620C36C1F5}" name="OBRA" dataDxfId="735">
      <calculatedColumnFormula>+$E$3</calculatedColumnFormula>
    </tableColumn>
    <tableColumn id="1" xr3:uid="{2B965080-FDDE-4B05-A79F-BB3E3C1A5367}" name="Fecha de FC" dataDxfId="734"/>
    <tableColumn id="2" xr3:uid="{234C196E-57C8-41A3-8B03-950C2DC87274}" name="Condición" dataDxfId="733"/>
    <tableColumn id="3" xr3:uid="{41FDAD6F-867A-4BC6-B485-661CA5B4A8F4}" name="Razón social" dataDxfId="732"/>
    <tableColumn id="4" xr3:uid="{CBF49376-2745-48A6-B9DE-85588C2C2872}" name="Descripción" dataDxfId="731"/>
    <tableColumn id="5" xr3:uid="{77978DD1-BA92-4119-9A45-2D58326F51A0}" name="Proveedor" dataDxfId="730"/>
    <tableColumn id="6" xr3:uid="{F6B77CBB-DCD4-4DB0-A76D-9536AC6FD6B5}" name="Rubro" dataDxfId="729"/>
    <tableColumn id="7" xr3:uid="{B8E7FB71-557E-4260-AB77-1B945B3B21DA}" name="Importe final Pesos (Iva incluido)" dataDxfId="728"/>
    <tableColumn id="16" xr3:uid="{EF3AC37D-1674-40E0-9807-0E78B43C04C0}" name="Importe final USD (Iva incluido)" dataDxfId="727"/>
    <tableColumn id="8" xr3:uid="{0DC0B542-3856-4E09-BD90-A200EEA7F38A}" name="Observaciones" dataDxfId="726"/>
    <tableColumn id="9" xr3:uid="{D2DD0EEB-07FD-4940-B4F4-1C6ED5473A71}" name="Estado Factura Cliente" dataDxfId="725"/>
    <tableColumn id="15" xr3:uid="{4E916E8C-6CC5-4713-B1E6-B173AF60D198}" name="Estado Factura Bauvek" dataDxfId="724"/>
    <tableColumn id="11" xr3:uid="{F91D49D0-4096-4B28-B5A9-05E3BEE6B8E3}" name="Estado material" dataDxfId="723"/>
    <tableColumn id="12" xr3:uid="{03FC0033-2214-4836-9999-DB978C77CE05}" name="Resarcimiento Bauvek" dataDxfId="722"/>
    <tableColumn id="10" xr3:uid="{A406C0D9-EA94-4D92-AF58-B10663CBAEB2}" name="Nº Remito" dataDxfId="721"/>
    <tableColumn id="14" xr3:uid="{20C7721D-4267-4ACA-9374-45E90FDAAB39}" name="Encargado" dataDxfId="720"/>
    <tableColumn id="17" xr3:uid="{F2C5B787-3466-47CF-B588-288FE5D2B5EA}" name="Columna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E55CF-11FF-4875-9A2F-5993AF951892}" name="Tabla_LS" displayName="Tabla_LS" ref="B9:Q74" totalsRowShown="0" headerRowDxfId="635" headerRowBorderDxfId="633" tableBorderDxfId="634">
  <autoFilter ref="B9:Q74" xr:uid="{C32E55CF-11FF-4875-9A2F-5993AF951892}"/>
  <tableColumns count="16">
    <tableColumn id="13" xr3:uid="{C8612D8E-C1B4-4F99-8C9E-60E26620F35A}" name="OBRA" dataDxfId="632">
      <calculatedColumnFormula>+$E$3</calculatedColumnFormula>
    </tableColumn>
    <tableColumn id="1" xr3:uid="{055BD46A-C457-4F2B-8AC8-8A158F23F929}" name="Fecha de FC" dataDxfId="631"/>
    <tableColumn id="2" xr3:uid="{48B5E851-80A4-4C15-83CC-E5134298C8F3}" name="Condición" dataDxfId="630"/>
    <tableColumn id="3" xr3:uid="{80108F09-7F25-4535-9373-2A53B1AA4B4A}" name="Razón social" dataDxfId="629"/>
    <tableColumn id="4" xr3:uid="{02BC6695-700E-4F71-AE14-F41D6CD8DA9C}" name="Descripción" dataDxfId="628"/>
    <tableColumn id="5" xr3:uid="{3B6579CC-C9F0-4F73-87B8-E8D98393CE7C}" name="Proveedor" dataDxfId="627"/>
    <tableColumn id="6" xr3:uid="{FF7DC7B3-BD92-4F9A-AD06-869C96087D5B}" name="Rubro" dataDxfId="626"/>
    <tableColumn id="7" xr3:uid="{54B241DE-22E6-444F-84AC-BB17867905F4}" name="Importe final Pesos (Iva incluido)" dataDxfId="625"/>
    <tableColumn id="16" xr3:uid="{3EDF6849-EC8B-4BEC-A299-8AE15B4FEB86}" name="Importe final USD (Iva incluido)" dataDxfId="624"/>
    <tableColumn id="8" xr3:uid="{A02C77CC-4800-4272-B7E2-9C566B72290D}" name="Observaciones" dataDxfId="623"/>
    <tableColumn id="9" xr3:uid="{EDE5ACF0-536F-4DE8-99E0-06FF530EE943}" name="Estado Factura Cliente" dataDxfId="622"/>
    <tableColumn id="15" xr3:uid="{DA7F5AD4-EAE7-4F82-B763-A471301A5DF0}" name="Estado Factura Bauvek" dataDxfId="621"/>
    <tableColumn id="11" xr3:uid="{34CAC20E-8BCE-4C6B-9E57-A62F531A14DC}" name="Estado material" dataDxfId="620"/>
    <tableColumn id="12" xr3:uid="{E9E9736F-C52D-4689-8045-6AC1BB0DC274}" name="Resarcimiento Bauvek" dataDxfId="619"/>
    <tableColumn id="10" xr3:uid="{2A38EBE6-48D8-4B80-9453-FEB877EBD0B7}" name="Nº Remito" dataDxfId="618"/>
    <tableColumn id="14" xr3:uid="{42ED0521-5399-4711-A7AF-390A8F105E8C}" name="Encargado" dataDxfId="61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1AC9F4-C977-41DE-92EF-16F3A3F3BF58}" name="Tabla_RL" displayName="Tabla_RL" ref="B9:Q49" totalsRowShown="0" headerRowDxfId="591" headerRowBorderDxfId="589" tableBorderDxfId="590">
  <autoFilter ref="B9:Q49" xr:uid="{C32E55CF-11FF-4875-9A2F-5993AF951892}"/>
  <tableColumns count="16">
    <tableColumn id="13" xr3:uid="{525DDA96-A442-4398-AF8E-4020758A126D}" name="OBRA" dataDxfId="588">
      <calculatedColumnFormula>+$E$3</calculatedColumnFormula>
    </tableColumn>
    <tableColumn id="1" xr3:uid="{640F7310-18E8-4166-A328-A5884D2DACC7}" name="Fecha de FC" dataDxfId="587"/>
    <tableColumn id="2" xr3:uid="{B179E3F0-19DE-41FA-8F4C-77E337904AC6}" name="Condición" dataDxfId="586"/>
    <tableColumn id="3" xr3:uid="{E3155EE0-8865-4F50-8865-28BE3977FFC6}" name="Razón social" dataDxfId="585"/>
    <tableColumn id="4" xr3:uid="{303776B9-E2FC-4A7C-872F-72CBCA2BC0DB}" name="Descripción" dataDxfId="584"/>
    <tableColumn id="5" xr3:uid="{B1ADE43B-0FC7-4845-B285-B03ED60F625D}" name="Proveedor" dataDxfId="583"/>
    <tableColumn id="6" xr3:uid="{C4788588-6FEA-47E6-B82B-B43EDEBDB65B}" name="Rubro" dataDxfId="582"/>
    <tableColumn id="7" xr3:uid="{2951BECB-1B46-4B9D-A4DF-56EB947C431C}" name="Importe final Pesos (Iva incluido)" dataDxfId="581"/>
    <tableColumn id="16" xr3:uid="{ED805DE5-B40F-4F2C-8631-2F76B4D314FD}" name="Importe final USD (Iva incluido)" dataDxfId="580"/>
    <tableColumn id="8" xr3:uid="{818E7419-AD80-4043-8622-2798DDEBB5A6}" name="Observaciones" dataDxfId="579"/>
    <tableColumn id="9" xr3:uid="{E19166C5-F615-420D-859D-EE87A2C8060F}" name="Estado Factura Cliente" dataDxfId="578"/>
    <tableColumn id="15" xr3:uid="{37AEF461-1558-47D9-ABD8-1EC873575145}" name="Estado Factura Bauvek" dataDxfId="577"/>
    <tableColumn id="11" xr3:uid="{BADCB4CA-EBD4-433D-8E0B-0D7645193587}" name="Estado material" dataDxfId="576"/>
    <tableColumn id="12" xr3:uid="{C3E7FD67-0BFC-439C-A370-D9E79D03791E}" name="Resarcimiento Bauvek" dataDxfId="575"/>
    <tableColumn id="10" xr3:uid="{B4D66B71-5D5A-45BC-91B8-2163DE188254}" name="Nº Remito" dataDxfId="574"/>
    <tableColumn id="14" xr3:uid="{F88D7912-2A79-4CEF-8E84-2ABCFA49DA9D}" name="Encargado" dataDxfId="57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6AFCB0A-D624-4085-A819-76B926188EFD}" name="Tabla_NE" displayName="Tabla_NE" ref="B9:R57" totalsRowShown="0" headerRowDxfId="513" headerRowBorderDxfId="511" tableBorderDxfId="512">
  <autoFilter ref="B9:R57" xr:uid="{06AFCB0A-D624-4085-A819-76B926188EFD}"/>
  <tableColumns count="17">
    <tableColumn id="13" xr3:uid="{08CD44A5-FDCC-45F6-986A-B6E113BEE5F3}" name="OBRA" dataDxfId="510">
      <calculatedColumnFormula>+$E$3</calculatedColumnFormula>
    </tableColumn>
    <tableColumn id="1" xr3:uid="{5953E509-933B-406F-AF78-627277BA21DF}" name="Fecha de FC" dataDxfId="509"/>
    <tableColumn id="2" xr3:uid="{85E0E204-1248-49CA-B931-81CD661B849A}" name="Condición" dataDxfId="508"/>
    <tableColumn id="3" xr3:uid="{F652E2CC-32A5-4A90-86FA-9DC5ACE013A9}" name="Razón social" dataDxfId="507"/>
    <tableColumn id="4" xr3:uid="{1BB90641-BD89-4C0C-AFFF-3ECB5ECC689B}" name="Descripción" dataDxfId="506"/>
    <tableColumn id="5" xr3:uid="{FDA6F61C-0FC5-41B5-9F24-634085B329A0}" name="Proveedor" dataDxfId="505"/>
    <tableColumn id="6" xr3:uid="{ACD8D1DC-008C-4748-B73F-B9A8D82A38DD}" name="Rubro" dataDxfId="504"/>
    <tableColumn id="7" xr3:uid="{4FAC4DCA-43F6-42E9-A9FD-87599935D8D1}" name="Importe final Pesos (Iva incluido)" dataDxfId="503"/>
    <tableColumn id="17" xr3:uid="{4A82A335-3DE0-4967-90A6-33102F341E9B}" name="Importe final USD (Iva incluido)" dataDxfId="502"/>
    <tableColumn id="8" xr3:uid="{37FAD713-88AC-4379-B1AF-6E8EA14D9377}" name="Observaciones" dataDxfId="501"/>
    <tableColumn id="9" xr3:uid="{D298FD28-8D0C-4655-B875-A1875089D393}" name="Estado Factura Cliente" dataDxfId="500"/>
    <tableColumn id="16" xr3:uid="{1E4C02FF-E5B1-4E70-AA81-EEC68E4EF2A1}" name="Estado Factura Bauvek" dataDxfId="499"/>
    <tableColumn id="11" xr3:uid="{15A3692E-4D70-431C-BF8F-064DBA14E36F}" name="Estado material" dataDxfId="498"/>
    <tableColumn id="12" xr3:uid="{985608E8-D654-4F7C-A16E-A8454A63A028}" name="Resarcimiento Bauvek" dataDxfId="497"/>
    <tableColumn id="10" xr3:uid="{518A43FC-0592-4031-88D8-8F6D2ED09AFE}" name="Nº Remito" dataDxfId="496"/>
    <tableColumn id="14" xr3:uid="{3F4AEB6F-3D51-416F-8B57-E9BC40206412}" name="Encargado" dataDxfId="495"/>
    <tableColumn id="15" xr3:uid="{FC5BADAB-50F2-493C-A8E2-427FA1A3593C}" name="Columna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720ED0-2B21-4F15-9859-BC502D74EE86}" name="Tabla_AV" displayName="Tabla_AV" ref="B9:Q55" totalsRowShown="0" headerRowDxfId="445" headerRowBorderDxfId="443" tableBorderDxfId="444">
  <autoFilter ref="B9:Q55" xr:uid="{C32E55CF-11FF-4875-9A2F-5993AF951892}"/>
  <tableColumns count="16">
    <tableColumn id="13" xr3:uid="{B2D4559C-2A9D-46E2-856A-B98CE2C83C2F}" name="OBRA" dataDxfId="442">
      <calculatedColumnFormula>+$E$3</calculatedColumnFormula>
    </tableColumn>
    <tableColumn id="1" xr3:uid="{6CC0B5C1-2E22-4B71-B0A1-254B127A48E3}" name="Fecha de FC" dataDxfId="441"/>
    <tableColumn id="2" xr3:uid="{FBC3E06D-22B6-4DDF-B85D-DD30C7704183}" name="Condición" dataDxfId="440"/>
    <tableColumn id="3" xr3:uid="{8C60E4D3-341E-40EE-963D-43BA478DC475}" name="Razón social" dataDxfId="439"/>
    <tableColumn id="4" xr3:uid="{F9F70BAE-1A26-455F-A00A-82DC727CFC7C}" name="Descripción" dataDxfId="438"/>
    <tableColumn id="5" xr3:uid="{844D2239-CC84-4AC7-87D4-9E53F3A24281}" name="Proveedor" dataDxfId="437"/>
    <tableColumn id="6" xr3:uid="{32CD57FD-7A7F-4CB9-8549-05F0CAF5A924}" name="Rubro" dataDxfId="436"/>
    <tableColumn id="7" xr3:uid="{A90C2599-58DD-4731-BCBD-95027879193D}" name="Importe final Pesos (Iva incluido)" dataDxfId="435"/>
    <tableColumn id="16" xr3:uid="{6DC84124-9F77-4916-BC0A-E160115CB0A0}" name="Importe final USD (Iva incluido)" dataDxfId="434"/>
    <tableColumn id="8" xr3:uid="{DF33B5FE-A278-46F8-94EE-4F59EE385CD1}" name="Observaciones" dataDxfId="433"/>
    <tableColumn id="9" xr3:uid="{965E1EA7-6FE2-4609-A96B-F4D7AC70D8C0}" name="Estado Factura Cliente" dataDxfId="432"/>
    <tableColumn id="15" xr3:uid="{7E6E078A-6A0B-4428-884E-0172F066EBF3}" name="Estado Factura Bauvek" dataDxfId="431"/>
    <tableColumn id="11" xr3:uid="{8F960FA1-01C7-45F6-B911-7CC8E51EC6AB}" name="Estado material" dataDxfId="430"/>
    <tableColumn id="12" xr3:uid="{42A00FF0-F422-4CF8-8534-6B72192F673F}" name="Resarcimiento Bauvek" dataDxfId="429"/>
    <tableColumn id="10" xr3:uid="{EF122C7F-670A-474F-B68D-350DC85088C0}" name="Nº Remito" dataDxfId="428"/>
    <tableColumn id="14" xr3:uid="{EA04CEB9-418D-4B70-A106-D73E898335A4}" name="Encargado" dataDxfId="427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32A192-297D-4875-BDBC-7ACD7376755E}" name="Tabla_LH" displayName="Tabla_LH" ref="B9:Q50" totalsRowShown="0" headerRowDxfId="397" headerRowBorderDxfId="395" tableBorderDxfId="396">
  <autoFilter ref="B9:Q50" xr:uid="{C32E55CF-11FF-4875-9A2F-5993AF951892}"/>
  <tableColumns count="16">
    <tableColumn id="13" xr3:uid="{A275A0A1-7568-46EB-93F8-C950A3BC74AF}" name="OBRA" dataDxfId="394">
      <calculatedColumnFormula>+$E$3</calculatedColumnFormula>
    </tableColumn>
    <tableColumn id="1" xr3:uid="{22DF48EA-41C7-4663-8079-3DDB80ABBDD7}" name="Fecha de FC" dataDxfId="393"/>
    <tableColumn id="2" xr3:uid="{1D4CB5C1-FE72-45F9-B1F3-BA1154E78DCA}" name="Condición" dataDxfId="392"/>
    <tableColumn id="3" xr3:uid="{EE348EF7-AFD6-4C24-BB29-8221385382E8}" name="Razón social" dataDxfId="391"/>
    <tableColumn id="4" xr3:uid="{64A2C8B8-1807-460C-B67F-8462DF3250AC}" name="Descripción" dataDxfId="390"/>
    <tableColumn id="5" xr3:uid="{BD431A24-1D6D-4C65-BCE1-A59E7409B1EE}" name="Proveedor" dataDxfId="389"/>
    <tableColumn id="6" xr3:uid="{7EFC8BCD-49B7-4C64-B054-F81F65868539}" name="Rubro" dataDxfId="388"/>
    <tableColumn id="7" xr3:uid="{66CB6AAE-BBAF-465A-9DBF-91174B05CDBC}" name="Importe final Pesos (Iva incluido)" dataDxfId="387"/>
    <tableColumn id="16" xr3:uid="{D44FE6EC-BF2E-4540-987B-BD1F6848AA0A}" name="Importe final USD (Iva incluido)" dataDxfId="386"/>
    <tableColumn id="8" xr3:uid="{AE3F847D-2C58-4193-A30A-461569C2220C}" name="Observaciones" dataDxfId="385"/>
    <tableColumn id="9" xr3:uid="{39582DAF-6D4F-427F-A664-461CCA42A209}" name="Estado Factura Cliente" dataDxfId="384"/>
    <tableColumn id="15" xr3:uid="{6F74A665-F7BE-4DC4-8FBE-4D9693D8B4F8}" name="Estado Factura Bauvek" dataDxfId="383"/>
    <tableColumn id="11" xr3:uid="{06855A22-F74F-4AE3-BCE6-8431C9FA2142}" name="Estado material" dataDxfId="382"/>
    <tableColumn id="12" xr3:uid="{A3FDB494-1FFC-4FDD-B123-58D5CC905C89}" name="Resarcimiento Bauvek" dataDxfId="381"/>
    <tableColumn id="10" xr3:uid="{49E7CBFD-08CC-44EC-8B50-848F4FA54F0C}" name="Nº Remito" dataDxfId="380"/>
    <tableColumn id="14" xr3:uid="{3595561B-F9F0-495B-BE5E-37DC93E2E087}" name="Encargado" dataDxfId="379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314EA3-DAB8-4A28-8A93-FAAD3A04F4A0}" name="Tabla_CM" displayName="Tabla_CM" ref="B9:Q41" totalsRowShown="0" headerRowDxfId="352" headerRowBorderDxfId="350" tableBorderDxfId="351">
  <autoFilter ref="B9:Q41" xr:uid="{45314EA3-DAB8-4A28-8A93-FAAD3A04F4A0}"/>
  <tableColumns count="16">
    <tableColumn id="13" xr3:uid="{D9D97A59-F28D-48A9-84B1-5084981E00BE}" name="OBRA" dataDxfId="349">
      <calculatedColumnFormula>+$E$3</calculatedColumnFormula>
    </tableColumn>
    <tableColumn id="1" xr3:uid="{452ED9FB-06CC-4665-A044-4952AB98D389}" name="Fecha de FC" dataDxfId="348"/>
    <tableColumn id="2" xr3:uid="{D6AEAE16-6949-43E6-9BBE-0FD1E611AF43}" name="Condición" dataDxfId="347"/>
    <tableColumn id="3" xr3:uid="{A3D60EEF-193D-4FFE-8BC2-7BC423DF7ED8}" name="Razón social" dataDxfId="346"/>
    <tableColumn id="4" xr3:uid="{1225855D-20BA-4A97-A821-4A9FA16DE28B}" name="Descripción" dataDxfId="345"/>
    <tableColumn id="5" xr3:uid="{62DE60A7-19F3-4693-AE84-46BDAE9F6020}" name="Proveedor" dataDxfId="344"/>
    <tableColumn id="6" xr3:uid="{C31D4E48-28FA-47F7-AA0A-7815EDFEF831}" name="Rubro" dataDxfId="343"/>
    <tableColumn id="7" xr3:uid="{834D66FD-4CE0-4C63-A34E-7E13BAD0C227}" name="Importe final Pesos (Iva incluido)" dataDxfId="342"/>
    <tableColumn id="16" xr3:uid="{DE9C92CF-A9F8-4D0B-8CA6-86F6475E830A}" name="Importe final USD (Iva incluido)" dataDxfId="341"/>
    <tableColumn id="8" xr3:uid="{2C0893DD-C8A2-4AF3-81A1-C0BFCFECB36C}" name="Observaciones" dataDxfId="340"/>
    <tableColumn id="9" xr3:uid="{F09F5C93-F415-4203-B464-0B64AEA9E0BE}" name="Estado Factura Cliente" dataDxfId="339"/>
    <tableColumn id="15" xr3:uid="{C0F3F191-0D46-4A48-87F1-89D5FBE4AE22}" name="Estado Factura Bauvek" dataDxfId="338"/>
    <tableColumn id="11" xr3:uid="{8511F7FD-88DB-4E3D-AFC5-D16D5CB7772D}" name="Estado material" dataDxfId="337"/>
    <tableColumn id="12" xr3:uid="{BC15EC58-AEA8-48DC-9622-18E755182D3E}" name="Resarcimiento Bauvek" dataDxfId="336"/>
    <tableColumn id="10" xr3:uid="{247C9B70-5131-4F14-AC64-118DDF9D263C}" name="Nº Remito" dataDxfId="335"/>
    <tableColumn id="14" xr3:uid="{D833C2D3-5335-4EDA-B7D4-984CE34EBCA5}" name="Encargado" dataDxfId="33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11FEC79-1AE7-40DB-A18A-CCFA43D62475}" name="Tabla_7S" displayName="Tabla_7S" ref="B9:Q39" totalsRowShown="0" headerRowDxfId="288" headerRowBorderDxfId="286" tableBorderDxfId="287">
  <autoFilter ref="B9:Q39" xr:uid="{C11FEC79-1AE7-40DB-A18A-CCFA43D62475}"/>
  <tableColumns count="16">
    <tableColumn id="13" xr3:uid="{9F119E97-8EDD-4285-819C-41B3B06D8CED}" name="OBRA" dataDxfId="285">
      <calculatedColumnFormula>+$E$3</calculatedColumnFormula>
    </tableColumn>
    <tableColumn id="1" xr3:uid="{A3AB1B91-F81F-426D-95A2-C0B7259BEF09}" name="Fecha de FC" dataDxfId="284"/>
    <tableColumn id="2" xr3:uid="{5830D540-A0CF-4605-B0D2-C9789CE8A7DE}" name="Condición" dataDxfId="283"/>
    <tableColumn id="3" xr3:uid="{F85360F9-0C9C-4D5F-8B0F-9392DADCCBAF}" name="Razón social" dataDxfId="282"/>
    <tableColumn id="4" xr3:uid="{48B153D1-68C2-4D3B-90D8-9E6FDD3E84FD}" name="Descripción" dataDxfId="281"/>
    <tableColumn id="5" xr3:uid="{6256EBD4-5EFF-405C-8A5F-9CE4BCC9F661}" name="Proveedor" dataDxfId="280"/>
    <tableColumn id="6" xr3:uid="{AD4BF486-6365-45DA-A63D-3B88439B4A76}" name="Rubro" dataDxfId="279"/>
    <tableColumn id="7" xr3:uid="{3835A70C-8793-4110-9B93-DF2C00C21AC1}" name="Importe final Pesos (Iva incluido)" dataDxfId="278"/>
    <tableColumn id="16" xr3:uid="{F2D59F14-3BD4-4B3C-B89E-32393879E306}" name="Importe final USD (Iva incluido)" dataDxfId="277"/>
    <tableColumn id="8" xr3:uid="{450A8734-3073-4DA9-AFEB-358DDFD8CA0B}" name="Observaciones" dataDxfId="276"/>
    <tableColumn id="9" xr3:uid="{2E6870E1-D374-4AC5-ABB6-0FC9EC94E44A}" name="Estado Factura Cliente" dataDxfId="275"/>
    <tableColumn id="15" xr3:uid="{E02B8861-268F-41BC-BA65-65BC4678C799}" name="Estado Factura Bauvek" dataDxfId="274"/>
    <tableColumn id="11" xr3:uid="{45954852-E2B1-47E0-8472-7E89021BDE70}" name="Estado material" dataDxfId="273"/>
    <tableColumn id="12" xr3:uid="{C6BEF77C-E9A4-4EEC-93F4-B439805069EB}" name="Resarcimiento Bauvek" dataDxfId="272"/>
    <tableColumn id="10" xr3:uid="{65DFFD40-FB7D-4D90-BB3D-DE4B644887D6}" name="Nº Remito" dataDxfId="271"/>
    <tableColumn id="14" xr3:uid="{9C677299-8AD4-42A8-A499-452C85BC56AB}" name="Encargado" dataDxfId="270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9872C6D-D96E-4220-B7A4-A2F7DD8A932E}" name="Tabla_AZ" displayName="Tabla_AZ" ref="B9:Q36" totalsRowShown="0" headerRowDxfId="251" headerRowBorderDxfId="249" tableBorderDxfId="250">
  <autoFilter ref="B9:Q36" xr:uid="{F9872C6D-D96E-4220-B7A4-A2F7DD8A932E}"/>
  <tableColumns count="16">
    <tableColumn id="13" xr3:uid="{A103F10F-5A62-470D-B761-C56CAD6F0B5A}" name="OBRA" dataDxfId="248">
      <calculatedColumnFormula>+$E$3</calculatedColumnFormula>
    </tableColumn>
    <tableColumn id="1" xr3:uid="{D17342C8-3D98-4FE4-9236-10AA8C8415F7}" name="Fecha de FC" dataDxfId="247"/>
    <tableColumn id="2" xr3:uid="{6E2542DB-400C-4D00-BF05-09F16F680EF1}" name="Condición" dataDxfId="246"/>
    <tableColumn id="3" xr3:uid="{2E2E4D5F-2C4A-4890-A735-DC783C72950E}" name="Razón social" dataDxfId="245"/>
    <tableColumn id="4" xr3:uid="{03723363-27FC-46F7-9459-95BBEA7F7930}" name="Descripción" dataDxfId="244"/>
    <tableColumn id="5" xr3:uid="{47AC2BF8-3184-4A97-83B6-1E1DA9579264}" name="Proveedor" dataDxfId="243"/>
    <tableColumn id="6" xr3:uid="{D353408E-8AF5-40C0-9A7D-B8A5180F5E20}" name="Rubro" dataDxfId="242"/>
    <tableColumn id="7" xr3:uid="{AA7AA451-CD8A-42B3-B1EF-AB5B9FC5BF8E}" name="Importe final Pesos (Iva incluido)" dataDxfId="241"/>
    <tableColumn id="16" xr3:uid="{F5134ABD-86F1-4464-A166-1238B077185F}" name="Importe final USD (Iva incluido)" dataDxfId="240"/>
    <tableColumn id="8" xr3:uid="{DB12A143-6CCE-4AA4-A417-6322E9940E04}" name="Observaciones" dataDxfId="239"/>
    <tableColumn id="9" xr3:uid="{BCDAF3AD-59C2-499B-A060-643C5D55B482}" name="Estado Factura Cliente" dataDxfId="238"/>
    <tableColumn id="15" xr3:uid="{25DB78DD-48DC-45F2-8426-4C73C660D2D8}" name="Estado Factura Bauvek" dataDxfId="237"/>
    <tableColumn id="11" xr3:uid="{25EC6964-7BC2-41DD-A41D-17C9A2B95ACE}" name="Estado material" dataDxfId="236"/>
    <tableColumn id="12" xr3:uid="{5D1EE102-6714-405E-BCD2-3BFB7290979A}" name="Resarcimiento Bauvek" dataDxfId="235"/>
    <tableColumn id="10" xr3:uid="{E6F21251-3722-423A-9E16-500AC819BA9A}" name="Nº Remito" dataDxfId="234"/>
    <tableColumn id="14" xr3:uid="{ECC5798F-4B31-4BA4-911F-2FF29B2B75DF}" name="Encargado" dataDxfId="233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247B58C-4EF5-4BDC-ADB2-F0D2A031B4CD}" name="Tabla_OM" displayName="Tabla_OM" ref="B9:Q69" totalsRowShown="0" headerRowDxfId="159" headerRowBorderDxfId="157" tableBorderDxfId="158">
  <autoFilter ref="B9:Q69" xr:uid="{1247B58C-4EF5-4BDC-ADB2-F0D2A031B4CD}"/>
  <tableColumns count="16">
    <tableColumn id="13" xr3:uid="{66B7336D-2BEA-4706-9422-32A82744E959}" name="OBRA" dataDxfId="156">
      <calculatedColumnFormula>+$E$3</calculatedColumnFormula>
    </tableColumn>
    <tableColumn id="1" xr3:uid="{DB07D1B0-9C4B-4487-9C75-39032979BD5B}" name="Fecha de FC" dataDxfId="155"/>
    <tableColumn id="2" xr3:uid="{3913D6E7-06B9-44EA-91BE-931CBDD943D2}" name="Condición" dataDxfId="154"/>
    <tableColumn id="3" xr3:uid="{EC4FA179-645A-48F7-AF96-93C2BE12A921}" name="Razón social" dataDxfId="153"/>
    <tableColumn id="4" xr3:uid="{A1369CAA-1DA8-48AE-B7BA-D67DA90EC98D}" name="Descripción" dataDxfId="152"/>
    <tableColumn id="5" xr3:uid="{F3EF6010-6537-43F6-8C4A-117F0F753DE0}" name="Proveedor" dataDxfId="151"/>
    <tableColumn id="6" xr3:uid="{5C56DE56-C0BA-4193-B19E-5D17BDED640B}" name="Rubro" dataDxfId="150"/>
    <tableColumn id="7" xr3:uid="{EB1D92DC-A21E-4ED2-B551-36D7A966D7FB}" name="Importe final Pesos (Iva incluido)" dataDxfId="149"/>
    <tableColumn id="16" xr3:uid="{4BCD401D-0853-4654-B7DB-409C4457ABE5}" name="Importe final USD (Iva incluido)" dataDxfId="148"/>
    <tableColumn id="8" xr3:uid="{C9552A23-A541-4697-9C9C-20869A5F438B}" name="Observaciones" dataDxfId="147"/>
    <tableColumn id="9" xr3:uid="{672F8D7E-FE17-442B-B162-79A03889EA54}" name="Estado Factura Cliente" dataDxfId="146"/>
    <tableColumn id="15" xr3:uid="{A548C9F2-A1B8-4A25-AFF7-C114F942F160}" name="Estado Factura Bauvek" dataDxfId="145"/>
    <tableColumn id="11" xr3:uid="{24D46F22-7DDA-4D4F-A228-F4C7D0A046E1}" name="Estado material" dataDxfId="144"/>
    <tableColumn id="12" xr3:uid="{C40F2C82-F4CA-4A4D-8E5D-970DDAA43257}" name="Resarcimiento Bauvek" dataDxfId="143"/>
    <tableColumn id="10" xr3:uid="{D9E9DA32-2160-47C8-9AFA-40311D102C0D}" name="Nº Remito" dataDxfId="142"/>
    <tableColumn id="14" xr3:uid="{8737A4FA-7ACE-4052-8F99-1B707C8DA314}" name="Encargado" dataDxfId="14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A80614-1A9C-47C3-9FC6-7AE3B44FC318}" name="Tabla_EM21" displayName="Tabla_EM21" ref="B9:R43" totalsRowShown="0" headerRowDxfId="116" headerRowBorderDxfId="114" tableBorderDxfId="115">
  <autoFilter ref="B9:R43" xr:uid="{FCA80614-1A9C-47C3-9FC6-7AE3B44FC318}"/>
  <tableColumns count="17">
    <tableColumn id="13" xr3:uid="{81B2AB1D-7EA8-4C31-8AD6-FEDE24E95195}" name="OBRA" dataDxfId="113">
      <calculatedColumnFormula>+$E$3</calculatedColumnFormula>
    </tableColumn>
    <tableColumn id="1" xr3:uid="{E7C647CF-6297-4434-B8F4-F7FE4E3413F9}" name="Fecha de FC" dataDxfId="112"/>
    <tableColumn id="2" xr3:uid="{7AC413CD-D5F3-4EF0-8823-61850D1F67F3}" name="Condición" dataDxfId="111"/>
    <tableColumn id="3" xr3:uid="{6355663C-26A7-4EBE-BF23-EC43F7E6F7AB}" name="Razón social" dataDxfId="110"/>
    <tableColumn id="4" xr3:uid="{20E1ED5D-F760-421F-9F49-832F6749ECE2}" name="Descripción" dataDxfId="109"/>
    <tableColumn id="5" xr3:uid="{9E75A84D-9377-4A40-A306-B96E7E99A252}" name="Proveedor" dataDxfId="108"/>
    <tableColumn id="6" xr3:uid="{B0D8108A-A792-4C7A-96D5-2DC59DFE2230}" name="Rubro" dataDxfId="107"/>
    <tableColumn id="7" xr3:uid="{7529B9CB-7528-4E23-B3C9-BFF8B2EBBE30}" name="Importe final Pesos (Iva incluido)" dataDxfId="106"/>
    <tableColumn id="16" xr3:uid="{CD326FAE-B7F3-4ADF-9DD3-D2C1DB50F260}" name="Importe final USD (Iva incluido)" dataDxfId="105"/>
    <tableColumn id="8" xr3:uid="{01E07877-017C-41A8-9F73-1F9562605491}" name="Observaciones" dataDxfId="104"/>
    <tableColumn id="9" xr3:uid="{2816C634-1909-4187-8899-CB72EE4FA624}" name="Estado Factura Cliente" dataDxfId="103"/>
    <tableColumn id="15" xr3:uid="{C728D029-BEA0-45C9-B62A-425A4BB1991F}" name="Estado Factura Bauvek" dataDxfId="102"/>
    <tableColumn id="11" xr3:uid="{3893235C-40FF-4C9D-B423-055419AAC51E}" name="Estado material" dataDxfId="101"/>
    <tableColumn id="12" xr3:uid="{89063399-E976-4020-9F9B-45EE144982D1}" name="Resarcimiento Bauvek" dataDxfId="100"/>
    <tableColumn id="10" xr3:uid="{B664CA7E-4DB2-468E-9587-4633D1153BB7}" name="Nº Remito" dataDxfId="99"/>
    <tableColumn id="14" xr3:uid="{BCA5A178-1DBD-4CA0-92AC-7AB260009412}" name="Encargado" dataDxfId="98"/>
    <tableColumn id="17" xr3:uid="{ECF48C94-E3C9-4D26-9A2C-37CF9B75ADAC}" name="Columna1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8D10EB2-90E3-4B97-9B97-CE5F1705A1BA}" name="Tabla_EM2122" displayName="Tabla_EM2122" ref="B9:Q33" totalsRowShown="0" headerRowDxfId="63" headerRowBorderDxfId="61" tableBorderDxfId="62">
  <autoFilter ref="B9:Q33" xr:uid="{28D10EB2-90E3-4B97-9B97-CE5F1705A1BA}"/>
  <tableColumns count="16">
    <tableColumn id="13" xr3:uid="{C7C4AA6F-66B2-4068-AABB-72879ABB5883}" name="OBRA" dataDxfId="60">
      <calculatedColumnFormula>+$E$3</calculatedColumnFormula>
    </tableColumn>
    <tableColumn id="1" xr3:uid="{847ADFA2-ABFA-40E7-8A3D-C9609AAF6AEB}" name="Fecha de FC" dataDxfId="59"/>
    <tableColumn id="2" xr3:uid="{69BA6AF3-A6BD-4E19-8F50-23B0BA1A110E}" name="Condición" dataDxfId="58"/>
    <tableColumn id="3" xr3:uid="{EBE48BC6-5AAA-4127-A8CD-4D72B7C18D7B}" name="Razón social" dataDxfId="57"/>
    <tableColumn id="4" xr3:uid="{8478F7B0-C7D1-4C94-90EE-D5FBCD56B7AE}" name="Descripción" dataDxfId="56"/>
    <tableColumn id="5" xr3:uid="{1DB63CE5-F08E-409B-AF52-5BD76ABD1821}" name="Proveedor" dataDxfId="55"/>
    <tableColumn id="6" xr3:uid="{9E8B4FC3-A799-46DF-BD09-5CC47295AB4E}" name="Rubro" dataDxfId="54"/>
    <tableColumn id="7" xr3:uid="{628493D3-9F1B-40DB-A30E-E5C7CA797B8F}" name="Importe final Pesos (Iva incluido)" dataDxfId="53"/>
    <tableColumn id="16" xr3:uid="{B3734CDD-194B-4173-BE26-D558E7810A68}" name="Importe final USD (Iva incluido)" dataDxfId="52"/>
    <tableColumn id="8" xr3:uid="{E622EF37-0D7E-465F-9155-E8646986EC85}" name="Observaciones" dataDxfId="51"/>
    <tableColumn id="9" xr3:uid="{437DFBE3-56D2-4411-BD8A-336EFF723165}" name="Estado Factura Cliente" dataDxfId="50"/>
    <tableColumn id="15" xr3:uid="{3EEE5644-9A68-4B68-A53A-6F1B7A0B6A94}" name="Estado Factura Bauvek" dataDxfId="49"/>
    <tableColumn id="11" xr3:uid="{4A5079CA-30F8-473B-93AC-33572D53DDD4}" name="Estado material" dataDxfId="48"/>
    <tableColumn id="12" xr3:uid="{6C7C167F-43C8-4841-A7E1-A58A1CFEB841}" name="Resarcimiento Bauvek" dataDxfId="47"/>
    <tableColumn id="10" xr3:uid="{62E5E9BF-31B1-4F10-A31B-90418ECA04F3}" name="Nº Remito" dataDxfId="46"/>
    <tableColumn id="14" xr3:uid="{DE0AE65E-8CB0-4EA7-8F31-3E29553CEF2B}" name="Encargado" dataDxfId="45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BEBA8F0-B878-4249-A0DD-1CA3CA81797A}" name="Tabla_EM212223" displayName="Tabla_EM212223" ref="B9:Q26" totalsRowShown="0" headerRowDxfId="20" headerRowBorderDxfId="18" tableBorderDxfId="19">
  <autoFilter ref="B9:Q26" xr:uid="{9BEBA8F0-B878-4249-A0DD-1CA3CA81797A}"/>
  <tableColumns count="16">
    <tableColumn id="13" xr3:uid="{B6021EDA-E0BF-4BB8-B8B2-66B133AAF4B5}" name="OBRA" dataDxfId="17">
      <calculatedColumnFormula>+$E$3</calculatedColumnFormula>
    </tableColumn>
    <tableColumn id="1" xr3:uid="{8C535FC5-9A3A-44D6-B1AB-6FC80255148E}" name="Fecha de FC" dataDxfId="16"/>
    <tableColumn id="2" xr3:uid="{BCAB9654-ADC3-4D2B-B983-813E76E7B755}" name="Condición" dataDxfId="15"/>
    <tableColumn id="3" xr3:uid="{27BE23EB-8C12-4BC2-AF35-4E797CEB0E2B}" name="Razón social" dataDxfId="14"/>
    <tableColumn id="4" xr3:uid="{AE4B942F-AA42-444B-BC7E-1E0CF4CCB54F}" name="Descripción" dataDxfId="13"/>
    <tableColumn id="5" xr3:uid="{86ACEF0F-A4D8-4EBF-AA1A-1F45079A3017}" name="Proveedor" dataDxfId="12"/>
    <tableColumn id="6" xr3:uid="{D99B6CB4-792F-4A17-BB93-CB2E321523FB}" name="Rubro" dataDxfId="11"/>
    <tableColumn id="7" xr3:uid="{E37AF474-655A-4E1F-97DD-DEC5ABEE709F}" name="Importe final Pesos (Iva incluido)" dataDxfId="10"/>
    <tableColumn id="16" xr3:uid="{FF13866B-3309-416D-9E38-2234DF2E9F21}" name="Importe final USD (Iva incluido)" dataDxfId="9"/>
    <tableColumn id="8" xr3:uid="{2D664E82-F4D4-4978-931F-4BAA2ED7A98F}" name="Observaciones" dataDxfId="8"/>
    <tableColumn id="9" xr3:uid="{34B4DFD2-D809-4651-BD11-1872D2B8CBE2}" name="Estado Factura Cliente" dataDxfId="7"/>
    <tableColumn id="15" xr3:uid="{26D22C30-EA42-4735-B660-E6A6EEE75485}" name="Estado Factura Bauvek" dataDxfId="6"/>
    <tableColumn id="11" xr3:uid="{3D44B6FB-D5B8-4195-9699-B392B659DE65}" name="Estado material" dataDxfId="5"/>
    <tableColumn id="12" xr3:uid="{102590DE-E10A-411C-9434-C5081F4AAB1A}" name="Resarcimiento Bauvek" dataDxfId="4"/>
    <tableColumn id="10" xr3:uid="{1962586F-59D2-4665-8175-6B2DCB6D34BD}" name="Nº Remito" dataDxfId="3"/>
    <tableColumn id="14" xr3:uid="{375CBE40-8B34-4FC2-9ADB-C95162F595C2}" name="Encargado" dataDxfId="2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76D7825-E6BF-452C-9233-E2C247A0C61E}" name="estado_material" displayName="estado_material" ref="B12:B17" totalsRowShown="0" headerRowDxfId="1">
  <autoFilter ref="B12:B17" xr:uid="{B76D7825-E6BF-452C-9233-E2C247A0C61E}"/>
  <tableColumns count="1">
    <tableColumn id="1" xr3:uid="{55FF1DBE-5A77-4BFF-882E-92E1FEAE90EC}" name="Estado Material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4C5F972-C34D-485A-ACB7-492830BF08FD}" name="estado_factura" displayName="estado_factura" ref="B8:B11" totalsRowShown="0" headerRowDxfId="0">
  <autoFilter ref="B8:B11" xr:uid="{64C5F972-C34D-485A-ACB7-492830BF08FD}"/>
  <tableColumns count="1">
    <tableColumn id="1" xr3:uid="{DC9EDE3C-5130-46B6-A48E-A10A11FC3348}" name="Estado factur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109DC52C-6D85-4B9E-834D-F129C6C1352C}">
    <text>Fact A, B o S/N(efectivo)</text>
  </threadedComment>
  <threadedComment ref="E9" dT="2025-11-13T19:06:36.81" personId="{1ACFC3C9-DC9C-4146-961B-61AE9EE559BF}" id="{534ABD7D-9115-4F3F-876F-93BA7EB41C98}">
    <text>Sin factura, cliente o empresa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6C99DF29-490F-4B83-A589-7889A6D332D4}">
    <text>Fact A, B o S/N(efectivo)</text>
  </threadedComment>
  <threadedComment ref="E9" dT="2025-11-13T19:06:36.81" personId="{1ACFC3C9-DC9C-4146-961B-61AE9EE559BF}" id="{4B53450A-B071-42D0-8433-FA138A9DDCFE}">
    <text>Sin factura, cliente o empresa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2806897F-B60A-4E2B-8178-BB2F6616B027}">
    <text>Fact A, B o S/N(efectivo)</text>
  </threadedComment>
  <threadedComment ref="E9" dT="2025-11-13T19:06:36.81" personId="{1ACFC3C9-DC9C-4146-961B-61AE9EE559BF}" id="{F57B14B1-339A-467B-8B98-306E5540DAF4}">
    <text>Sin factura, cliente o empresa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0F849F7A-B073-42AE-B75B-676420938611}">
    <text>Fact A, B o S/N(efectivo)</text>
  </threadedComment>
  <threadedComment ref="E9" dT="2025-11-13T19:06:36.81" personId="{1ACFC3C9-DC9C-4146-961B-61AE9EE559BF}" id="{21E2442D-BABB-4B08-8FA9-4F8A54257CA8}">
    <text>Sin factura, cliente o empresa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D75EAB41-60EB-4269-ABEE-CC5DE44E418A}">
    <text>Fact A, B o S/N(efectivo)</text>
  </threadedComment>
  <threadedComment ref="E9" dT="2025-11-13T19:06:36.81" personId="{1ACFC3C9-DC9C-4146-961B-61AE9EE559BF}" id="{ACEA735C-8F05-4473-AB24-AEC97ED0F49C}">
    <text>Sin factura, cliente o empresa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5EE4D5A3-121E-4C14-AEFF-829B904681EE}">
    <text>Fact A, B o S/N(efectivo)</text>
  </threadedComment>
  <threadedComment ref="E9" dT="2025-11-13T19:06:36.81" personId="{1ACFC3C9-DC9C-4146-961B-61AE9EE559BF}" id="{B3EC091B-9A4E-4D6F-AC4B-B2AE46B7604C}">
    <text>Sin factura, cliente o empresa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AA6BB6ED-220B-4099-BA25-A373FB78E98A}">
    <text>Fact A, B o S/N(efectivo)</text>
  </threadedComment>
  <threadedComment ref="E9" dT="2025-11-13T19:06:36.81" personId="{1ACFC3C9-DC9C-4146-961B-61AE9EE559BF}" id="{47C504DF-05F3-470A-872A-DF03D55CE2E2}">
    <text>Sin factura, cliente o empresa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2B52151D-8C70-48E4-BC9D-6DF20F1903E6}">
    <text>Fact A, B o S/N(efectivo)</text>
  </threadedComment>
  <threadedComment ref="E9" dT="2025-11-13T19:06:36.81" personId="{1ACFC3C9-DC9C-4146-961B-61AE9EE559BF}" id="{DD3E1763-AB99-4FA7-9519-CE9B244B1BE5}">
    <text>Sin factura, cliente o empresa</text>
  </threadedComment>
  <threadedComment ref="I25" dT="2026-06-09T11:33:37.85" personId="{1ACFC3C9-DC9C-4146-961B-61AE9EE559BF}" id="{3F67BC65-B88F-4F47-AF3D-53F7A3BA058F}">
    <text xml:space="preserve">15898.05 USD a cambio de $1410
</text>
  </threadedComment>
  <threadedComment ref="I26" dT="2026-06-09T11:34:07.45" personId="{1ACFC3C9-DC9C-4146-961B-61AE9EE559BF}" id="{48E981E3-9633-4D57-B67B-C689E48F17F1}">
    <text>A cambio de 1420usd del dia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37E77C57-F4AD-4357-BD7B-404ECC614E4A}">
    <text>Fact A, B o S/N(efectivo)</text>
  </threadedComment>
  <threadedComment ref="E9" dT="2025-11-13T19:06:36.81" personId="{1ACFC3C9-DC9C-4146-961B-61AE9EE559BF}" id="{A6417018-4C6A-41A8-81B4-8E444D24F22E}">
    <text>Sin factura, cliente o empresa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D945C9A5-F4A9-48A5-858B-765E8DCEB18E}">
    <text>Fact A, B o S/N(efectivo)</text>
  </threadedComment>
  <threadedComment ref="E9" dT="2025-11-13T19:06:36.81" personId="{1ACFC3C9-DC9C-4146-961B-61AE9EE559BF}" id="{5E237971-8A18-4E6F-A328-27790E91F78A}">
    <text>Sin factura, cliente o empresa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78A6511F-C4A0-453E-B4BD-C1DAD3F9883F}">
    <text>Fact A, B o S/N(efectivo)</text>
  </threadedComment>
  <threadedComment ref="E9" dT="2025-11-13T19:06:36.81" personId="{1ACFC3C9-DC9C-4146-961B-61AE9EE559BF}" id="{8C6847AA-CE5F-45A9-B8F5-52D07BD305AD}">
    <text>Sin factura, cliente o empresa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D0B2BE66-3D60-42E6-9683-EAAA6D397D2C}">
    <text>Fact A, B o S/N(efectivo)</text>
  </threadedComment>
  <threadedComment ref="E9" dT="2025-11-13T19:06:36.81" personId="{1ACFC3C9-DC9C-4146-961B-61AE9EE559BF}" id="{248A439F-B242-43F0-B224-10A58256F524}">
    <text>Sin factura, cliente o empresa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BA225A09-994D-4ED3-AF91-094F305EA407}">
    <text>Fact A, B o S/N(efectivo)</text>
  </threadedComment>
  <threadedComment ref="E9" dT="2025-11-13T19:06:36.81" personId="{1ACFC3C9-DC9C-4146-961B-61AE9EE559BF}" id="{C3850705-65FF-4357-8A94-1750AD307B2C}">
    <text>Sin factura, cliente o empresa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9A290F60-DED7-46E5-8BBE-6E397BE2AAF7}">
    <text>Fact A, B o S/N(efectivo)</text>
  </threadedComment>
  <threadedComment ref="E9" dT="2025-11-13T19:06:36.81" personId="{1ACFC3C9-DC9C-4146-961B-61AE9EE559BF}" id="{35EE29CB-7EBF-4D2E-ABBB-9165D03AC314}">
    <text>Sin factura, cliente o empresa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19C5BD14-27EA-4266-A302-B02B5BDA341B}">
    <text>Fact A, B o S/N(efectivo)</text>
  </threadedComment>
  <threadedComment ref="E9" dT="2025-11-13T19:06:36.81" personId="{1ACFC3C9-DC9C-4146-961B-61AE9EE559BF}" id="{C12A7F9A-6F62-45C6-A899-EF1D2F009579}">
    <text>Sin factura, cliente o empresa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39A4E448-24F1-4500-A88A-18EC53F615BD}">
    <text>Fact A, B o S/N(efectivo)</text>
  </threadedComment>
  <threadedComment ref="E9" dT="2025-11-13T19:06:36.81" personId="{1ACFC3C9-DC9C-4146-961B-61AE9EE559BF}" id="{D913C551-AA0C-4478-A394-35DA1BF38E7A}">
    <text>Sin factura, cliente o empresa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1361F4C0-8AC9-4368-9B7D-BEDA983E7077}">
    <text>Fact A, B o S/N(efectivo)</text>
  </threadedComment>
  <threadedComment ref="E9" dT="2025-11-13T19:06:36.81" personId="{1ACFC3C9-DC9C-4146-961B-61AE9EE559BF}" id="{B76C3521-9E1F-4726-854E-5B296B82CA0E}">
    <text>Sin factura, cliente o empresa</text>
  </threadedComment>
  <threadedComment ref="I10" dT="2026-03-19T23:43:14.01" personId="{0473F133-A02E-4422-A50D-B3A9F4CFC7D5}" id="{F704025C-8EC5-4270-8D1D-F0F555946CD6}">
    <text>USAR MISMA MONEDA -  NO PUEDO MANEJAR DOS MONEDAS DIFERENTES
MANUEL</text>
  </threadedComment>
  <threadedComment ref="J10" dT="2026-03-19T23:43:14.01" personId="{0473F133-A02E-4422-A50D-B3A9F4CFC7D5}" id="{E6717F2C-2C5E-4157-9D6E-2959D50130E3}">
    <text>USAR MISMA MONEDA -  NO PUEDO MANEJAR DOS MONEDAS DIFERENTES
MANUEL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708E0F72-1CDB-4C55-8B69-897F8C9BE820}">
    <text>Fact A, B o S/N(efectivo)</text>
  </threadedComment>
  <threadedComment ref="E9" dT="2025-11-13T19:06:36.81" personId="{1ACFC3C9-DC9C-4146-961B-61AE9EE559BF}" id="{378882C2-F280-4DD3-A140-8F226526B092}">
    <text>Sin factura, cliente o empresa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C3070DE2-711C-4EBC-BDF9-950ED1F0227E}">
    <text>Fact A, B o S/N(efectivo)</text>
  </threadedComment>
  <threadedComment ref="E9" dT="2025-11-13T19:06:36.81" personId="{1ACFC3C9-DC9C-4146-961B-61AE9EE559BF}" id="{5D9C6E83-0C99-4547-BB6F-E4F2E0875EFD}">
    <text>Sin factura, cliente o empresa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D9" dT="2025-11-13T19:05:55.57" personId="{1ACFC3C9-DC9C-4146-961B-61AE9EE559BF}" id="{3D42EE33-A731-4E1F-9831-E31D602857DE}">
    <text>Fact A, B o S/N(efectivo)</text>
  </threadedComment>
  <threadedComment ref="E9" dT="2025-11-13T19:06:36.81" personId="{1ACFC3C9-DC9C-4146-961B-61AE9EE559BF}" id="{2A5549A8-CD79-4EA0-A11B-579D5F390D92}">
    <text>Sin factura, cliente o empresa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94B590-D818-4054-A5B1-A854558C37BE}">
  <we:reference id="wa200005502" version="1.0.0.12" store="es-AR" storeType="OMEX"/>
  <we:alternateReferences>
    <we:reference id="WA200005502" version="1.0.0.12" store="WA200005502" storeType="OMEX"/>
  </we:alternateReferences>
  <we:properties>
    <we:property name="docId" value="&quot;ZJrFat5AFy2naMVt3atx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1.xml"/><Relationship Id="rId4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2.xml"/><Relationship Id="rId4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3.vml"/><Relationship Id="rId4" Type="http://schemas.microsoft.com/office/2017/10/relationships/threadedComment" Target="../threadedComments/threadedComment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4.vml"/><Relationship Id="rId4" Type="http://schemas.microsoft.com/office/2017/10/relationships/threadedComment" Target="../threadedComments/threadedComment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5.vml"/><Relationship Id="rId4" Type="http://schemas.microsoft.com/office/2017/10/relationships/threadedComment" Target="../threadedComments/threadedComment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6.vml"/><Relationship Id="rId4" Type="http://schemas.microsoft.com/office/2017/10/relationships/threadedComment" Target="../threadedComments/threadedComment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7.vml"/><Relationship Id="rId4" Type="http://schemas.microsoft.com/office/2017/10/relationships/threadedComment" Target="../threadedComments/threadedComment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8.vml"/><Relationship Id="rId4" Type="http://schemas.microsoft.com/office/2017/10/relationships/threadedComment" Target="../threadedComments/threadedComment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9.vml"/><Relationship Id="rId4" Type="http://schemas.microsoft.com/office/2017/10/relationships/threadedComment" Target="../threadedComments/threadedComment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20.vml"/><Relationship Id="rId4" Type="http://schemas.microsoft.com/office/2017/10/relationships/threadedComment" Target="../threadedComments/threadedComment20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AF92-408A-4EDF-95F7-7DE75A6CFD3D}">
  <dimension ref="B1:L111"/>
  <sheetViews>
    <sheetView zoomScale="70" zoomScaleNormal="70" workbookViewId="0">
      <selection activeCell="D6" sqref="D6"/>
    </sheetView>
  </sheetViews>
  <sheetFormatPr defaultColWidth="11.42578125" defaultRowHeight="14.45"/>
  <cols>
    <col min="2" max="2" width="28.7109375" style="120" customWidth="1"/>
    <col min="3" max="3" width="17.140625" style="6" bestFit="1" customWidth="1"/>
    <col min="4" max="4" width="21.7109375" style="6" customWidth="1"/>
    <col min="5" max="5" width="16.42578125" customWidth="1"/>
    <col min="6" max="6" width="9.140625" customWidth="1"/>
    <col min="12" max="12" width="79.7109375" customWidth="1"/>
  </cols>
  <sheetData>
    <row r="1" spans="2:7" ht="15" thickBot="1"/>
    <row r="2" spans="2:7" ht="18.600000000000001" thickBot="1">
      <c r="B2" s="128" t="s">
        <v>0</v>
      </c>
      <c r="C2" s="121"/>
      <c r="D2" s="122"/>
      <c r="G2" s="447" t="s">
        <v>1</v>
      </c>
    </row>
    <row r="3" spans="2:7" ht="15.6">
      <c r="B3" s="119" t="s">
        <v>2</v>
      </c>
      <c r="C3" s="6" t="s">
        <v>3</v>
      </c>
      <c r="D3" s="6" t="s">
        <v>4</v>
      </c>
    </row>
    <row r="4" spans="2:7" ht="15.6">
      <c r="B4" s="119" t="s">
        <v>5</v>
      </c>
      <c r="C4" s="6" t="s">
        <v>3</v>
      </c>
      <c r="D4" s="448" t="s">
        <v>4</v>
      </c>
    </row>
    <row r="5" spans="2:7" ht="15.6">
      <c r="B5" s="119" t="s">
        <v>6</v>
      </c>
      <c r="C5" s="6" t="s">
        <v>7</v>
      </c>
      <c r="D5" s="448" t="s">
        <v>8</v>
      </c>
    </row>
    <row r="6" spans="2:7" ht="15.6">
      <c r="B6" s="119" t="s">
        <v>9</v>
      </c>
      <c r="C6" s="6" t="s">
        <v>3</v>
      </c>
      <c r="D6" s="6" t="s">
        <v>10</v>
      </c>
      <c r="E6" t="s">
        <v>11</v>
      </c>
    </row>
    <row r="7" spans="2:7" ht="15.6">
      <c r="B7" s="119" t="s">
        <v>12</v>
      </c>
      <c r="C7" s="6" t="s">
        <v>3</v>
      </c>
      <c r="D7" s="6" t="s">
        <v>13</v>
      </c>
      <c r="E7" t="s">
        <v>11</v>
      </c>
    </row>
    <row r="8" spans="2:7" ht="15.6">
      <c r="B8" s="119" t="s">
        <v>14</v>
      </c>
      <c r="C8" s="6" t="s">
        <v>3</v>
      </c>
      <c r="D8" s="448" t="s">
        <v>13</v>
      </c>
      <c r="E8" s="447" t="s">
        <v>11</v>
      </c>
      <c r="F8" s="447"/>
    </row>
    <row r="9" spans="2:7" ht="15.6">
      <c r="B9" s="119" t="s">
        <v>15</v>
      </c>
      <c r="C9" s="6" t="s">
        <v>3</v>
      </c>
      <c r="D9" s="448" t="s">
        <v>13</v>
      </c>
      <c r="E9" s="447"/>
      <c r="F9" s="447"/>
    </row>
    <row r="10" spans="2:7" ht="15.6">
      <c r="B10" s="119" t="s">
        <v>16</v>
      </c>
      <c r="C10" s="6" t="s">
        <v>3</v>
      </c>
      <c r="D10" s="448" t="s">
        <v>13</v>
      </c>
      <c r="E10" s="447" t="s">
        <v>11</v>
      </c>
      <c r="F10" s="447"/>
    </row>
    <row r="11" spans="2:7" ht="15.6">
      <c r="B11" s="119" t="s">
        <v>17</v>
      </c>
      <c r="C11" s="6" t="s">
        <v>3</v>
      </c>
      <c r="D11" s="6" t="s">
        <v>10</v>
      </c>
    </row>
    <row r="12" spans="2:7" ht="15.6">
      <c r="B12" s="119" t="s">
        <v>18</v>
      </c>
      <c r="C12" s="6" t="s">
        <v>3</v>
      </c>
      <c r="D12" s="6" t="s">
        <v>19</v>
      </c>
    </row>
    <row r="13" spans="2:7" ht="15.6">
      <c r="B13" s="119" t="s">
        <v>20</v>
      </c>
      <c r="C13" s="6" t="s">
        <v>3</v>
      </c>
      <c r="D13" s="6" t="s">
        <v>19</v>
      </c>
    </row>
    <row r="14" spans="2:7" ht="15.6">
      <c r="B14" s="119" t="s">
        <v>21</v>
      </c>
      <c r="C14" s="6" t="s">
        <v>3</v>
      </c>
      <c r="D14" s="6" t="s">
        <v>19</v>
      </c>
    </row>
    <row r="15" spans="2:7" ht="15.6">
      <c r="B15" s="119" t="s">
        <v>22</v>
      </c>
      <c r="C15" s="6" t="s">
        <v>3</v>
      </c>
      <c r="D15" s="6" t="s">
        <v>23</v>
      </c>
    </row>
    <row r="16" spans="2:7" ht="15.6">
      <c r="B16" s="119" t="s">
        <v>24</v>
      </c>
      <c r="C16" s="6" t="s">
        <v>3</v>
      </c>
      <c r="D16" s="6" t="s">
        <v>25</v>
      </c>
    </row>
    <row r="17" spans="2:12" ht="15.6">
      <c r="B17" s="119" t="s">
        <v>26</v>
      </c>
      <c r="C17" s="6" t="s">
        <v>27</v>
      </c>
      <c r="D17" s="6" t="s">
        <v>19</v>
      </c>
    </row>
    <row r="18" spans="2:12" ht="15.6">
      <c r="B18" s="119" t="s">
        <v>28</v>
      </c>
      <c r="C18" s="6" t="s">
        <v>7</v>
      </c>
      <c r="D18" s="6" t="s">
        <v>29</v>
      </c>
    </row>
    <row r="19" spans="2:12" ht="15.6">
      <c r="B19" s="119" t="s">
        <v>30</v>
      </c>
      <c r="C19" s="6" t="s">
        <v>3</v>
      </c>
      <c r="D19" s="6" t="s">
        <v>31</v>
      </c>
    </row>
    <row r="20" spans="2:12" ht="15.6">
      <c r="B20" s="119" t="s">
        <v>32</v>
      </c>
      <c r="C20" s="6" t="s">
        <v>3</v>
      </c>
      <c r="D20" s="6" t="s">
        <v>33</v>
      </c>
    </row>
    <row r="21" spans="2:12" ht="15.6">
      <c r="B21" s="119" t="s">
        <v>34</v>
      </c>
      <c r="C21" s="6" t="s">
        <v>3</v>
      </c>
      <c r="D21" s="6" t="s">
        <v>33</v>
      </c>
    </row>
    <row r="22" spans="2:12" ht="15.6">
      <c r="B22" s="119" t="s">
        <v>35</v>
      </c>
      <c r="C22" s="6" t="s">
        <v>3</v>
      </c>
      <c r="D22" s="6" t="s">
        <v>36</v>
      </c>
    </row>
    <row r="23" spans="2:12" ht="15.6">
      <c r="B23" s="119" t="s">
        <v>37</v>
      </c>
      <c r="C23" s="6" t="s">
        <v>3</v>
      </c>
      <c r="D23" s="6" t="s">
        <v>38</v>
      </c>
      <c r="E23" s="447"/>
      <c r="F23" s="447"/>
    </row>
    <row r="24" spans="2:12" ht="15.6">
      <c r="B24" s="119" t="s">
        <v>39</v>
      </c>
      <c r="C24" s="6" t="s">
        <v>3</v>
      </c>
      <c r="D24" s="6" t="s">
        <v>40</v>
      </c>
      <c r="E24" s="447"/>
      <c r="F24" s="447"/>
    </row>
    <row r="25" spans="2:12" ht="43.15">
      <c r="B25" s="119" t="s">
        <v>41</v>
      </c>
      <c r="C25" s="6" t="s">
        <v>42</v>
      </c>
      <c r="D25" s="6" t="s">
        <v>43</v>
      </c>
      <c r="L25" s="267" t="s">
        <v>44</v>
      </c>
    </row>
    <row r="26" spans="2:12" ht="15.6">
      <c r="B26" s="119" t="s">
        <v>45</v>
      </c>
      <c r="C26" s="6" t="s">
        <v>3</v>
      </c>
      <c r="D26" s="6" t="s">
        <v>43</v>
      </c>
    </row>
    <row r="27" spans="2:12" ht="15.6">
      <c r="B27" s="119" t="s">
        <v>45</v>
      </c>
      <c r="C27" s="6" t="s">
        <v>3</v>
      </c>
      <c r="D27" s="6" t="s">
        <v>46</v>
      </c>
    </row>
    <row r="28" spans="2:12" ht="15.6">
      <c r="B28" s="119" t="s">
        <v>47</v>
      </c>
      <c r="C28" s="6" t="s">
        <v>3</v>
      </c>
      <c r="D28" s="6" t="s">
        <v>43</v>
      </c>
      <c r="E28" s="447" t="s">
        <v>11</v>
      </c>
      <c r="F28" s="447"/>
    </row>
    <row r="29" spans="2:12" ht="15.6">
      <c r="B29" s="119" t="s">
        <v>47</v>
      </c>
      <c r="C29" s="6" t="s">
        <v>3</v>
      </c>
      <c r="D29" s="6" t="s">
        <v>46</v>
      </c>
      <c r="E29" s="447" t="s">
        <v>11</v>
      </c>
      <c r="F29" s="447"/>
    </row>
    <row r="30" spans="2:12" ht="15.6">
      <c r="B30" s="119" t="s">
        <v>48</v>
      </c>
      <c r="C30" s="6" t="s">
        <v>3</v>
      </c>
      <c r="D30" s="6" t="s">
        <v>10</v>
      </c>
      <c r="E30" s="447" t="s">
        <v>11</v>
      </c>
      <c r="F30" s="447"/>
    </row>
    <row r="31" spans="2:12" ht="15.6">
      <c r="B31" s="119" t="s">
        <v>49</v>
      </c>
      <c r="C31" s="6" t="s">
        <v>3</v>
      </c>
      <c r="D31" s="6" t="s">
        <v>8</v>
      </c>
      <c r="E31" s="447"/>
      <c r="F31" s="447"/>
    </row>
    <row r="32" spans="2:12" ht="15.6">
      <c r="B32" s="119" t="s">
        <v>50</v>
      </c>
      <c r="C32" s="6" t="s">
        <v>51</v>
      </c>
      <c r="D32" s="6" t="s">
        <v>52</v>
      </c>
    </row>
    <row r="33" spans="2:6" ht="15.6">
      <c r="B33" s="119" t="s">
        <v>53</v>
      </c>
      <c r="C33" s="6" t="s">
        <v>3</v>
      </c>
      <c r="D33" s="6" t="s">
        <v>31</v>
      </c>
    </row>
    <row r="34" spans="2:6" ht="15.6">
      <c r="B34" s="119" t="s">
        <v>54</v>
      </c>
      <c r="C34" s="6" t="s">
        <v>3</v>
      </c>
      <c r="D34" s="6" t="s">
        <v>55</v>
      </c>
      <c r="E34" s="447" t="s">
        <v>11</v>
      </c>
      <c r="F34" s="447"/>
    </row>
    <row r="35" spans="2:6" ht="15.6">
      <c r="B35" s="119" t="s">
        <v>56</v>
      </c>
      <c r="C35" s="6" t="s">
        <v>57</v>
      </c>
      <c r="D35" s="6" t="s">
        <v>10</v>
      </c>
    </row>
    <row r="36" spans="2:6" ht="15.6">
      <c r="B36" s="119" t="s">
        <v>58</v>
      </c>
      <c r="C36" s="6" t="s">
        <v>3</v>
      </c>
      <c r="D36" s="6" t="s">
        <v>59</v>
      </c>
    </row>
    <row r="37" spans="2:6" ht="15.6">
      <c r="B37" s="119" t="s">
        <v>60</v>
      </c>
      <c r="C37" s="6" t="s">
        <v>3</v>
      </c>
      <c r="D37" s="6" t="s">
        <v>31</v>
      </c>
    </row>
    <row r="38" spans="2:6" ht="15.6">
      <c r="B38" s="119" t="s">
        <v>61</v>
      </c>
      <c r="C38" s="6" t="s">
        <v>7</v>
      </c>
      <c r="D38" s="6" t="s">
        <v>19</v>
      </c>
    </row>
    <row r="39" spans="2:6" ht="15.6">
      <c r="B39" s="119" t="s">
        <v>62</v>
      </c>
      <c r="C39" s="6" t="s">
        <v>3</v>
      </c>
      <c r="D39" s="6" t="s">
        <v>63</v>
      </c>
      <c r="E39" s="447" t="s">
        <v>11</v>
      </c>
      <c r="F39" s="447"/>
    </row>
    <row r="40" spans="2:6" ht="15.6">
      <c r="B40" s="119" t="s">
        <v>64</v>
      </c>
      <c r="C40" t="s">
        <v>3</v>
      </c>
      <c r="D40" s="6" t="s">
        <v>13</v>
      </c>
      <c r="E40" t="s">
        <v>11</v>
      </c>
    </row>
    <row r="41" spans="2:6" ht="15.6">
      <c r="B41" s="119" t="s">
        <v>35</v>
      </c>
      <c r="C41" s="6" t="s">
        <v>3</v>
      </c>
      <c r="D41" s="6" t="s">
        <v>36</v>
      </c>
      <c r="E41" s="447"/>
      <c r="F41" s="447"/>
    </row>
    <row r="42" spans="2:6" ht="15.6">
      <c r="B42" s="119" t="s">
        <v>65</v>
      </c>
      <c r="C42" s="6" t="s">
        <v>3</v>
      </c>
      <c r="D42" s="6" t="s">
        <v>66</v>
      </c>
      <c r="E42" s="447"/>
      <c r="F42" s="447"/>
    </row>
    <row r="43" spans="2:6" ht="15.6">
      <c r="B43" s="119" t="s">
        <v>67</v>
      </c>
      <c r="C43" s="6" t="s">
        <v>68</v>
      </c>
      <c r="D43" s="6" t="s">
        <v>69</v>
      </c>
      <c r="E43" t="s">
        <v>11</v>
      </c>
    </row>
    <row r="44" spans="2:6" ht="15.6">
      <c r="B44" s="119" t="s">
        <v>70</v>
      </c>
      <c r="C44" s="6" t="s">
        <v>3</v>
      </c>
      <c r="D44" s="6" t="s">
        <v>69</v>
      </c>
    </row>
    <row r="45" spans="2:6" ht="15.6">
      <c r="B45" s="119" t="s">
        <v>71</v>
      </c>
      <c r="C45" s="6" t="s">
        <v>3</v>
      </c>
      <c r="D45" s="6" t="s">
        <v>10</v>
      </c>
      <c r="E45" s="447" t="s">
        <v>11</v>
      </c>
      <c r="F45" s="447"/>
    </row>
    <row r="46" spans="2:6" ht="15.6">
      <c r="B46" s="119" t="s">
        <v>72</v>
      </c>
      <c r="C46" s="6" t="s">
        <v>3</v>
      </c>
      <c r="D46" s="6" t="s">
        <v>63</v>
      </c>
      <c r="E46" s="447" t="s">
        <v>11</v>
      </c>
      <c r="F46" s="447"/>
    </row>
    <row r="47" spans="2:6" ht="15.6">
      <c r="B47" s="119" t="s">
        <v>73</v>
      </c>
      <c r="C47" s="6" t="s">
        <v>3</v>
      </c>
      <c r="D47" s="6" t="s">
        <v>63</v>
      </c>
      <c r="E47" s="447"/>
      <c r="F47" s="447"/>
    </row>
    <row r="48" spans="2:6" ht="15.6">
      <c r="B48" s="119" t="s">
        <v>74</v>
      </c>
      <c r="C48" s="6" t="s">
        <v>3</v>
      </c>
      <c r="D48" s="6" t="s">
        <v>52</v>
      </c>
    </row>
    <row r="49" spans="2:6" ht="15.6">
      <c r="B49" s="119" t="s">
        <v>75</v>
      </c>
      <c r="C49" s="6" t="s">
        <v>3</v>
      </c>
      <c r="D49" s="6" t="s">
        <v>52</v>
      </c>
    </row>
    <row r="50" spans="2:6" ht="15.6">
      <c r="B50" s="119" t="s">
        <v>76</v>
      </c>
      <c r="C50" s="6" t="s">
        <v>3</v>
      </c>
      <c r="D50" s="6" t="s">
        <v>52</v>
      </c>
      <c r="E50" s="447" t="s">
        <v>11</v>
      </c>
      <c r="F50" s="447"/>
    </row>
    <row r="51" spans="2:6" ht="15.6">
      <c r="B51" s="119" t="s">
        <v>77</v>
      </c>
      <c r="C51" s="6" t="s">
        <v>3</v>
      </c>
      <c r="D51" s="6" t="s">
        <v>52</v>
      </c>
    </row>
    <row r="52" spans="2:6" ht="15.6">
      <c r="B52" s="119" t="s">
        <v>78</v>
      </c>
      <c r="C52" s="6" t="s">
        <v>3</v>
      </c>
      <c r="D52" s="6" t="s">
        <v>52</v>
      </c>
    </row>
    <row r="53" spans="2:6" ht="15.6">
      <c r="B53" s="119" t="s">
        <v>79</v>
      </c>
      <c r="C53" s="6" t="s">
        <v>3</v>
      </c>
      <c r="D53" s="6" t="s">
        <v>52</v>
      </c>
    </row>
    <row r="54" spans="2:6" ht="15.6">
      <c r="B54" s="119" t="s">
        <v>80</v>
      </c>
      <c r="C54" s="6" t="s">
        <v>3</v>
      </c>
      <c r="D54" s="6" t="s">
        <v>52</v>
      </c>
    </row>
    <row r="55" spans="2:6" ht="15.6">
      <c r="B55" s="119" t="s">
        <v>81</v>
      </c>
      <c r="D55" s="6" t="s">
        <v>82</v>
      </c>
    </row>
    <row r="56" spans="2:6" ht="15.6">
      <c r="B56" s="119" t="s">
        <v>83</v>
      </c>
      <c r="C56" s="6" t="s">
        <v>3</v>
      </c>
      <c r="D56" s="6" t="s">
        <v>84</v>
      </c>
      <c r="E56" t="s">
        <v>11</v>
      </c>
    </row>
    <row r="57" spans="2:6" ht="15.6">
      <c r="B57" s="119" t="s">
        <v>85</v>
      </c>
      <c r="C57" s="6" t="s">
        <v>3</v>
      </c>
      <c r="D57" s="6" t="s">
        <v>33</v>
      </c>
    </row>
    <row r="58" spans="2:6" ht="15.6">
      <c r="B58" s="119" t="s">
        <v>86</v>
      </c>
      <c r="C58" s="6" t="s">
        <v>3</v>
      </c>
      <c r="D58" s="6" t="s">
        <v>25</v>
      </c>
      <c r="E58" s="447" t="s">
        <v>11</v>
      </c>
      <c r="F58" s="447"/>
    </row>
    <row r="59" spans="2:6" ht="15.6">
      <c r="B59" s="119" t="s">
        <v>87</v>
      </c>
      <c r="C59" s="6" t="s">
        <v>3</v>
      </c>
      <c r="D59" s="6" t="s">
        <v>25</v>
      </c>
      <c r="E59" s="447"/>
      <c r="F59" s="447"/>
    </row>
    <row r="60" spans="2:6" ht="15.6">
      <c r="B60" s="119" t="s">
        <v>88</v>
      </c>
      <c r="C60" s="6" t="s">
        <v>3</v>
      </c>
      <c r="D60" s="6" t="s">
        <v>19</v>
      </c>
    </row>
    <row r="61" spans="2:6" ht="15.6">
      <c r="B61" s="119" t="s">
        <v>89</v>
      </c>
      <c r="C61" s="6" t="s">
        <v>3</v>
      </c>
      <c r="D61" s="448" t="s">
        <v>13</v>
      </c>
      <c r="E61" s="447" t="s">
        <v>11</v>
      </c>
      <c r="F61" s="447"/>
    </row>
    <row r="62" spans="2:6" ht="15.6">
      <c r="B62" s="119" t="s">
        <v>90</v>
      </c>
      <c r="C62" s="6" t="s">
        <v>91</v>
      </c>
      <c r="D62" s="448" t="s">
        <v>92</v>
      </c>
      <c r="E62" s="447"/>
      <c r="F62" s="447"/>
    </row>
    <row r="63" spans="2:6" ht="15.6">
      <c r="B63" s="119" t="s">
        <v>93</v>
      </c>
      <c r="C63" s="6" t="s">
        <v>3</v>
      </c>
      <c r="D63" s="448" t="s">
        <v>92</v>
      </c>
      <c r="E63" s="447"/>
      <c r="F63" s="447"/>
    </row>
    <row r="64" spans="2:6" ht="15.6">
      <c r="B64" s="119" t="s">
        <v>94</v>
      </c>
      <c r="C64" s="6" t="s">
        <v>3</v>
      </c>
      <c r="D64" s="448" t="s">
        <v>92</v>
      </c>
      <c r="E64" s="447"/>
      <c r="F64" s="447"/>
    </row>
    <row r="65" spans="2:6" ht="15.6">
      <c r="B65" s="119" t="s">
        <v>95</v>
      </c>
      <c r="C65" s="6" t="s">
        <v>3</v>
      </c>
      <c r="D65" s="6" t="s">
        <v>4</v>
      </c>
    </row>
    <row r="66" spans="2:6" ht="15.6">
      <c r="B66" s="119" t="s">
        <v>96</v>
      </c>
      <c r="C66" s="6" t="s">
        <v>3</v>
      </c>
      <c r="D66" s="6" t="s">
        <v>29</v>
      </c>
    </row>
    <row r="67" spans="2:6" ht="15.6">
      <c r="B67" s="119" t="s">
        <v>97</v>
      </c>
      <c r="C67" s="6" t="s">
        <v>3</v>
      </c>
      <c r="D67" s="6" t="s">
        <v>29</v>
      </c>
    </row>
    <row r="68" spans="2:6" ht="15.6">
      <c r="B68" s="119" t="s">
        <v>98</v>
      </c>
      <c r="C68" s="6" t="s">
        <v>99</v>
      </c>
      <c r="D68" s="6" t="s">
        <v>29</v>
      </c>
    </row>
    <row r="69" spans="2:6" ht="15.6">
      <c r="B69" s="119" t="s">
        <v>100</v>
      </c>
      <c r="C69" s="6" t="s">
        <v>91</v>
      </c>
      <c r="D69" s="6" t="s">
        <v>29</v>
      </c>
    </row>
    <row r="70" spans="2:6" ht="15.6">
      <c r="B70" s="119" t="s">
        <v>101</v>
      </c>
      <c r="C70" s="6" t="s">
        <v>3</v>
      </c>
      <c r="D70" s="6" t="s">
        <v>102</v>
      </c>
    </row>
    <row r="71" spans="2:6" ht="15.6">
      <c r="B71" s="119" t="s">
        <v>103</v>
      </c>
      <c r="C71" s="6" t="s">
        <v>104</v>
      </c>
      <c r="D71" s="6" t="s">
        <v>4</v>
      </c>
    </row>
    <row r="72" spans="2:6" ht="15.6">
      <c r="B72" s="119" t="s">
        <v>105</v>
      </c>
      <c r="C72" s="6" t="s">
        <v>3</v>
      </c>
      <c r="D72" s="6" t="s">
        <v>106</v>
      </c>
    </row>
    <row r="73" spans="2:6" ht="15.6">
      <c r="B73" s="119" t="s">
        <v>107</v>
      </c>
      <c r="C73" s="6" t="s">
        <v>3</v>
      </c>
      <c r="D73" s="6" t="s">
        <v>108</v>
      </c>
      <c r="E73" s="447" t="s">
        <v>11</v>
      </c>
      <c r="F73" s="447"/>
    </row>
    <row r="74" spans="2:6" ht="15.6">
      <c r="B74" s="119" t="s">
        <v>109</v>
      </c>
      <c r="C74" s="6" t="s">
        <v>3</v>
      </c>
      <c r="D74" s="6" t="s">
        <v>69</v>
      </c>
      <c r="E74" t="s">
        <v>11</v>
      </c>
    </row>
    <row r="75" spans="2:6" ht="15.6">
      <c r="B75" s="119" t="s">
        <v>110</v>
      </c>
      <c r="C75" s="6" t="s">
        <v>3</v>
      </c>
      <c r="D75" s="6" t="s">
        <v>69</v>
      </c>
      <c r="E75" t="s">
        <v>11</v>
      </c>
    </row>
    <row r="76" spans="2:6" ht="15.6">
      <c r="B76" s="119" t="s">
        <v>111</v>
      </c>
      <c r="C76" s="6" t="s">
        <v>3</v>
      </c>
      <c r="D76" s="6" t="s">
        <v>38</v>
      </c>
    </row>
    <row r="77" spans="2:6" ht="15.6">
      <c r="B77" s="119" t="s">
        <v>112</v>
      </c>
      <c r="C77" s="6" t="s">
        <v>3</v>
      </c>
      <c r="D77" s="6" t="s">
        <v>102</v>
      </c>
    </row>
    <row r="78" spans="2:6" ht="15.6">
      <c r="B78" s="119" t="s">
        <v>113</v>
      </c>
      <c r="C78" s="6" t="s">
        <v>3</v>
      </c>
      <c r="D78" s="6" t="s">
        <v>38</v>
      </c>
      <c r="E78" s="447" t="s">
        <v>11</v>
      </c>
      <c r="F78" s="447"/>
    </row>
    <row r="79" spans="2:6" ht="15.6">
      <c r="B79" s="119" t="s">
        <v>114</v>
      </c>
      <c r="C79" s="6" t="s">
        <v>3</v>
      </c>
      <c r="D79" s="6" t="s">
        <v>102</v>
      </c>
    </row>
    <row r="80" spans="2:6" ht="15.6">
      <c r="B80" s="119" t="s">
        <v>115</v>
      </c>
      <c r="C80" s="6" t="s">
        <v>3</v>
      </c>
      <c r="D80" s="6" t="s">
        <v>102</v>
      </c>
    </row>
    <row r="81" spans="2:6" ht="15.6">
      <c r="B81" s="119" t="s">
        <v>116</v>
      </c>
      <c r="C81" s="6" t="s">
        <v>3</v>
      </c>
      <c r="D81" s="6" t="s">
        <v>38</v>
      </c>
    </row>
    <row r="82" spans="2:6" ht="15.6">
      <c r="B82" s="119" t="s">
        <v>117</v>
      </c>
      <c r="C82" s="6" t="s">
        <v>3</v>
      </c>
      <c r="D82" s="6" t="s">
        <v>10</v>
      </c>
    </row>
    <row r="83" spans="2:6" ht="15.6">
      <c r="B83" s="119" t="s">
        <v>118</v>
      </c>
      <c r="C83" s="6" t="s">
        <v>3</v>
      </c>
      <c r="D83" s="6" t="s">
        <v>4</v>
      </c>
    </row>
    <row r="84" spans="2:6" ht="15.6">
      <c r="B84" s="119" t="s">
        <v>119</v>
      </c>
      <c r="C84" s="6" t="s">
        <v>3</v>
      </c>
      <c r="D84" s="6" t="s">
        <v>102</v>
      </c>
      <c r="E84" s="447" t="s">
        <v>11</v>
      </c>
      <c r="F84" s="447"/>
    </row>
    <row r="85" spans="2:6" ht="15.6">
      <c r="B85" s="119" t="s">
        <v>120</v>
      </c>
      <c r="C85" s="6" t="s">
        <v>3</v>
      </c>
      <c r="D85" s="6" t="s">
        <v>121</v>
      </c>
    </row>
    <row r="86" spans="2:6" ht="15.6">
      <c r="B86" s="119" t="s">
        <v>122</v>
      </c>
      <c r="C86" s="6" t="s">
        <v>3</v>
      </c>
      <c r="D86" s="6" t="s">
        <v>123</v>
      </c>
    </row>
    <row r="87" spans="2:6" ht="15.6">
      <c r="B87" s="119" t="s">
        <v>124</v>
      </c>
      <c r="C87" s="6" t="s">
        <v>68</v>
      </c>
      <c r="D87" s="6" t="s">
        <v>46</v>
      </c>
      <c r="E87" s="447" t="s">
        <v>11</v>
      </c>
      <c r="F87" s="447"/>
    </row>
    <row r="88" spans="2:6" ht="15.6">
      <c r="B88" s="119" t="s">
        <v>125</v>
      </c>
      <c r="C88" s="6" t="s">
        <v>3</v>
      </c>
      <c r="D88" s="6" t="s">
        <v>19</v>
      </c>
    </row>
    <row r="89" spans="2:6" ht="15.6">
      <c r="B89" s="119" t="s">
        <v>125</v>
      </c>
      <c r="C89" s="6" t="s">
        <v>3</v>
      </c>
      <c r="D89" s="6" t="s">
        <v>69</v>
      </c>
    </row>
    <row r="90" spans="2:6" ht="15.6">
      <c r="B90" s="119" t="s">
        <v>126</v>
      </c>
      <c r="C90" s="6" t="s">
        <v>3</v>
      </c>
      <c r="D90" s="6" t="s">
        <v>31</v>
      </c>
    </row>
    <row r="91" spans="2:6" ht="15.6">
      <c r="B91" s="119" t="s">
        <v>127</v>
      </c>
      <c r="C91" s="6" t="s">
        <v>68</v>
      </c>
      <c r="D91" t="s">
        <v>128</v>
      </c>
    </row>
    <row r="92" spans="2:6" ht="15.6">
      <c r="B92" s="119" t="s">
        <v>129</v>
      </c>
      <c r="C92" s="6" t="s">
        <v>3</v>
      </c>
      <c r="D92" s="6" t="s">
        <v>130</v>
      </c>
    </row>
    <row r="93" spans="2:6" ht="15.6">
      <c r="B93" s="119" t="s">
        <v>131</v>
      </c>
      <c r="C93" s="6" t="s">
        <v>68</v>
      </c>
      <c r="D93" s="6" t="s">
        <v>43</v>
      </c>
      <c r="E93" s="447" t="s">
        <v>11</v>
      </c>
      <c r="F93" s="447"/>
    </row>
    <row r="94" spans="2:6" ht="15.6">
      <c r="B94" s="119" t="s">
        <v>132</v>
      </c>
      <c r="C94" s="448" t="s">
        <v>3</v>
      </c>
      <c r="D94" s="448" t="s">
        <v>133</v>
      </c>
      <c r="E94" s="447"/>
      <c r="F94" s="447"/>
    </row>
    <row r="95" spans="2:6" ht="15.6">
      <c r="B95" s="119" t="s">
        <v>134</v>
      </c>
      <c r="C95" s="6" t="s">
        <v>3</v>
      </c>
      <c r="D95" s="6" t="s">
        <v>102</v>
      </c>
    </row>
    <row r="96" spans="2:6" ht="15.6">
      <c r="B96" s="119" t="s">
        <v>73</v>
      </c>
      <c r="C96" s="6" t="s">
        <v>3</v>
      </c>
      <c r="D96" s="6" t="s">
        <v>63</v>
      </c>
    </row>
    <row r="97" spans="2:6" ht="15.6">
      <c r="B97" s="119" t="s">
        <v>135</v>
      </c>
      <c r="C97" s="6" t="s">
        <v>3</v>
      </c>
      <c r="D97" s="6" t="s">
        <v>29</v>
      </c>
    </row>
    <row r="98" spans="2:6" ht="15.6">
      <c r="B98" s="119" t="s">
        <v>136</v>
      </c>
      <c r="C98" s="6" t="s">
        <v>3</v>
      </c>
      <c r="D98" s="6" t="s">
        <v>84</v>
      </c>
      <c r="E98" t="s">
        <v>11</v>
      </c>
    </row>
    <row r="99" spans="2:6" ht="15.6">
      <c r="B99" s="119" t="s">
        <v>137</v>
      </c>
      <c r="C99" s="6" t="s">
        <v>3</v>
      </c>
      <c r="D99" s="6" t="s">
        <v>33</v>
      </c>
    </row>
    <row r="100" spans="2:6" ht="15.6">
      <c r="B100" s="119" t="s">
        <v>138</v>
      </c>
      <c r="C100" s="6" t="s">
        <v>3</v>
      </c>
      <c r="D100" s="6" t="s">
        <v>139</v>
      </c>
    </row>
    <row r="101" spans="2:6" ht="15.6">
      <c r="B101" s="119" t="s">
        <v>140</v>
      </c>
      <c r="C101" s="6" t="s">
        <v>141</v>
      </c>
      <c r="D101" s="6" t="s">
        <v>4</v>
      </c>
    </row>
    <row r="102" spans="2:6" ht="15.6">
      <c r="B102" s="119" t="s">
        <v>142</v>
      </c>
      <c r="C102" s="6" t="s">
        <v>3</v>
      </c>
      <c r="D102" s="6" t="s">
        <v>121</v>
      </c>
      <c r="E102" t="s">
        <v>11</v>
      </c>
    </row>
    <row r="103" spans="2:6" ht="15.6">
      <c r="B103" s="119" t="s">
        <v>143</v>
      </c>
      <c r="C103" s="6" t="s">
        <v>3</v>
      </c>
      <c r="D103" s="6" t="s">
        <v>55</v>
      </c>
    </row>
    <row r="104" spans="2:6" ht="15.6">
      <c r="B104" s="119" t="s">
        <v>144</v>
      </c>
      <c r="C104" t="s">
        <v>3</v>
      </c>
      <c r="D104" s="6" t="s">
        <v>13</v>
      </c>
      <c r="E104" t="s">
        <v>11</v>
      </c>
    </row>
    <row r="105" spans="2:6" ht="15.6">
      <c r="B105" s="119" t="s">
        <v>145</v>
      </c>
      <c r="C105" s="6" t="s">
        <v>3</v>
      </c>
      <c r="D105" s="6" t="s">
        <v>4</v>
      </c>
    </row>
    <row r="106" spans="2:6" ht="15.6">
      <c r="B106" s="119" t="s">
        <v>146</v>
      </c>
      <c r="C106" s="6" t="s">
        <v>3</v>
      </c>
      <c r="D106" s="6" t="s">
        <v>108</v>
      </c>
    </row>
    <row r="107" spans="2:6" ht="15.6">
      <c r="B107" s="119" t="s">
        <v>147</v>
      </c>
      <c r="C107" s="6" t="s">
        <v>3</v>
      </c>
      <c r="D107" s="6" t="s">
        <v>29</v>
      </c>
    </row>
    <row r="108" spans="2:6" ht="15.6">
      <c r="B108" s="119" t="s">
        <v>148</v>
      </c>
      <c r="C108" s="6" t="s">
        <v>3</v>
      </c>
      <c r="D108" s="6" t="s">
        <v>36</v>
      </c>
      <c r="E108" s="447"/>
      <c r="F108" s="447"/>
    </row>
    <row r="109" spans="2:6" ht="15.6">
      <c r="B109" s="119" t="s">
        <v>149</v>
      </c>
      <c r="C109" s="6" t="s">
        <v>3</v>
      </c>
      <c r="D109" s="6" t="s">
        <v>29</v>
      </c>
    </row>
    <row r="110" spans="2:6" ht="15.6">
      <c r="B110" s="119" t="s">
        <v>150</v>
      </c>
      <c r="C110" s="6" t="s">
        <v>3</v>
      </c>
      <c r="D110" s="6" t="s">
        <v>121</v>
      </c>
    </row>
    <row r="111" spans="2:6" ht="15.6">
      <c r="B111" s="119" t="s">
        <v>151</v>
      </c>
      <c r="C111" s="6" t="s">
        <v>3</v>
      </c>
      <c r="D111" s="6" t="s">
        <v>121</v>
      </c>
      <c r="E111" t="s">
        <v>11</v>
      </c>
    </row>
  </sheetData>
  <sortState xmlns:xlrd2="http://schemas.microsoft.com/office/spreadsheetml/2017/richdata2" ref="B3:L111">
    <sortCondition ref="B3:B1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926-215B-4827-86D8-E8014859F2E1}">
  <dimension ref="A2:L77"/>
  <sheetViews>
    <sheetView workbookViewId="0">
      <pane ySplit="2" topLeftCell="A18" activePane="bottomLeft" state="frozen"/>
      <selection pane="bottomLeft" activeCell="K65" sqref="K65"/>
    </sheetView>
  </sheetViews>
  <sheetFormatPr defaultColWidth="11.42578125" defaultRowHeight="14.45"/>
  <cols>
    <col min="7" max="8" width="11.42578125" style="184"/>
  </cols>
  <sheetData>
    <row r="2" spans="1:12" ht="15.6">
      <c r="B2" s="192" t="s">
        <v>152</v>
      </c>
      <c r="C2" s="192" t="s">
        <v>153</v>
      </c>
      <c r="D2" s="227" t="s">
        <v>154</v>
      </c>
      <c r="E2" s="192" t="s">
        <v>155</v>
      </c>
      <c r="F2" s="192" t="s">
        <v>156</v>
      </c>
      <c r="G2" s="193" t="s">
        <v>157</v>
      </c>
      <c r="H2" s="193" t="s">
        <v>158</v>
      </c>
    </row>
    <row r="3" spans="1:12" ht="15.6">
      <c r="B3" s="431" t="s">
        <v>159</v>
      </c>
      <c r="C3" s="431"/>
      <c r="D3" s="431"/>
      <c r="E3" s="431"/>
      <c r="F3" s="431"/>
      <c r="G3" s="431"/>
      <c r="H3" s="431"/>
    </row>
    <row r="4" spans="1:12">
      <c r="E4" s="183">
        <v>45981</v>
      </c>
      <c r="F4" s="118">
        <v>45982</v>
      </c>
    </row>
    <row r="5" spans="1:12">
      <c r="A5" s="118"/>
      <c r="B5" s="118">
        <v>45985</v>
      </c>
      <c r="C5" s="118">
        <v>45986</v>
      </c>
      <c r="D5" s="118">
        <v>45987</v>
      </c>
      <c r="E5" s="118">
        <v>45988</v>
      </c>
      <c r="F5" s="118">
        <v>45989</v>
      </c>
      <c r="G5" s="185"/>
      <c r="H5" s="185"/>
    </row>
    <row r="6" spans="1:12" ht="15" thickBot="1">
      <c r="A6" s="118"/>
      <c r="B6" s="118"/>
      <c r="C6" s="118"/>
      <c r="D6" s="118"/>
      <c r="E6" s="118"/>
      <c r="F6" s="118"/>
      <c r="G6" s="185"/>
      <c r="H6" s="185"/>
      <c r="K6" s="194"/>
      <c r="L6" t="s">
        <v>160</v>
      </c>
    </row>
    <row r="7" spans="1:12" ht="15.6">
      <c r="B7" s="425" t="s">
        <v>161</v>
      </c>
      <c r="C7" s="426"/>
      <c r="D7" s="426"/>
      <c r="E7" s="426"/>
      <c r="F7" s="426"/>
      <c r="G7" s="426"/>
      <c r="H7" s="427"/>
      <c r="K7" s="141"/>
      <c r="L7" t="s">
        <v>162</v>
      </c>
    </row>
    <row r="8" spans="1:12">
      <c r="B8" s="234">
        <v>45992</v>
      </c>
      <c r="C8" s="235">
        <v>45993</v>
      </c>
      <c r="D8" s="235">
        <v>45994</v>
      </c>
      <c r="E8" s="239">
        <v>45995</v>
      </c>
      <c r="F8" s="231">
        <v>45996</v>
      </c>
      <c r="G8" s="237">
        <v>45997</v>
      </c>
      <c r="H8" s="238">
        <v>45998</v>
      </c>
      <c r="K8" s="195"/>
      <c r="L8" t="s">
        <v>163</v>
      </c>
    </row>
    <row r="9" spans="1:12">
      <c r="A9" s="118"/>
      <c r="B9" s="246">
        <v>45999</v>
      </c>
      <c r="C9" s="235">
        <v>46000</v>
      </c>
      <c r="D9" s="235">
        <v>46001</v>
      </c>
      <c r="E9" s="235">
        <v>46002</v>
      </c>
      <c r="F9" s="236">
        <v>46003</v>
      </c>
      <c r="G9" s="237">
        <v>46004</v>
      </c>
      <c r="H9" s="238">
        <v>46005</v>
      </c>
      <c r="K9" s="196"/>
      <c r="L9" t="s">
        <v>164</v>
      </c>
    </row>
    <row r="10" spans="1:12">
      <c r="A10" s="118"/>
      <c r="B10" s="234">
        <v>46006</v>
      </c>
      <c r="C10" s="235">
        <v>46007</v>
      </c>
      <c r="D10" s="235">
        <v>46008</v>
      </c>
      <c r="E10" s="239">
        <v>46009</v>
      </c>
      <c r="F10" s="231">
        <v>46010</v>
      </c>
      <c r="G10" s="237">
        <v>46011</v>
      </c>
      <c r="H10" s="238">
        <v>46012</v>
      </c>
    </row>
    <row r="11" spans="1:12">
      <c r="A11" s="118"/>
      <c r="B11" s="234">
        <v>46013</v>
      </c>
      <c r="C11" s="235">
        <v>46014</v>
      </c>
      <c r="D11" s="235">
        <v>46015</v>
      </c>
      <c r="E11" s="235">
        <v>46016</v>
      </c>
      <c r="F11" s="236">
        <v>46017</v>
      </c>
      <c r="G11" s="237">
        <v>46018</v>
      </c>
      <c r="H11" s="238">
        <v>46019</v>
      </c>
      <c r="L11" t="s">
        <v>165</v>
      </c>
    </row>
    <row r="12" spans="1:12" ht="15" thickBot="1">
      <c r="A12" s="118"/>
      <c r="B12" s="240">
        <v>46020</v>
      </c>
      <c r="C12" s="241">
        <v>46021</v>
      </c>
      <c r="D12" s="242">
        <v>46022</v>
      </c>
      <c r="E12" s="241"/>
      <c r="F12" s="241"/>
      <c r="G12" s="244"/>
      <c r="H12" s="245"/>
    </row>
    <row r="13" spans="1:12" ht="18.600000000000001" thickBot="1">
      <c r="B13" s="432">
        <v>2026</v>
      </c>
      <c r="C13" s="432"/>
      <c r="D13" s="432"/>
      <c r="E13" s="432"/>
      <c r="F13" s="432"/>
      <c r="G13" s="432"/>
      <c r="H13" s="432"/>
    </row>
    <row r="14" spans="1:12" ht="15.6">
      <c r="B14" s="425" t="s">
        <v>166</v>
      </c>
      <c r="C14" s="426"/>
      <c r="D14" s="426"/>
      <c r="E14" s="426"/>
      <c r="F14" s="426"/>
      <c r="G14" s="426"/>
      <c r="H14" s="427"/>
    </row>
    <row r="15" spans="1:12">
      <c r="B15" s="228"/>
      <c r="C15" s="229"/>
      <c r="D15" s="229"/>
      <c r="E15" s="230">
        <v>46023</v>
      </c>
      <c r="F15" s="231">
        <v>46024</v>
      </c>
      <c r="G15" s="232"/>
      <c r="H15" s="233"/>
    </row>
    <row r="16" spans="1:12">
      <c r="A16" s="183"/>
      <c r="B16" s="234">
        <v>46027</v>
      </c>
      <c r="C16" s="235">
        <v>46028</v>
      </c>
      <c r="D16" s="235">
        <v>46029</v>
      </c>
      <c r="E16" s="235">
        <v>46030</v>
      </c>
      <c r="F16" s="236">
        <v>46031</v>
      </c>
      <c r="G16" s="237">
        <v>46032</v>
      </c>
      <c r="H16" s="238">
        <v>46033</v>
      </c>
    </row>
    <row r="17" spans="1:8">
      <c r="A17" s="183"/>
      <c r="B17" s="234">
        <v>46034</v>
      </c>
      <c r="C17" s="235">
        <v>46035</v>
      </c>
      <c r="D17" s="235">
        <v>46036</v>
      </c>
      <c r="E17" s="239">
        <v>46037</v>
      </c>
      <c r="F17" s="231">
        <v>46038</v>
      </c>
      <c r="G17" s="237">
        <v>46039</v>
      </c>
      <c r="H17" s="238">
        <v>46040</v>
      </c>
    </row>
    <row r="18" spans="1:8">
      <c r="A18" s="183"/>
      <c r="B18" s="234">
        <v>46041</v>
      </c>
      <c r="C18" s="235">
        <v>46042</v>
      </c>
      <c r="D18" s="235">
        <v>46043</v>
      </c>
      <c r="E18" s="235">
        <v>46044</v>
      </c>
      <c r="F18" s="236">
        <v>46045</v>
      </c>
      <c r="G18" s="237">
        <v>46046</v>
      </c>
      <c r="H18" s="238">
        <v>46047</v>
      </c>
    </row>
    <row r="19" spans="1:8" ht="15" thickBot="1">
      <c r="A19" s="183"/>
      <c r="B19" s="240">
        <v>46048</v>
      </c>
      <c r="C19" s="241">
        <v>46049</v>
      </c>
      <c r="D19" s="241">
        <v>46050</v>
      </c>
      <c r="E19" s="242">
        <v>46051</v>
      </c>
      <c r="F19" s="243">
        <v>46052</v>
      </c>
      <c r="G19" s="244">
        <v>46053</v>
      </c>
      <c r="H19" s="245"/>
    </row>
    <row r="20" spans="1:8" ht="15.6">
      <c r="B20" s="425" t="s">
        <v>167</v>
      </c>
      <c r="C20" s="426"/>
      <c r="D20" s="426"/>
      <c r="E20" s="426"/>
      <c r="F20" s="426"/>
      <c r="G20" s="426"/>
      <c r="H20" s="427"/>
    </row>
    <row r="21" spans="1:8">
      <c r="B21" s="228"/>
      <c r="C21" s="229"/>
      <c r="D21" s="229"/>
      <c r="E21" s="229"/>
      <c r="F21" s="229"/>
      <c r="G21" s="232"/>
      <c r="H21" s="238">
        <v>46054</v>
      </c>
    </row>
    <row r="22" spans="1:8">
      <c r="A22" s="275"/>
      <c r="B22" s="234">
        <v>46055</v>
      </c>
      <c r="C22" s="235">
        <v>46056</v>
      </c>
      <c r="D22" s="235">
        <v>46057</v>
      </c>
      <c r="E22" s="235">
        <v>46058</v>
      </c>
      <c r="F22" s="236">
        <v>46059</v>
      </c>
      <c r="G22" s="237">
        <v>46060</v>
      </c>
      <c r="H22" s="238">
        <v>46061</v>
      </c>
    </row>
    <row r="23" spans="1:8">
      <c r="A23" s="183"/>
      <c r="B23" s="234">
        <v>46062</v>
      </c>
      <c r="C23" s="235">
        <v>46063</v>
      </c>
      <c r="D23" s="235">
        <v>46064</v>
      </c>
      <c r="E23" s="239">
        <v>46065</v>
      </c>
      <c r="F23" s="231">
        <v>46066</v>
      </c>
      <c r="G23" s="237">
        <v>46067</v>
      </c>
      <c r="H23" s="238">
        <v>46068</v>
      </c>
    </row>
    <row r="24" spans="1:8">
      <c r="A24" s="183"/>
      <c r="B24" s="246">
        <v>46069</v>
      </c>
      <c r="C24" s="230">
        <v>46070</v>
      </c>
      <c r="D24" s="235">
        <v>46071</v>
      </c>
      <c r="E24" s="235">
        <v>46072</v>
      </c>
      <c r="F24" s="236">
        <v>46073</v>
      </c>
      <c r="G24" s="237">
        <v>46074</v>
      </c>
      <c r="H24" s="238">
        <v>46075</v>
      </c>
    </row>
    <row r="25" spans="1:8" ht="15" thickBot="1">
      <c r="A25" s="183"/>
      <c r="B25" s="240">
        <v>46076</v>
      </c>
      <c r="C25" s="241">
        <v>46077</v>
      </c>
      <c r="D25" s="241">
        <v>46078</v>
      </c>
      <c r="E25" s="242">
        <v>46079</v>
      </c>
      <c r="F25" s="243">
        <v>46080</v>
      </c>
      <c r="G25" s="244">
        <v>46081</v>
      </c>
      <c r="H25" s="245">
        <v>46082</v>
      </c>
    </row>
    <row r="26" spans="1:8" ht="15.6">
      <c r="B26" s="425" t="s">
        <v>168</v>
      </c>
      <c r="C26" s="426"/>
      <c r="D26" s="426"/>
      <c r="E26" s="426"/>
      <c r="F26" s="426"/>
      <c r="G26" s="426"/>
      <c r="H26" s="427"/>
    </row>
    <row r="27" spans="1:8">
      <c r="B27" s="228"/>
      <c r="C27" s="229"/>
      <c r="D27" s="229"/>
      <c r="E27" s="229"/>
      <c r="F27" s="229"/>
      <c r="G27" s="232"/>
      <c r="H27" s="238">
        <v>46082</v>
      </c>
    </row>
    <row r="28" spans="1:8">
      <c r="A28" s="275"/>
      <c r="B28" s="234">
        <v>46083</v>
      </c>
      <c r="C28" s="235">
        <v>46084</v>
      </c>
      <c r="D28" s="235">
        <v>46085</v>
      </c>
      <c r="E28" s="235">
        <v>46086</v>
      </c>
      <c r="F28" s="236">
        <v>46087</v>
      </c>
      <c r="G28" s="237">
        <v>46088</v>
      </c>
      <c r="H28" s="238">
        <v>46089</v>
      </c>
    </row>
    <row r="29" spans="1:8">
      <c r="A29" s="275"/>
      <c r="B29" s="234">
        <v>46090</v>
      </c>
      <c r="C29" s="235">
        <v>46091</v>
      </c>
      <c r="D29" s="235">
        <v>46092</v>
      </c>
      <c r="E29" s="239">
        <v>46093</v>
      </c>
      <c r="F29" s="231">
        <v>46094</v>
      </c>
      <c r="G29" s="237">
        <v>46095</v>
      </c>
      <c r="H29" s="238">
        <v>46096</v>
      </c>
    </row>
    <row r="30" spans="1:8">
      <c r="A30" s="275"/>
      <c r="B30" s="234">
        <v>46097</v>
      </c>
      <c r="C30" s="235">
        <v>46098</v>
      </c>
      <c r="D30" s="235">
        <v>46099</v>
      </c>
      <c r="E30" s="235">
        <v>46100</v>
      </c>
      <c r="F30" s="236">
        <v>46101</v>
      </c>
      <c r="G30" s="237">
        <v>46102</v>
      </c>
      <c r="H30" s="238">
        <v>46103</v>
      </c>
    </row>
    <row r="31" spans="1:8">
      <c r="A31" s="275"/>
      <c r="B31" s="234">
        <v>46104</v>
      </c>
      <c r="C31" s="230">
        <v>46105</v>
      </c>
      <c r="D31" s="235">
        <v>46106</v>
      </c>
      <c r="E31" s="239">
        <v>46107</v>
      </c>
      <c r="F31" s="231">
        <v>46108</v>
      </c>
      <c r="G31" s="237">
        <v>46109</v>
      </c>
      <c r="H31" s="238">
        <v>46110</v>
      </c>
    </row>
    <row r="32" spans="1:8" ht="15" thickBot="1">
      <c r="A32" s="118"/>
      <c r="B32" s="240">
        <v>46111</v>
      </c>
      <c r="C32" s="241">
        <v>46112</v>
      </c>
      <c r="D32" s="241"/>
      <c r="E32" s="241"/>
      <c r="F32" s="241"/>
      <c r="G32" s="244"/>
      <c r="H32" s="245"/>
    </row>
    <row r="33" spans="1:8" ht="15.6">
      <c r="B33" s="425" t="s">
        <v>169</v>
      </c>
      <c r="C33" s="426"/>
      <c r="D33" s="426"/>
      <c r="E33" s="426"/>
      <c r="F33" s="426"/>
      <c r="G33" s="426"/>
      <c r="H33" s="427"/>
    </row>
    <row r="34" spans="1:8">
      <c r="A34" s="275"/>
      <c r="B34" s="154"/>
      <c r="C34" s="15"/>
      <c r="D34" s="235">
        <v>46113</v>
      </c>
      <c r="E34" s="230">
        <v>46114</v>
      </c>
      <c r="F34" s="230">
        <v>46115</v>
      </c>
      <c r="G34" s="237">
        <v>46116</v>
      </c>
      <c r="H34" s="238">
        <v>46117</v>
      </c>
    </row>
    <row r="35" spans="1:8">
      <c r="A35" s="275"/>
      <c r="B35" s="234">
        <v>46118</v>
      </c>
      <c r="C35" s="235">
        <v>46119</v>
      </c>
      <c r="D35" s="235">
        <v>46120</v>
      </c>
      <c r="E35" s="239">
        <v>46121</v>
      </c>
      <c r="F35" s="231">
        <v>46122</v>
      </c>
      <c r="G35" s="237">
        <v>46123</v>
      </c>
      <c r="H35" s="238">
        <v>46124</v>
      </c>
    </row>
    <row r="36" spans="1:8">
      <c r="A36" s="275"/>
      <c r="B36" s="234">
        <v>46125</v>
      </c>
      <c r="C36" s="235">
        <v>46126</v>
      </c>
      <c r="D36" s="235">
        <v>46127</v>
      </c>
      <c r="E36" s="235">
        <v>46128</v>
      </c>
      <c r="F36" s="236">
        <v>46129</v>
      </c>
      <c r="G36" s="237">
        <v>46130</v>
      </c>
      <c r="H36" s="238">
        <v>46131</v>
      </c>
    </row>
    <row r="37" spans="1:8">
      <c r="A37" s="275"/>
      <c r="B37" s="234">
        <v>46132</v>
      </c>
      <c r="C37" s="235">
        <v>46133</v>
      </c>
      <c r="D37" s="235">
        <v>46134</v>
      </c>
      <c r="E37" s="239">
        <v>46135</v>
      </c>
      <c r="F37" s="231">
        <v>46136</v>
      </c>
      <c r="G37" s="237">
        <v>46137</v>
      </c>
      <c r="H37" s="238">
        <v>46138</v>
      </c>
    </row>
    <row r="38" spans="1:8" ht="15" thickBot="1">
      <c r="A38" s="275"/>
      <c r="B38" s="240">
        <v>46139</v>
      </c>
      <c r="C38" s="241">
        <v>46140</v>
      </c>
      <c r="D38" s="241">
        <v>46141</v>
      </c>
      <c r="E38" s="247">
        <v>46142</v>
      </c>
      <c r="F38" s="241"/>
      <c r="G38" s="244"/>
      <c r="H38" s="248"/>
    </row>
    <row r="39" spans="1:8" ht="15.6">
      <c r="B39" s="425" t="s">
        <v>170</v>
      </c>
      <c r="C39" s="426"/>
      <c r="D39" s="426"/>
      <c r="E39" s="426"/>
      <c r="F39" s="426"/>
      <c r="G39" s="426"/>
      <c r="H39" s="427"/>
    </row>
    <row r="40" spans="1:8">
      <c r="A40" s="275"/>
      <c r="B40" s="154"/>
      <c r="C40" s="15"/>
      <c r="D40" s="235"/>
      <c r="E40" s="235"/>
      <c r="F40" s="230">
        <v>46143</v>
      </c>
      <c r="G40" s="237">
        <v>46144</v>
      </c>
      <c r="H40" s="238">
        <v>46145</v>
      </c>
    </row>
    <row r="41" spans="1:8">
      <c r="A41" s="275"/>
      <c r="B41" s="234">
        <v>46146</v>
      </c>
      <c r="C41" s="235">
        <v>46147</v>
      </c>
      <c r="D41" s="235">
        <v>46148</v>
      </c>
      <c r="E41" s="239">
        <v>46149</v>
      </c>
      <c r="F41" s="231">
        <v>46150</v>
      </c>
      <c r="G41" s="237">
        <v>46151</v>
      </c>
      <c r="H41" s="238">
        <v>46152</v>
      </c>
    </row>
    <row r="42" spans="1:8">
      <c r="A42" s="275"/>
      <c r="B42" s="234">
        <v>46153</v>
      </c>
      <c r="C42" s="235">
        <v>46154</v>
      </c>
      <c r="D42" s="235">
        <v>46155</v>
      </c>
      <c r="E42" s="235">
        <v>46156</v>
      </c>
      <c r="F42" s="236">
        <v>46157</v>
      </c>
      <c r="G42" s="237">
        <v>46158</v>
      </c>
      <c r="H42" s="238">
        <v>46159</v>
      </c>
    </row>
    <row r="43" spans="1:8">
      <c r="A43" s="275"/>
      <c r="B43" s="234">
        <v>46160</v>
      </c>
      <c r="C43" s="235">
        <v>46161</v>
      </c>
      <c r="D43" s="235">
        <v>46162</v>
      </c>
      <c r="E43" s="239">
        <v>46163</v>
      </c>
      <c r="F43" s="231">
        <v>46164</v>
      </c>
      <c r="G43" s="237">
        <v>46165</v>
      </c>
      <c r="H43" s="238">
        <v>46166</v>
      </c>
    </row>
    <row r="44" spans="1:8" ht="15" thickBot="1">
      <c r="A44" s="275"/>
      <c r="B44" s="249">
        <v>46167</v>
      </c>
      <c r="C44" s="241">
        <v>46168</v>
      </c>
      <c r="D44" s="241">
        <v>46169</v>
      </c>
      <c r="E44" s="241">
        <v>46170</v>
      </c>
      <c r="F44" s="247">
        <v>46171</v>
      </c>
      <c r="G44" s="244">
        <v>46172</v>
      </c>
      <c r="H44" s="245">
        <v>46173</v>
      </c>
    </row>
    <row r="45" spans="1:8" ht="15.6">
      <c r="B45" s="425" t="s">
        <v>171</v>
      </c>
      <c r="C45" s="426"/>
      <c r="D45" s="426"/>
      <c r="E45" s="426"/>
      <c r="F45" s="426"/>
      <c r="G45" s="426"/>
      <c r="H45" s="427"/>
    </row>
    <row r="46" spans="1:8">
      <c r="A46" s="275"/>
      <c r="B46" s="234">
        <v>46174</v>
      </c>
      <c r="C46" s="235">
        <v>46175</v>
      </c>
      <c r="D46" s="235">
        <v>46176</v>
      </c>
      <c r="E46" s="239">
        <v>46177</v>
      </c>
      <c r="F46" s="231">
        <v>46178</v>
      </c>
      <c r="G46" s="237">
        <v>46179</v>
      </c>
      <c r="H46" s="238">
        <v>46180</v>
      </c>
    </row>
    <row r="47" spans="1:8">
      <c r="A47" s="275"/>
      <c r="B47" s="234">
        <v>46181</v>
      </c>
      <c r="C47" s="235">
        <v>46182</v>
      </c>
      <c r="D47" s="235">
        <v>46183</v>
      </c>
      <c r="E47" s="235">
        <v>46184</v>
      </c>
      <c r="F47" s="236">
        <v>46185</v>
      </c>
      <c r="G47" s="237">
        <v>46186</v>
      </c>
      <c r="H47" s="238">
        <v>46187</v>
      </c>
    </row>
    <row r="48" spans="1:8">
      <c r="A48" s="275"/>
      <c r="B48" s="234">
        <v>46188</v>
      </c>
      <c r="C48" s="235">
        <v>46189</v>
      </c>
      <c r="D48" s="235">
        <v>46190</v>
      </c>
      <c r="E48" s="239">
        <v>46191</v>
      </c>
      <c r="F48" s="231">
        <v>46192</v>
      </c>
      <c r="G48" s="237">
        <v>46193</v>
      </c>
      <c r="H48" s="238">
        <v>46194</v>
      </c>
    </row>
    <row r="49" spans="1:8">
      <c r="A49" s="275"/>
      <c r="B49" s="234">
        <v>46195</v>
      </c>
      <c r="C49" s="235">
        <v>46196</v>
      </c>
      <c r="D49" s="235">
        <v>46197</v>
      </c>
      <c r="E49" s="235">
        <v>46198</v>
      </c>
      <c r="F49" s="236">
        <v>46199</v>
      </c>
      <c r="G49" s="237">
        <v>46200</v>
      </c>
      <c r="H49" s="238">
        <v>46201</v>
      </c>
    </row>
    <row r="50" spans="1:8" ht="15" thickBot="1">
      <c r="A50" s="275"/>
      <c r="B50" s="240">
        <v>46202</v>
      </c>
      <c r="C50" s="241">
        <v>46203</v>
      </c>
      <c r="D50" s="241"/>
      <c r="E50" s="241"/>
      <c r="F50" s="241"/>
      <c r="G50" s="244"/>
      <c r="H50" s="245"/>
    </row>
    <row r="51" spans="1:8" ht="15.6">
      <c r="B51" s="428" t="s">
        <v>172</v>
      </c>
      <c r="C51" s="429"/>
      <c r="D51" s="429"/>
      <c r="E51" s="429"/>
      <c r="F51" s="429"/>
      <c r="G51" s="429"/>
      <c r="H51" s="430"/>
    </row>
    <row r="52" spans="1:8">
      <c r="A52" s="275"/>
      <c r="B52" s="154"/>
      <c r="C52" s="235"/>
      <c r="D52" s="235">
        <v>46204</v>
      </c>
      <c r="E52" s="239">
        <v>46205</v>
      </c>
      <c r="F52" s="231">
        <v>46206</v>
      </c>
      <c r="G52" s="237">
        <v>46207</v>
      </c>
      <c r="H52" s="238">
        <v>46208</v>
      </c>
    </row>
    <row r="53" spans="1:8">
      <c r="A53" s="275"/>
      <c r="B53" s="234">
        <v>46209</v>
      </c>
      <c r="C53" s="235">
        <v>46210</v>
      </c>
      <c r="D53" s="235">
        <v>46211</v>
      </c>
      <c r="E53" s="235">
        <v>46212</v>
      </c>
      <c r="F53" s="236">
        <v>46213</v>
      </c>
      <c r="G53" s="237">
        <v>46214</v>
      </c>
      <c r="H53" s="238">
        <v>46215</v>
      </c>
    </row>
    <row r="54" spans="1:8">
      <c r="A54" s="275"/>
      <c r="B54" s="234">
        <v>46216</v>
      </c>
      <c r="C54" s="235">
        <v>46217</v>
      </c>
      <c r="D54" s="235">
        <v>46218</v>
      </c>
      <c r="E54" s="239">
        <v>46219</v>
      </c>
      <c r="F54" s="231">
        <v>46220</v>
      </c>
      <c r="G54" s="237">
        <v>46221</v>
      </c>
      <c r="H54" s="238">
        <v>46222</v>
      </c>
    </row>
    <row r="55" spans="1:8">
      <c r="A55" s="275"/>
      <c r="B55" s="234">
        <v>46223</v>
      </c>
      <c r="C55" s="235">
        <v>46224</v>
      </c>
      <c r="D55" s="235">
        <v>46225</v>
      </c>
      <c r="E55" s="235">
        <v>46226</v>
      </c>
      <c r="F55" s="236">
        <v>46227</v>
      </c>
      <c r="G55" s="237">
        <v>46228</v>
      </c>
      <c r="H55" s="238">
        <v>46229</v>
      </c>
    </row>
    <row r="56" spans="1:8" ht="15" thickBot="1">
      <c r="A56" s="275"/>
      <c r="B56" s="234">
        <v>46230</v>
      </c>
      <c r="C56" s="235">
        <v>46231</v>
      </c>
      <c r="D56" s="235">
        <v>46232</v>
      </c>
      <c r="E56" s="239">
        <v>46233</v>
      </c>
      <c r="F56" s="231">
        <v>46234</v>
      </c>
      <c r="G56" s="244"/>
      <c r="H56" s="245"/>
    </row>
    <row r="57" spans="1:8" ht="15.6">
      <c r="B57" s="425" t="s">
        <v>173</v>
      </c>
      <c r="C57" s="426"/>
      <c r="D57" s="426"/>
      <c r="E57" s="426"/>
      <c r="F57" s="426"/>
      <c r="G57" s="426"/>
      <c r="H57" s="427"/>
    </row>
    <row r="58" spans="1:8">
      <c r="A58" s="275"/>
      <c r="B58" s="154"/>
      <c r="C58" s="15"/>
      <c r="D58" s="235"/>
      <c r="E58" s="235"/>
      <c r="F58" s="235"/>
      <c r="G58" s="237">
        <v>46235</v>
      </c>
      <c r="H58" s="238">
        <v>46236</v>
      </c>
    </row>
    <row r="59" spans="1:8">
      <c r="A59" s="275"/>
      <c r="B59" s="234">
        <v>46237</v>
      </c>
      <c r="C59" s="235">
        <v>46238</v>
      </c>
      <c r="D59" s="235">
        <v>46239</v>
      </c>
      <c r="E59" s="235">
        <v>46240</v>
      </c>
      <c r="F59" s="236">
        <v>46241</v>
      </c>
      <c r="G59" s="237">
        <v>46242</v>
      </c>
      <c r="H59" s="238">
        <v>46243</v>
      </c>
    </row>
    <row r="60" spans="1:8">
      <c r="A60" s="275"/>
      <c r="B60" s="234">
        <v>46244</v>
      </c>
      <c r="C60" s="235">
        <v>46245</v>
      </c>
      <c r="D60" s="235">
        <v>46246</v>
      </c>
      <c r="E60" s="239">
        <v>46247</v>
      </c>
      <c r="F60" s="231">
        <v>46248</v>
      </c>
      <c r="G60" s="237">
        <v>46249</v>
      </c>
      <c r="H60" s="238">
        <v>46250</v>
      </c>
    </row>
    <row r="61" spans="1:8">
      <c r="A61" s="275"/>
      <c r="B61" s="234">
        <v>46251</v>
      </c>
      <c r="C61" s="235">
        <v>46252</v>
      </c>
      <c r="D61" s="235">
        <v>46253</v>
      </c>
      <c r="E61" s="235">
        <v>46254</v>
      </c>
      <c r="F61" s="236">
        <v>46255</v>
      </c>
      <c r="G61" s="237">
        <v>46256</v>
      </c>
      <c r="H61" s="238">
        <v>46257</v>
      </c>
    </row>
    <row r="62" spans="1:8">
      <c r="A62" s="275"/>
      <c r="B62" s="234">
        <v>46258</v>
      </c>
      <c r="C62" s="235">
        <v>46259</v>
      </c>
      <c r="D62" s="235">
        <v>46260</v>
      </c>
      <c r="E62" s="239">
        <v>46261</v>
      </c>
      <c r="F62" s="231">
        <v>46262</v>
      </c>
      <c r="G62" s="237">
        <v>46263</v>
      </c>
      <c r="H62" s="238">
        <v>46264</v>
      </c>
    </row>
    <row r="63" spans="1:8" ht="15" thickBot="1">
      <c r="A63" s="235"/>
      <c r="B63" s="234">
        <v>46265</v>
      </c>
      <c r="C63" s="235"/>
      <c r="D63" s="15"/>
      <c r="E63" s="15"/>
      <c r="F63" s="15"/>
      <c r="G63" s="232"/>
      <c r="H63" s="233"/>
    </row>
    <row r="64" spans="1:8" ht="15.6">
      <c r="B64" s="425" t="s">
        <v>174</v>
      </c>
      <c r="C64" s="426"/>
      <c r="D64" s="426"/>
      <c r="E64" s="426"/>
      <c r="F64" s="426"/>
      <c r="G64" s="426"/>
      <c r="H64" s="427"/>
    </row>
    <row r="65" spans="1:8">
      <c r="B65" s="154"/>
      <c r="C65" s="15"/>
      <c r="D65" s="235"/>
      <c r="E65" s="235"/>
      <c r="F65" s="235"/>
      <c r="G65" s="237"/>
      <c r="H65" s="238"/>
    </row>
    <row r="66" spans="1:8">
      <c r="B66" s="234">
        <v>46265</v>
      </c>
      <c r="C66" s="235">
        <v>46266</v>
      </c>
      <c r="D66" s="235">
        <v>46267</v>
      </c>
      <c r="E66" s="235">
        <v>46268</v>
      </c>
      <c r="F66" s="236">
        <v>46269</v>
      </c>
      <c r="G66" s="237">
        <v>46270</v>
      </c>
      <c r="H66" s="238">
        <v>46271</v>
      </c>
    </row>
    <row r="67" spans="1:8">
      <c r="A67" s="235"/>
      <c r="B67" s="234">
        <v>46272</v>
      </c>
      <c r="C67" s="235">
        <v>46273</v>
      </c>
      <c r="D67" s="235">
        <v>46274</v>
      </c>
      <c r="E67" s="239">
        <v>46275</v>
      </c>
      <c r="F67" s="231">
        <v>46276</v>
      </c>
      <c r="G67" s="237">
        <v>46277</v>
      </c>
      <c r="H67" s="238">
        <v>46278</v>
      </c>
    </row>
    <row r="68" spans="1:8">
      <c r="A68" s="235"/>
      <c r="B68" s="234">
        <v>46279</v>
      </c>
      <c r="C68" s="235">
        <v>46280</v>
      </c>
      <c r="D68" s="235">
        <v>46281</v>
      </c>
      <c r="E68" s="235">
        <v>46282</v>
      </c>
      <c r="F68" s="236">
        <v>46283</v>
      </c>
      <c r="G68" s="237">
        <v>46284</v>
      </c>
      <c r="H68" s="238">
        <v>46285</v>
      </c>
    </row>
    <row r="69" spans="1:8">
      <c r="A69" s="235"/>
      <c r="B69" s="234">
        <v>46286</v>
      </c>
      <c r="C69" s="235">
        <v>46287</v>
      </c>
      <c r="D69" s="235">
        <v>46288</v>
      </c>
      <c r="E69" s="239">
        <v>46289</v>
      </c>
      <c r="F69" s="231">
        <v>46290</v>
      </c>
      <c r="G69" s="237">
        <v>46291</v>
      </c>
      <c r="H69" s="238">
        <v>46292</v>
      </c>
    </row>
    <row r="70" spans="1:8" ht="15" thickBot="1">
      <c r="A70" s="235"/>
      <c r="B70" s="234">
        <v>46293</v>
      </c>
      <c r="C70" s="235">
        <v>46294</v>
      </c>
      <c r="D70" s="235">
        <v>46295</v>
      </c>
      <c r="E70" s="15"/>
      <c r="F70" s="15"/>
      <c r="G70" s="232"/>
      <c r="H70" s="233"/>
    </row>
    <row r="71" spans="1:8" ht="15.6">
      <c r="B71" s="425" t="s">
        <v>175</v>
      </c>
      <c r="C71" s="426"/>
      <c r="D71" s="426"/>
      <c r="E71" s="426"/>
      <c r="F71" s="426"/>
      <c r="G71" s="426"/>
      <c r="H71" s="427"/>
    </row>
    <row r="72" spans="1:8">
      <c r="B72" s="154"/>
      <c r="C72" s="15"/>
      <c r="D72" s="235"/>
      <c r="E72" s="235"/>
      <c r="F72" s="235"/>
      <c r="G72" s="237"/>
      <c r="H72" s="238"/>
    </row>
    <row r="73" spans="1:8">
      <c r="A73" s="235"/>
      <c r="B73" s="234"/>
      <c r="C73" s="235"/>
      <c r="D73" s="235"/>
      <c r="E73" s="235">
        <v>46296</v>
      </c>
      <c r="F73" s="236">
        <v>46297</v>
      </c>
      <c r="G73" s="237">
        <v>46298</v>
      </c>
      <c r="H73" s="238">
        <v>46299</v>
      </c>
    </row>
    <row r="74" spans="1:8">
      <c r="A74" s="235"/>
      <c r="B74" s="234">
        <v>46303</v>
      </c>
      <c r="C74" s="235">
        <v>46304</v>
      </c>
      <c r="D74" s="235">
        <v>46305</v>
      </c>
      <c r="E74" s="239">
        <v>46306</v>
      </c>
      <c r="F74" s="231">
        <v>46307</v>
      </c>
      <c r="G74" s="237">
        <v>46308</v>
      </c>
      <c r="H74" s="238">
        <v>46309</v>
      </c>
    </row>
    <row r="75" spans="1:8">
      <c r="A75" s="235"/>
      <c r="B75" s="234">
        <v>46310</v>
      </c>
      <c r="C75" s="235">
        <v>46311</v>
      </c>
      <c r="D75" s="235">
        <v>46312</v>
      </c>
      <c r="E75" s="235">
        <v>46313</v>
      </c>
      <c r="F75" s="236">
        <v>46314</v>
      </c>
      <c r="G75" s="237">
        <v>46315</v>
      </c>
      <c r="H75" s="238">
        <v>46316</v>
      </c>
    </row>
    <row r="76" spans="1:8">
      <c r="A76" s="235"/>
      <c r="B76" s="234">
        <v>46317</v>
      </c>
      <c r="C76" s="235">
        <v>46318</v>
      </c>
      <c r="D76" s="235">
        <v>46319</v>
      </c>
      <c r="E76" s="239">
        <v>46320</v>
      </c>
      <c r="F76" s="231">
        <v>46321</v>
      </c>
      <c r="G76" s="237">
        <v>46322</v>
      </c>
      <c r="H76" s="238">
        <v>46323</v>
      </c>
    </row>
    <row r="77" spans="1:8" ht="15" thickBot="1">
      <c r="A77" s="235"/>
      <c r="B77" s="240">
        <v>46324</v>
      </c>
      <c r="C77" s="241">
        <v>46325</v>
      </c>
      <c r="D77" s="241">
        <v>46326</v>
      </c>
      <c r="E77" s="412"/>
      <c r="F77" s="412"/>
      <c r="G77" s="413"/>
      <c r="H77" s="248"/>
    </row>
  </sheetData>
  <mergeCells count="13">
    <mergeCell ref="B3:H3"/>
    <mergeCell ref="B7:H7"/>
    <mergeCell ref="B13:H13"/>
    <mergeCell ref="B39:H39"/>
    <mergeCell ref="B33:H33"/>
    <mergeCell ref="B26:H26"/>
    <mergeCell ref="B20:H20"/>
    <mergeCell ref="B14:H14"/>
    <mergeCell ref="B64:H64"/>
    <mergeCell ref="B71:H71"/>
    <mergeCell ref="B45:H45"/>
    <mergeCell ref="B51:H51"/>
    <mergeCell ref="B57:H57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2696-A74C-4454-83B4-D17AAAE823E4}">
  <sheetPr>
    <tabColor rgb="FFFFC000"/>
  </sheetPr>
  <dimension ref="A1:Q101"/>
  <sheetViews>
    <sheetView topLeftCell="D1" zoomScale="85" zoomScaleNormal="85" workbookViewId="0">
      <selection activeCell="E47" sqref="E47"/>
    </sheetView>
  </sheetViews>
  <sheetFormatPr defaultColWidth="11.42578125" defaultRowHeight="14.45"/>
  <cols>
    <col min="2" max="2" width="11.42578125" bestFit="1" customWidth="1"/>
    <col min="3" max="3" width="17" customWidth="1"/>
    <col min="4" max="4" width="24" customWidth="1"/>
    <col min="5" max="5" width="49.42578125" customWidth="1"/>
    <col min="6" max="6" width="43.7109375" customWidth="1"/>
    <col min="7" max="7" width="18.42578125" customWidth="1"/>
    <col min="8" max="8" width="18" customWidth="1"/>
    <col min="9" max="9" width="16.42578125" customWidth="1"/>
    <col min="10" max="10" width="17.85546875" customWidth="1"/>
    <col min="11" max="12" width="16.42578125" customWidth="1"/>
    <col min="13" max="13" width="17.85546875" customWidth="1"/>
  </cols>
  <sheetData>
    <row r="1" spans="2:17" ht="15" thickBot="1">
      <c r="B1" s="6"/>
    </row>
    <row r="2" spans="2:17" ht="24" thickBot="1">
      <c r="B2" s="6"/>
      <c r="D2" s="420" t="s">
        <v>176</v>
      </c>
      <c r="E2" s="421"/>
      <c r="F2" s="421"/>
      <c r="G2" s="421"/>
      <c r="H2" s="422"/>
      <c r="I2" s="28"/>
    </row>
    <row r="3" spans="2:17" ht="18" customHeight="1">
      <c r="B3" s="6"/>
      <c r="D3" s="8" t="s">
        <v>177</v>
      </c>
      <c r="E3" s="36" t="s">
        <v>178</v>
      </c>
      <c r="F3" s="423"/>
      <c r="G3" s="424"/>
      <c r="H3" s="37"/>
      <c r="I3" s="15"/>
    </row>
    <row r="4" spans="2:17">
      <c r="B4" s="6"/>
      <c r="D4" s="9" t="s">
        <v>179</v>
      </c>
      <c r="E4" s="449"/>
      <c r="F4" s="450" t="s">
        <v>180</v>
      </c>
      <c r="G4" s="451"/>
      <c r="H4" s="35"/>
      <c r="I4" s="452"/>
    </row>
    <row r="5" spans="2:17">
      <c r="B5" s="6"/>
      <c r="D5" s="9"/>
      <c r="E5" s="1"/>
      <c r="F5" s="453"/>
      <c r="G5" s="454"/>
      <c r="H5" s="10"/>
      <c r="I5" s="15"/>
    </row>
    <row r="6" spans="2:17" ht="15" thickBot="1">
      <c r="B6" s="6"/>
      <c r="D6" s="11"/>
      <c r="E6" s="12"/>
      <c r="F6" s="455"/>
      <c r="G6" s="456"/>
      <c r="H6" s="13"/>
      <c r="I6" s="15"/>
    </row>
    <row r="7" spans="2:17">
      <c r="B7" s="6"/>
    </row>
    <row r="8" spans="2:17" ht="15" thickBot="1">
      <c r="B8" s="6"/>
    </row>
    <row r="9" spans="2:17" ht="34.5" customHeight="1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52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2:17" ht="21" customHeight="1">
      <c r="B10" s="152" t="str">
        <f t="shared" ref="B10:B58" si="0">+$E$3</f>
        <v>SG</v>
      </c>
      <c r="C10" s="24"/>
      <c r="D10" s="22"/>
      <c r="E10" s="33"/>
      <c r="F10" s="457"/>
      <c r="G10" s="22"/>
      <c r="H10" s="458"/>
      <c r="I10" s="43"/>
      <c r="J10" s="43"/>
      <c r="K10" s="34"/>
      <c r="L10" s="57"/>
      <c r="M10" s="283"/>
      <c r="N10" s="54"/>
      <c r="O10" s="41"/>
      <c r="P10" s="459"/>
      <c r="Q10" s="459"/>
    </row>
    <row r="11" spans="2:17" ht="21.6" customHeight="1">
      <c r="B11" s="152" t="str">
        <f t="shared" si="0"/>
        <v>SG</v>
      </c>
      <c r="C11" s="25"/>
      <c r="D11" s="29"/>
      <c r="E11" s="46"/>
      <c r="F11" s="460"/>
      <c r="G11" s="41"/>
      <c r="H11" s="461"/>
      <c r="I11" s="45"/>
      <c r="J11" s="45"/>
      <c r="K11" s="19"/>
      <c r="L11" s="2"/>
      <c r="M11" s="55"/>
      <c r="N11" s="55"/>
      <c r="O11" s="23"/>
      <c r="P11" s="49"/>
      <c r="Q11" s="49"/>
    </row>
    <row r="12" spans="2:17" ht="21" customHeight="1">
      <c r="B12" s="152" t="str">
        <f t="shared" si="0"/>
        <v>SG</v>
      </c>
      <c r="C12" s="25"/>
      <c r="D12" s="23"/>
      <c r="E12" s="29"/>
      <c r="F12" s="462"/>
      <c r="G12" s="23"/>
      <c r="H12" s="461"/>
      <c r="I12" s="44"/>
      <c r="J12" s="44"/>
      <c r="K12" s="19"/>
      <c r="L12" s="2"/>
      <c r="M12" s="55"/>
      <c r="N12" s="55"/>
      <c r="O12" s="23"/>
      <c r="P12" s="49"/>
      <c r="Q12" s="49"/>
    </row>
    <row r="13" spans="2:17" ht="25.35" customHeight="1">
      <c r="B13" s="152" t="str">
        <f t="shared" si="0"/>
        <v>SG</v>
      </c>
      <c r="C13" s="463">
        <v>45988</v>
      </c>
      <c r="D13" s="46" t="s">
        <v>196</v>
      </c>
      <c r="E13" s="60" t="s">
        <v>197</v>
      </c>
      <c r="F13" s="416" t="s">
        <v>198</v>
      </c>
      <c r="G13" s="42" t="s">
        <v>199</v>
      </c>
      <c r="H13" s="417" t="s">
        <v>200</v>
      </c>
      <c r="I13" s="48">
        <v>91470.24</v>
      </c>
      <c r="J13" s="148"/>
      <c r="K13" s="148" t="s">
        <v>201</v>
      </c>
      <c r="L13" s="150" t="s">
        <v>202</v>
      </c>
      <c r="M13" s="298"/>
      <c r="N13" s="55"/>
      <c r="O13" s="23"/>
      <c r="P13" s="49"/>
      <c r="Q13" s="49"/>
    </row>
    <row r="14" spans="2:17" ht="25.35" customHeight="1">
      <c r="B14" s="27" t="str">
        <f>+$E$3</f>
        <v>SG</v>
      </c>
      <c r="C14" s="463">
        <v>45989</v>
      </c>
      <c r="D14" s="46" t="s">
        <v>203</v>
      </c>
      <c r="E14" s="60" t="s">
        <v>197</v>
      </c>
      <c r="F14" s="416" t="s">
        <v>204</v>
      </c>
      <c r="G14" s="42" t="s">
        <v>199</v>
      </c>
      <c r="H14" s="417" t="s">
        <v>200</v>
      </c>
      <c r="I14" s="48">
        <v>58182.63</v>
      </c>
      <c r="J14" s="148"/>
      <c r="K14" s="148" t="s">
        <v>201</v>
      </c>
      <c r="L14" s="266" t="s">
        <v>202</v>
      </c>
      <c r="M14" s="284"/>
      <c r="N14" s="56"/>
      <c r="O14" s="23"/>
      <c r="P14" s="106"/>
      <c r="Q14" s="106"/>
    </row>
    <row r="15" spans="2:17" ht="24" customHeight="1">
      <c r="B15" s="152" t="str">
        <f t="shared" si="0"/>
        <v>SG</v>
      </c>
      <c r="C15" s="463">
        <v>45988</v>
      </c>
      <c r="D15" s="46" t="s">
        <v>205</v>
      </c>
      <c r="E15" s="60" t="s">
        <v>197</v>
      </c>
      <c r="F15" s="462" t="s">
        <v>206</v>
      </c>
      <c r="G15" s="41" t="s">
        <v>83</v>
      </c>
      <c r="H15" s="461" t="s">
        <v>207</v>
      </c>
      <c r="I15" s="44"/>
      <c r="J15" s="44"/>
      <c r="K15" s="107" t="s">
        <v>208</v>
      </c>
      <c r="L15" s="150" t="s">
        <v>209</v>
      </c>
      <c r="M15" s="298"/>
      <c r="N15" s="55"/>
      <c r="O15" s="23"/>
      <c r="P15" s="49"/>
      <c r="Q15" s="49"/>
    </row>
    <row r="16" spans="2:17" ht="25.35" customHeight="1">
      <c r="B16" s="152" t="str">
        <f t="shared" si="0"/>
        <v>SG</v>
      </c>
      <c r="C16" s="463">
        <v>45996</v>
      </c>
      <c r="D16" s="46" t="s">
        <v>210</v>
      </c>
      <c r="E16" s="60" t="s">
        <v>197</v>
      </c>
      <c r="F16" s="416" t="s">
        <v>211</v>
      </c>
      <c r="G16" s="42" t="s">
        <v>199</v>
      </c>
      <c r="H16" s="417" t="s">
        <v>200</v>
      </c>
      <c r="I16" s="48">
        <v>26266.89</v>
      </c>
      <c r="J16" s="148"/>
      <c r="K16" s="148" t="s">
        <v>201</v>
      </c>
      <c r="L16" s="150" t="s">
        <v>202</v>
      </c>
      <c r="M16" s="298"/>
      <c r="N16" s="55"/>
      <c r="O16" s="23"/>
      <c r="P16" s="49"/>
      <c r="Q16" s="49"/>
    </row>
    <row r="17" spans="1:17" ht="21" customHeight="1">
      <c r="B17" s="152" t="str">
        <f t="shared" si="0"/>
        <v>SG</v>
      </c>
      <c r="C17" s="25">
        <v>46001</v>
      </c>
      <c r="D17" s="191" t="s">
        <v>212</v>
      </c>
      <c r="E17" s="29"/>
      <c r="F17" s="462" t="s">
        <v>213</v>
      </c>
      <c r="G17" s="23" t="s">
        <v>76</v>
      </c>
      <c r="H17" s="464" t="s">
        <v>52</v>
      </c>
      <c r="I17" s="44">
        <v>57000</v>
      </c>
      <c r="J17" s="148"/>
      <c r="K17" s="148" t="s">
        <v>201</v>
      </c>
      <c r="L17" s="150" t="s">
        <v>209</v>
      </c>
      <c r="M17" s="298"/>
      <c r="N17" s="55"/>
      <c r="O17" s="23"/>
      <c r="P17" s="49"/>
      <c r="Q17" s="49"/>
    </row>
    <row r="18" spans="1:17" ht="23.45" customHeight="1">
      <c r="B18" s="152" t="str">
        <f t="shared" si="0"/>
        <v>SG</v>
      </c>
      <c r="C18" s="25">
        <v>46001</v>
      </c>
      <c r="D18" s="191" t="s">
        <v>212</v>
      </c>
      <c r="E18" s="46"/>
      <c r="F18" s="462" t="s">
        <v>214</v>
      </c>
      <c r="G18" s="23" t="s">
        <v>76</v>
      </c>
      <c r="H18" s="464" t="s">
        <v>52</v>
      </c>
      <c r="I18" s="44">
        <v>57000</v>
      </c>
      <c r="J18" s="148"/>
      <c r="K18" s="148" t="s">
        <v>201</v>
      </c>
      <c r="L18" s="150" t="s">
        <v>209</v>
      </c>
      <c r="M18" s="298"/>
      <c r="N18" s="55"/>
      <c r="O18" s="23"/>
      <c r="P18" s="49"/>
      <c r="Q18" s="49"/>
    </row>
    <row r="19" spans="1:17" ht="23.1" customHeight="1">
      <c r="B19" s="152" t="str">
        <f t="shared" si="0"/>
        <v>SG</v>
      </c>
      <c r="C19" s="25">
        <v>46006</v>
      </c>
      <c r="D19" s="191" t="s">
        <v>212</v>
      </c>
      <c r="E19" s="29"/>
      <c r="F19" s="462" t="s">
        <v>215</v>
      </c>
      <c r="G19" s="23" t="s">
        <v>14</v>
      </c>
      <c r="H19" s="464" t="s">
        <v>216</v>
      </c>
      <c r="I19" s="44">
        <v>60000</v>
      </c>
      <c r="J19" s="148"/>
      <c r="K19" s="148" t="s">
        <v>201</v>
      </c>
      <c r="L19" s="150" t="s">
        <v>209</v>
      </c>
      <c r="M19" s="298"/>
      <c r="N19" s="55"/>
      <c r="O19" s="23"/>
      <c r="P19" s="49"/>
      <c r="Q19" s="49"/>
    </row>
    <row r="20" spans="1:17" ht="23.45" customHeight="1">
      <c r="B20" s="152" t="str">
        <f t="shared" si="0"/>
        <v>SG</v>
      </c>
      <c r="C20" s="25">
        <v>46008</v>
      </c>
      <c r="D20" s="191" t="s">
        <v>212</v>
      </c>
      <c r="E20" s="29"/>
      <c r="F20" s="462" t="s">
        <v>217</v>
      </c>
      <c r="G20" s="23" t="s">
        <v>76</v>
      </c>
      <c r="H20" s="464" t="s">
        <v>52</v>
      </c>
      <c r="I20" s="44">
        <v>72000</v>
      </c>
      <c r="J20" s="148"/>
      <c r="K20" s="148" t="s">
        <v>201</v>
      </c>
      <c r="L20" s="150" t="s">
        <v>209</v>
      </c>
      <c r="M20" s="298"/>
      <c r="N20" s="55"/>
      <c r="O20" s="23"/>
      <c r="P20" s="49"/>
      <c r="Q20" s="49"/>
    </row>
    <row r="21" spans="1:17" s="138" customFormat="1" ht="28.9">
      <c r="A21" s="168" t="s">
        <v>218</v>
      </c>
      <c r="B21" s="170"/>
      <c r="C21" s="171">
        <v>46022</v>
      </c>
      <c r="D21" s="130"/>
      <c r="E21" s="130"/>
      <c r="F21" s="465"/>
      <c r="G21" s="131"/>
      <c r="H21" s="465"/>
      <c r="I21" s="132"/>
      <c r="J21" s="132"/>
      <c r="K21" s="133"/>
      <c r="L21" s="134"/>
      <c r="M21" s="285"/>
      <c r="N21" s="135"/>
      <c r="O21" s="136"/>
      <c r="P21" s="137"/>
      <c r="Q21" s="137"/>
    </row>
    <row r="22" spans="1:17" s="138" customFormat="1" ht="26.45" customHeight="1">
      <c r="A22" s="221"/>
      <c r="B22" s="222" t="str">
        <f>+$E$3</f>
        <v>SG</v>
      </c>
      <c r="C22" s="27">
        <v>46028</v>
      </c>
      <c r="D22" s="219" t="s">
        <v>219</v>
      </c>
      <c r="E22" s="29" t="s">
        <v>197</v>
      </c>
      <c r="F22" s="419" t="s">
        <v>220</v>
      </c>
      <c r="G22" s="42" t="s">
        <v>221</v>
      </c>
      <c r="H22" s="417" t="s">
        <v>222</v>
      </c>
      <c r="I22" s="48">
        <v>85271.19</v>
      </c>
      <c r="J22" s="48"/>
      <c r="K22" s="48" t="s">
        <v>208</v>
      </c>
      <c r="L22" s="150" t="s">
        <v>209</v>
      </c>
      <c r="M22" s="284"/>
      <c r="N22" s="56"/>
      <c r="O22" s="136"/>
      <c r="P22" s="137"/>
      <c r="Q22" s="137"/>
    </row>
    <row r="23" spans="1:17" s="138" customFormat="1" ht="26.45" customHeight="1">
      <c r="A23" s="221"/>
      <c r="B23" s="222" t="str">
        <f>+$E$3</f>
        <v>SG</v>
      </c>
      <c r="C23" s="27">
        <v>46029</v>
      </c>
      <c r="D23" s="219" t="s">
        <v>223</v>
      </c>
      <c r="E23" s="29" t="s">
        <v>197</v>
      </c>
      <c r="F23" s="416" t="s">
        <v>224</v>
      </c>
      <c r="G23" s="42" t="s">
        <v>143</v>
      </c>
      <c r="H23" s="417" t="s">
        <v>225</v>
      </c>
      <c r="I23" s="48">
        <v>465269.3</v>
      </c>
      <c r="J23" s="48"/>
      <c r="K23" s="48" t="s">
        <v>208</v>
      </c>
      <c r="L23" s="150" t="s">
        <v>209</v>
      </c>
      <c r="M23" s="284"/>
      <c r="N23" s="56"/>
      <c r="O23" s="136"/>
      <c r="P23" s="137"/>
      <c r="Q23" s="137"/>
    </row>
    <row r="24" spans="1:17" s="138" customFormat="1" ht="26.45" customHeight="1">
      <c r="A24" s="221"/>
      <c r="B24" s="222" t="str">
        <f>+$E$3</f>
        <v>SG</v>
      </c>
      <c r="C24" s="27">
        <v>46029</v>
      </c>
      <c r="D24" s="219" t="s">
        <v>226</v>
      </c>
      <c r="E24" s="29" t="s">
        <v>197</v>
      </c>
      <c r="F24" s="416" t="s">
        <v>227</v>
      </c>
      <c r="G24" s="42" t="s">
        <v>143</v>
      </c>
      <c r="H24" s="417" t="s">
        <v>225</v>
      </c>
      <c r="I24" s="48">
        <v>385891.6</v>
      </c>
      <c r="J24" s="48"/>
      <c r="K24" s="48" t="s">
        <v>208</v>
      </c>
      <c r="L24" s="150" t="s">
        <v>209</v>
      </c>
      <c r="M24" s="284"/>
      <c r="N24" s="56"/>
      <c r="O24" s="136"/>
      <c r="P24" s="137"/>
      <c r="Q24" s="137"/>
    </row>
    <row r="25" spans="1:17" ht="33" customHeight="1">
      <c r="B25" s="152" t="str">
        <f t="shared" si="0"/>
        <v>SG</v>
      </c>
      <c r="C25" s="27">
        <v>46031</v>
      </c>
      <c r="D25" s="191" t="s">
        <v>212</v>
      </c>
      <c r="E25" s="29" t="s">
        <v>228</v>
      </c>
      <c r="F25" s="466" t="s">
        <v>229</v>
      </c>
      <c r="G25" s="42" t="s">
        <v>76</v>
      </c>
      <c r="H25" s="417" t="s">
        <v>52</v>
      </c>
      <c r="I25" s="48">
        <v>37500</v>
      </c>
      <c r="J25" s="48"/>
      <c r="K25" s="48" t="s">
        <v>230</v>
      </c>
      <c r="L25" s="150" t="s">
        <v>209</v>
      </c>
      <c r="M25" s="298"/>
      <c r="N25" s="55"/>
      <c r="O25" s="23"/>
      <c r="P25" s="3"/>
      <c r="Q25" s="3"/>
    </row>
    <row r="26" spans="1:17" ht="21.6" customHeight="1">
      <c r="B26" s="152" t="str">
        <f t="shared" si="0"/>
        <v>SG</v>
      </c>
      <c r="C26" s="25">
        <v>46031</v>
      </c>
      <c r="D26" s="219" t="s">
        <v>231</v>
      </c>
      <c r="E26" s="29" t="s">
        <v>197</v>
      </c>
      <c r="F26" s="462" t="s">
        <v>232</v>
      </c>
      <c r="G26" s="23" t="s">
        <v>72</v>
      </c>
      <c r="H26" s="464" t="s">
        <v>63</v>
      </c>
      <c r="I26" s="44">
        <v>230000.02</v>
      </c>
      <c r="J26" s="48"/>
      <c r="K26" s="48" t="s">
        <v>208</v>
      </c>
      <c r="L26" s="150" t="s">
        <v>209</v>
      </c>
      <c r="M26" s="284"/>
      <c r="N26" s="56"/>
      <c r="O26" s="23"/>
      <c r="P26" s="50"/>
      <c r="Q26" s="50"/>
    </row>
    <row r="27" spans="1:17" ht="21.6" customHeight="1">
      <c r="B27" s="27" t="str">
        <f>+$E$3</f>
        <v>SG</v>
      </c>
      <c r="C27" s="25">
        <v>46031</v>
      </c>
      <c r="D27" s="219" t="s">
        <v>233</v>
      </c>
      <c r="E27" s="29" t="s">
        <v>197</v>
      </c>
      <c r="F27" s="416" t="s">
        <v>234</v>
      </c>
      <c r="G27" s="23" t="s">
        <v>72</v>
      </c>
      <c r="H27" s="464" t="s">
        <v>63</v>
      </c>
      <c r="I27" s="48">
        <v>380000.3</v>
      </c>
      <c r="J27" s="48"/>
      <c r="K27" s="48" t="s">
        <v>208</v>
      </c>
      <c r="L27" s="150" t="s">
        <v>209</v>
      </c>
      <c r="M27" s="284"/>
      <c r="N27" s="56"/>
      <c r="O27" s="23"/>
      <c r="P27" s="50"/>
      <c r="Q27" s="50"/>
    </row>
    <row r="28" spans="1:17" ht="21.6" customHeight="1">
      <c r="B28" s="27" t="str">
        <f>+$E$3</f>
        <v>SG</v>
      </c>
      <c r="C28" s="25">
        <v>46031</v>
      </c>
      <c r="D28" s="219" t="s">
        <v>235</v>
      </c>
      <c r="E28" s="29" t="s">
        <v>197</v>
      </c>
      <c r="F28" s="416" t="s">
        <v>236</v>
      </c>
      <c r="G28" s="23" t="s">
        <v>72</v>
      </c>
      <c r="H28" s="464" t="s">
        <v>63</v>
      </c>
      <c r="I28" s="48">
        <v>360000.02</v>
      </c>
      <c r="J28" s="48"/>
      <c r="K28" s="48" t="s">
        <v>208</v>
      </c>
      <c r="L28" s="150" t="s">
        <v>209</v>
      </c>
      <c r="M28" s="284"/>
      <c r="N28" s="56"/>
      <c r="O28" s="23"/>
      <c r="P28" s="50"/>
      <c r="Q28" s="50"/>
    </row>
    <row r="29" spans="1:17" ht="23.1" customHeight="1">
      <c r="B29" s="152" t="str">
        <f t="shared" si="0"/>
        <v>SG</v>
      </c>
      <c r="C29" s="25">
        <v>46031</v>
      </c>
      <c r="D29" s="219" t="s">
        <v>237</v>
      </c>
      <c r="E29" s="29" t="s">
        <v>197</v>
      </c>
      <c r="F29" s="416" t="s">
        <v>238</v>
      </c>
      <c r="G29" s="23" t="s">
        <v>72</v>
      </c>
      <c r="H29" s="464" t="s">
        <v>63</v>
      </c>
      <c r="I29" s="48">
        <v>587500.04</v>
      </c>
      <c r="J29" s="48"/>
      <c r="K29" s="48" t="s">
        <v>208</v>
      </c>
      <c r="L29" s="150" t="s">
        <v>209</v>
      </c>
      <c r="M29" s="284"/>
      <c r="N29" s="56"/>
      <c r="O29" s="23"/>
      <c r="P29" s="50"/>
      <c r="Q29" s="50"/>
    </row>
    <row r="30" spans="1:17" ht="30" customHeight="1">
      <c r="B30" s="152" t="str">
        <f t="shared" si="0"/>
        <v>SG</v>
      </c>
      <c r="C30" s="27">
        <v>46034</v>
      </c>
      <c r="D30" s="219" t="s">
        <v>239</v>
      </c>
      <c r="E30" s="191" t="s">
        <v>240</v>
      </c>
      <c r="F30" s="416" t="s">
        <v>241</v>
      </c>
      <c r="G30" s="41" t="s">
        <v>242</v>
      </c>
      <c r="H30" s="461" t="s">
        <v>243</v>
      </c>
      <c r="I30" s="48">
        <v>12214.95</v>
      </c>
      <c r="J30" s="48"/>
      <c r="K30" s="105" t="s">
        <v>244</v>
      </c>
      <c r="L30" s="150" t="s">
        <v>209</v>
      </c>
      <c r="M30" s="284"/>
      <c r="N30" s="56"/>
      <c r="O30" s="23"/>
      <c r="P30" s="50"/>
      <c r="Q30" s="50"/>
    </row>
    <row r="31" spans="1:17" ht="21.6" customHeight="1">
      <c r="B31" s="152" t="str">
        <f t="shared" si="0"/>
        <v>SG</v>
      </c>
      <c r="C31" s="27">
        <v>46035</v>
      </c>
      <c r="D31" s="191" t="s">
        <v>212</v>
      </c>
      <c r="E31" s="29" t="s">
        <v>228</v>
      </c>
      <c r="F31" s="416" t="s">
        <v>245</v>
      </c>
      <c r="G31" s="41" t="s">
        <v>125</v>
      </c>
      <c r="H31" s="461" t="s">
        <v>246</v>
      </c>
      <c r="I31" s="48">
        <v>190000</v>
      </c>
      <c r="J31" s="48"/>
      <c r="K31" s="48" t="s">
        <v>201</v>
      </c>
      <c r="L31" s="150" t="s">
        <v>209</v>
      </c>
      <c r="M31" s="284"/>
      <c r="N31" s="56"/>
      <c r="O31" s="23"/>
      <c r="P31" s="50"/>
      <c r="Q31" s="50"/>
    </row>
    <row r="32" spans="1:17" ht="28.35" customHeight="1">
      <c r="B32" s="152" t="str">
        <f t="shared" si="0"/>
        <v>SG</v>
      </c>
      <c r="C32" s="27">
        <v>46035</v>
      </c>
      <c r="D32" s="191" t="s">
        <v>212</v>
      </c>
      <c r="E32" s="29" t="s">
        <v>228</v>
      </c>
      <c r="F32" s="466" t="s">
        <v>247</v>
      </c>
      <c r="G32" s="42" t="s">
        <v>76</v>
      </c>
      <c r="H32" s="417" t="s">
        <v>52</v>
      </c>
      <c r="I32" s="48">
        <v>65000</v>
      </c>
      <c r="J32" s="48"/>
      <c r="K32" s="48" t="s">
        <v>230</v>
      </c>
      <c r="L32" s="150" t="s">
        <v>209</v>
      </c>
      <c r="M32" s="284"/>
      <c r="N32" s="56"/>
      <c r="O32" s="23"/>
      <c r="P32" s="50"/>
      <c r="Q32" s="50"/>
    </row>
    <row r="33" spans="1:17" s="138" customFormat="1" ht="28.9">
      <c r="A33" s="168" t="s">
        <v>218</v>
      </c>
      <c r="B33" s="170"/>
      <c r="C33" s="171">
        <v>46037</v>
      </c>
      <c r="D33" s="130"/>
      <c r="E33" s="130"/>
      <c r="F33" s="465"/>
      <c r="G33" s="131"/>
      <c r="H33" s="465"/>
      <c r="I33" s="132"/>
      <c r="J33" s="132"/>
      <c r="K33" s="133"/>
      <c r="L33" s="134"/>
      <c r="M33" s="285"/>
      <c r="N33" s="135"/>
      <c r="O33" s="136"/>
      <c r="P33" s="137"/>
      <c r="Q33" s="137"/>
    </row>
    <row r="34" spans="1:17" ht="21.6" customHeight="1">
      <c r="B34" s="152" t="str">
        <f t="shared" si="0"/>
        <v>SG</v>
      </c>
      <c r="C34" s="27">
        <v>46038</v>
      </c>
      <c r="D34" s="219" t="s">
        <v>248</v>
      </c>
      <c r="E34" s="29" t="s">
        <v>240</v>
      </c>
      <c r="F34" s="416" t="s">
        <v>249</v>
      </c>
      <c r="G34" s="42" t="s">
        <v>60</v>
      </c>
      <c r="H34" s="461" t="s">
        <v>128</v>
      </c>
      <c r="I34" s="48">
        <v>255311.44</v>
      </c>
      <c r="J34" s="48"/>
      <c r="K34" s="48" t="s">
        <v>208</v>
      </c>
      <c r="L34" s="150" t="s">
        <v>209</v>
      </c>
      <c r="M34" s="284"/>
      <c r="N34" s="56"/>
      <c r="O34" s="23"/>
      <c r="P34" s="50"/>
      <c r="Q34" s="50"/>
    </row>
    <row r="35" spans="1:17" ht="21.6" customHeight="1">
      <c r="B35" s="152" t="str">
        <f>+$E$3</f>
        <v>SG</v>
      </c>
      <c r="C35" s="27">
        <v>46036</v>
      </c>
      <c r="D35" s="191" t="s">
        <v>212</v>
      </c>
      <c r="E35" s="29" t="s">
        <v>228</v>
      </c>
      <c r="F35" s="220" t="s">
        <v>250</v>
      </c>
      <c r="G35" s="42" t="s">
        <v>76</v>
      </c>
      <c r="H35" s="86" t="s">
        <v>52</v>
      </c>
      <c r="I35" s="48">
        <v>60000</v>
      </c>
      <c r="J35" s="48"/>
      <c r="K35" s="48" t="s">
        <v>201</v>
      </c>
      <c r="L35" s="150" t="s">
        <v>209</v>
      </c>
      <c r="M35" s="298"/>
      <c r="N35" s="55"/>
      <c r="O35" s="23"/>
      <c r="P35" s="3"/>
      <c r="Q35" s="3"/>
    </row>
    <row r="36" spans="1:17" ht="21.6" customHeight="1">
      <c r="B36" s="27" t="str">
        <f>+$E$3</f>
        <v>SG</v>
      </c>
      <c r="C36" s="27">
        <v>46043</v>
      </c>
      <c r="D36" s="46" t="s">
        <v>203</v>
      </c>
      <c r="E36" s="38" t="s">
        <v>251</v>
      </c>
      <c r="F36" s="416" t="s">
        <v>252</v>
      </c>
      <c r="G36" s="42" t="s">
        <v>199</v>
      </c>
      <c r="H36" s="417" t="s">
        <v>200</v>
      </c>
      <c r="I36" s="48">
        <v>16506.52</v>
      </c>
      <c r="J36" s="148"/>
      <c r="K36" s="148" t="s">
        <v>201</v>
      </c>
      <c r="L36" s="150" t="s">
        <v>209</v>
      </c>
      <c r="M36" s="284"/>
      <c r="N36" s="56"/>
      <c r="O36" s="23"/>
      <c r="P36" s="50"/>
      <c r="Q36" s="50"/>
    </row>
    <row r="37" spans="1:17" ht="21.6" customHeight="1">
      <c r="B37" s="27" t="str">
        <f>+$E$3</f>
        <v>SG</v>
      </c>
      <c r="C37" s="27">
        <v>46044</v>
      </c>
      <c r="D37" s="46" t="s">
        <v>253</v>
      </c>
      <c r="E37" s="38" t="s">
        <v>251</v>
      </c>
      <c r="F37" s="416" t="s">
        <v>254</v>
      </c>
      <c r="G37" s="42" t="s">
        <v>199</v>
      </c>
      <c r="H37" s="417" t="s">
        <v>200</v>
      </c>
      <c r="I37" s="282">
        <v>-16506.52</v>
      </c>
      <c r="J37" s="357"/>
      <c r="K37" s="148" t="s">
        <v>201</v>
      </c>
      <c r="L37" s="150" t="s">
        <v>209</v>
      </c>
      <c r="M37" s="284"/>
      <c r="N37" s="56"/>
      <c r="O37" s="23"/>
      <c r="P37" s="50"/>
      <c r="Q37" s="50"/>
    </row>
    <row r="38" spans="1:17" ht="21.6" customHeight="1">
      <c r="B38" s="27" t="str">
        <f>+$E$3</f>
        <v>SG</v>
      </c>
      <c r="C38" s="27">
        <v>46044</v>
      </c>
      <c r="D38" s="46" t="s">
        <v>255</v>
      </c>
      <c r="E38" s="38" t="s">
        <v>251</v>
      </c>
      <c r="F38" s="416" t="s">
        <v>256</v>
      </c>
      <c r="G38" s="42" t="s">
        <v>199</v>
      </c>
      <c r="H38" s="417" t="s">
        <v>200</v>
      </c>
      <c r="I38" s="48">
        <v>18237.7</v>
      </c>
      <c r="J38" s="148"/>
      <c r="K38" s="148" t="s">
        <v>201</v>
      </c>
      <c r="L38" s="150" t="s">
        <v>209</v>
      </c>
      <c r="M38" s="284"/>
      <c r="N38" s="56"/>
      <c r="O38" s="23"/>
      <c r="P38" s="50"/>
      <c r="Q38" s="50"/>
    </row>
    <row r="39" spans="1:17" s="138" customFormat="1" ht="28.9">
      <c r="A39" s="168" t="s">
        <v>218</v>
      </c>
      <c r="B39" s="171"/>
      <c r="C39" s="171">
        <v>46051</v>
      </c>
      <c r="D39" s="130"/>
      <c r="E39" s="465"/>
      <c r="F39" s="131"/>
      <c r="G39" s="465"/>
      <c r="H39" s="132"/>
      <c r="I39" s="133"/>
      <c r="J39" s="133"/>
      <c r="K39" s="134"/>
      <c r="L39" s="135"/>
      <c r="M39" s="135"/>
      <c r="N39" s="136"/>
      <c r="O39" s="137"/>
      <c r="P39" s="137"/>
    </row>
    <row r="40" spans="1:17" s="138" customFormat="1" ht="28.9">
      <c r="A40" s="168" t="s">
        <v>218</v>
      </c>
      <c r="B40" s="129"/>
      <c r="C40" s="171">
        <v>46065</v>
      </c>
      <c r="D40" s="130"/>
      <c r="E40" s="465"/>
      <c r="F40" s="131"/>
      <c r="G40" s="465"/>
      <c r="H40" s="132"/>
      <c r="I40" s="133"/>
      <c r="J40" s="133"/>
      <c r="K40" s="134"/>
      <c r="L40" s="135"/>
      <c r="M40" s="135"/>
      <c r="N40" s="136"/>
      <c r="O40" s="137"/>
      <c r="P40" s="137"/>
    </row>
    <row r="41" spans="1:17" s="311" customFormat="1">
      <c r="A41" s="300" t="s">
        <v>257</v>
      </c>
      <c r="B41" s="301"/>
      <c r="C41" s="302">
        <v>46093</v>
      </c>
      <c r="D41" s="303"/>
      <c r="E41" s="467"/>
      <c r="F41" s="304"/>
      <c r="G41" s="467"/>
      <c r="H41" s="305"/>
      <c r="I41" s="306"/>
      <c r="J41" s="306"/>
      <c r="K41" s="307"/>
      <c r="L41" s="308"/>
      <c r="M41" s="308"/>
      <c r="N41" s="309"/>
      <c r="O41" s="310"/>
      <c r="P41" s="310"/>
    </row>
    <row r="42" spans="1:17" ht="21.6" customHeight="1">
      <c r="B42" s="152" t="str">
        <f t="shared" si="0"/>
        <v>SG</v>
      </c>
      <c r="C42" s="27"/>
      <c r="D42" s="23"/>
      <c r="E42" s="29"/>
      <c r="F42" s="416"/>
      <c r="G42" s="42"/>
      <c r="H42" s="468"/>
      <c r="I42" s="48"/>
      <c r="J42" s="48"/>
      <c r="K42" s="149"/>
      <c r="L42" s="2"/>
      <c r="M42" s="56"/>
      <c r="N42" s="56"/>
      <c r="O42" s="23"/>
      <c r="P42" s="50"/>
      <c r="Q42" s="50"/>
    </row>
    <row r="43" spans="1:17" ht="21.6" customHeight="1">
      <c r="B43" s="152" t="str">
        <f t="shared" si="0"/>
        <v>SG</v>
      </c>
      <c r="C43" s="27"/>
      <c r="D43" s="23"/>
      <c r="E43" s="46"/>
      <c r="F43" s="416"/>
      <c r="G43" s="42"/>
      <c r="H43" s="417"/>
      <c r="I43" s="48"/>
      <c r="J43" s="48"/>
      <c r="K43" s="149"/>
      <c r="L43" s="2"/>
      <c r="M43" s="56"/>
      <c r="N43" s="56"/>
      <c r="O43" s="23"/>
      <c r="P43" s="50"/>
      <c r="Q43" s="50"/>
    </row>
    <row r="44" spans="1:17" ht="21.6" customHeight="1">
      <c r="B44" s="152" t="str">
        <f t="shared" si="0"/>
        <v>SG</v>
      </c>
      <c r="C44" s="27"/>
      <c r="D44" s="23"/>
      <c r="E44" s="46"/>
      <c r="F44" s="416"/>
      <c r="G44" s="42"/>
      <c r="H44" s="417"/>
      <c r="I44" s="48"/>
      <c r="J44" s="48"/>
      <c r="K44" s="149"/>
      <c r="L44" s="2"/>
      <c r="M44" s="56"/>
      <c r="N44" s="56"/>
      <c r="O44" s="23"/>
      <c r="P44" s="50"/>
      <c r="Q44" s="50"/>
    </row>
    <row r="45" spans="1:17" ht="21.6" customHeight="1">
      <c r="B45" s="152" t="str">
        <f t="shared" si="0"/>
        <v>SG</v>
      </c>
      <c r="C45" s="27"/>
      <c r="D45" s="23"/>
      <c r="E45" s="46"/>
      <c r="F45" s="416"/>
      <c r="G45" s="42"/>
      <c r="H45" s="417"/>
      <c r="I45" s="48"/>
      <c r="J45" s="48"/>
      <c r="K45" s="149"/>
      <c r="L45" s="2"/>
      <c r="M45" s="56"/>
      <c r="N45" s="56"/>
      <c r="O45" s="23"/>
      <c r="P45" s="50"/>
      <c r="Q45" s="50"/>
    </row>
    <row r="46" spans="1:17" ht="21.6" customHeight="1">
      <c r="B46" s="152" t="str">
        <f t="shared" si="0"/>
        <v>SG</v>
      </c>
      <c r="C46" s="27"/>
      <c r="D46" s="23"/>
      <c r="E46" s="46"/>
      <c r="F46" s="416"/>
      <c r="G46" s="42"/>
      <c r="H46" s="464"/>
      <c r="I46" s="48"/>
      <c r="J46" s="48"/>
      <c r="K46" s="149"/>
      <c r="L46" s="2"/>
      <c r="M46" s="56"/>
      <c r="N46" s="56"/>
      <c r="O46" s="23"/>
      <c r="P46" s="50"/>
      <c r="Q46" s="50"/>
    </row>
    <row r="47" spans="1:17" ht="21.6" customHeight="1">
      <c r="B47" s="152" t="str">
        <f t="shared" si="0"/>
        <v>SG</v>
      </c>
      <c r="C47" s="27"/>
      <c r="D47" s="23"/>
      <c r="E47" s="29"/>
      <c r="F47" s="462"/>
      <c r="G47" s="23"/>
      <c r="H47" s="461"/>
      <c r="I47" s="44"/>
      <c r="J47" s="48"/>
      <c r="K47" s="149"/>
      <c r="L47" s="2"/>
      <c r="M47" s="56"/>
      <c r="N47" s="56"/>
      <c r="O47" s="23"/>
      <c r="P47" s="50"/>
      <c r="Q47" s="50"/>
    </row>
    <row r="48" spans="1:17" ht="21.6" customHeight="1">
      <c r="B48" s="152" t="str">
        <f t="shared" si="0"/>
        <v>SG</v>
      </c>
      <c r="C48" s="27"/>
      <c r="D48" s="42"/>
      <c r="E48" s="46"/>
      <c r="F48" s="416"/>
      <c r="G48" s="42"/>
      <c r="H48" s="417"/>
      <c r="I48" s="48"/>
      <c r="J48" s="48"/>
      <c r="K48" s="149"/>
      <c r="L48" s="2"/>
      <c r="M48" s="56"/>
      <c r="N48" s="56"/>
      <c r="O48" s="23"/>
      <c r="P48" s="50"/>
      <c r="Q48" s="50"/>
    </row>
    <row r="49" spans="2:17" ht="21.6" customHeight="1">
      <c r="B49" s="152" t="str">
        <f t="shared" si="0"/>
        <v>SG</v>
      </c>
      <c r="C49" s="27"/>
      <c r="D49" s="42"/>
      <c r="E49" s="46"/>
      <c r="F49" s="416"/>
      <c r="G49" s="23"/>
      <c r="H49" s="464"/>
      <c r="I49" s="48"/>
      <c r="J49" s="48"/>
      <c r="K49" s="149"/>
      <c r="L49" s="2"/>
      <c r="M49" s="56"/>
      <c r="N49" s="56"/>
      <c r="O49" s="23"/>
      <c r="P49" s="50"/>
      <c r="Q49" s="50"/>
    </row>
    <row r="50" spans="2:17" ht="21.6" customHeight="1">
      <c r="B50" s="152" t="str">
        <f t="shared" si="0"/>
        <v>SG</v>
      </c>
      <c r="C50" s="27"/>
      <c r="D50" s="38"/>
      <c r="E50" s="38"/>
      <c r="F50" s="416"/>
      <c r="G50" s="39"/>
      <c r="H50" s="417"/>
      <c r="I50" s="48"/>
      <c r="J50" s="48"/>
      <c r="K50" s="149"/>
      <c r="L50" s="2"/>
      <c r="M50" s="56"/>
      <c r="N50" s="56"/>
      <c r="O50" s="2"/>
      <c r="P50" s="50"/>
      <c r="Q50" s="50"/>
    </row>
    <row r="51" spans="2:17" ht="21.6" customHeight="1">
      <c r="B51" s="152" t="str">
        <f t="shared" si="0"/>
        <v>SG</v>
      </c>
      <c r="C51" s="27"/>
      <c r="D51" s="38"/>
      <c r="E51" s="38"/>
      <c r="F51" s="416"/>
      <c r="G51" s="39"/>
      <c r="H51" s="417"/>
      <c r="I51" s="48"/>
      <c r="J51" s="48"/>
      <c r="K51" s="149"/>
      <c r="L51" s="2"/>
      <c r="M51" s="56"/>
      <c r="N51" s="56"/>
      <c r="O51" s="14"/>
      <c r="P51" s="50"/>
      <c r="Q51" s="50"/>
    </row>
    <row r="52" spans="2:17" ht="21.6" customHeight="1">
      <c r="B52" s="152" t="str">
        <f t="shared" si="0"/>
        <v>SG</v>
      </c>
      <c r="C52" s="27"/>
      <c r="D52" s="38"/>
      <c r="E52" s="38"/>
      <c r="F52" s="416"/>
      <c r="G52" s="39"/>
      <c r="H52" s="417"/>
      <c r="I52" s="48"/>
      <c r="J52" s="48"/>
      <c r="K52" s="149"/>
      <c r="L52" s="2"/>
      <c r="M52" s="56"/>
      <c r="N52" s="56"/>
      <c r="O52" s="2"/>
      <c r="P52" s="50"/>
      <c r="Q52" s="50"/>
    </row>
    <row r="53" spans="2:17" ht="21.6" customHeight="1">
      <c r="B53" s="152" t="str">
        <f t="shared" si="0"/>
        <v>SG</v>
      </c>
      <c r="C53" s="27"/>
      <c r="D53" s="38"/>
      <c r="E53" s="38"/>
      <c r="F53" s="416"/>
      <c r="G53" s="39"/>
      <c r="H53" s="419"/>
      <c r="I53" s="40"/>
      <c r="J53" s="40"/>
      <c r="K53" s="4"/>
      <c r="L53" s="2"/>
      <c r="M53" s="56"/>
      <c r="N53" s="56"/>
      <c r="O53" s="2"/>
      <c r="P53" s="50"/>
      <c r="Q53" s="50"/>
    </row>
    <row r="54" spans="2:17" ht="21.6" customHeight="1">
      <c r="B54" s="152" t="str">
        <f t="shared" si="0"/>
        <v>SG</v>
      </c>
      <c r="C54" s="27"/>
      <c r="D54" s="38"/>
      <c r="E54" s="38"/>
      <c r="F54" s="416"/>
      <c r="G54" s="39"/>
      <c r="H54" s="419"/>
      <c r="I54" s="40"/>
      <c r="J54" s="40"/>
      <c r="K54" s="4"/>
      <c r="L54" s="2"/>
      <c r="M54" s="56"/>
      <c r="N54" s="56"/>
      <c r="O54" s="2"/>
      <c r="P54" s="50"/>
      <c r="Q54" s="50"/>
    </row>
    <row r="55" spans="2:17" ht="21.6" customHeight="1">
      <c r="B55" s="152" t="str">
        <f t="shared" si="0"/>
        <v>SG</v>
      </c>
      <c r="C55" s="27"/>
      <c r="D55" s="38"/>
      <c r="E55" s="38"/>
      <c r="F55" s="416"/>
      <c r="G55" s="39"/>
      <c r="H55" s="419"/>
      <c r="I55" s="40"/>
      <c r="J55" s="40"/>
      <c r="K55" s="4"/>
      <c r="L55" s="2"/>
      <c r="M55" s="56"/>
      <c r="N55" s="56"/>
      <c r="O55" s="2"/>
      <c r="P55" s="50"/>
      <c r="Q55" s="50"/>
    </row>
    <row r="56" spans="2:17" ht="21.6" customHeight="1">
      <c r="B56" s="152" t="str">
        <f t="shared" si="0"/>
        <v>SG</v>
      </c>
      <c r="C56" s="27"/>
      <c r="D56" s="38"/>
      <c r="E56" s="38"/>
      <c r="F56" s="416"/>
      <c r="G56" s="39"/>
      <c r="H56" s="419"/>
      <c r="I56" s="40"/>
      <c r="J56" s="40"/>
      <c r="K56" s="4"/>
      <c r="L56" s="2"/>
      <c r="M56" s="56"/>
      <c r="N56" s="56"/>
      <c r="O56" s="2"/>
      <c r="P56" s="50"/>
      <c r="Q56" s="50"/>
    </row>
    <row r="57" spans="2:17" ht="21.6" customHeight="1">
      <c r="B57" s="152" t="str">
        <f t="shared" si="0"/>
        <v>SG</v>
      </c>
      <c r="C57" s="27"/>
      <c r="D57" s="38"/>
      <c r="E57" s="38"/>
      <c r="F57" s="416"/>
      <c r="G57" s="39"/>
      <c r="H57" s="419"/>
      <c r="I57" s="40"/>
      <c r="J57" s="40"/>
      <c r="K57" s="4"/>
      <c r="L57" s="2"/>
      <c r="M57" s="56"/>
      <c r="N57" s="56"/>
      <c r="O57" s="2"/>
      <c r="P57" s="50"/>
      <c r="Q57" s="50"/>
    </row>
    <row r="58" spans="2:17" ht="20.100000000000001" customHeight="1">
      <c r="B58" s="152" t="str">
        <f t="shared" si="0"/>
        <v>SG</v>
      </c>
      <c r="C58" s="27"/>
      <c r="D58" s="469"/>
      <c r="E58" s="38"/>
      <c r="F58" s="419"/>
      <c r="G58" s="53"/>
      <c r="H58" s="469"/>
      <c r="I58" s="4"/>
      <c r="J58" s="4"/>
      <c r="K58" s="4"/>
      <c r="L58" s="14"/>
      <c r="M58" s="56"/>
      <c r="N58" s="56"/>
      <c r="O58" s="2"/>
      <c r="P58" s="50"/>
      <c r="Q58" s="50"/>
    </row>
    <row r="59" spans="2:17" ht="20.100000000000001" customHeight="1" thickBot="1">
      <c r="B59" s="6"/>
      <c r="G59" s="15"/>
      <c r="H59" s="30"/>
      <c r="I59" s="30"/>
      <c r="M59" s="14"/>
    </row>
    <row r="60" spans="2:17" ht="19.350000000000001" customHeight="1" thickBot="1">
      <c r="B60" s="6"/>
      <c r="G60" s="5" t="s">
        <v>258</v>
      </c>
      <c r="H60" s="32">
        <f>SUM(I10:I58)</f>
        <v>3554116.3200000008</v>
      </c>
      <c r="I60" s="31"/>
    </row>
    <row r="61" spans="2:17" ht="13.35" customHeight="1">
      <c r="B61" s="6"/>
      <c r="G61" s="15"/>
      <c r="H61" s="30"/>
      <c r="I61" s="30"/>
    </row>
    <row r="62" spans="2:17">
      <c r="B62" s="6"/>
      <c r="G62" s="15"/>
      <c r="H62" s="30"/>
      <c r="I62" s="30"/>
    </row>
    <row r="63" spans="2:17">
      <c r="B63" s="6"/>
      <c r="G63" s="15"/>
      <c r="H63" s="30"/>
      <c r="I63" s="30"/>
    </row>
    <row r="64" spans="2:17">
      <c r="B64" s="6"/>
      <c r="H64" s="20"/>
      <c r="I64" s="20"/>
    </row>
    <row r="65" spans="2:9">
      <c r="B65" s="6"/>
      <c r="H65" s="20"/>
      <c r="I65" s="20"/>
    </row>
    <row r="66" spans="2:9">
      <c r="B66" s="6"/>
      <c r="H66" s="20"/>
      <c r="I66" s="20"/>
    </row>
    <row r="67" spans="2:9">
      <c r="B67" s="6"/>
      <c r="H67" s="20"/>
      <c r="I67" s="20"/>
    </row>
    <row r="68" spans="2:9">
      <c r="B68" s="6"/>
      <c r="H68" s="20"/>
      <c r="I68" s="20"/>
    </row>
    <row r="69" spans="2:9">
      <c r="B69" s="6"/>
      <c r="H69" s="20"/>
      <c r="I69" s="20"/>
    </row>
    <row r="70" spans="2:9">
      <c r="B70" s="6"/>
      <c r="H70" s="20"/>
      <c r="I70" s="20"/>
    </row>
    <row r="71" spans="2:9">
      <c r="B71" s="6"/>
      <c r="H71" s="20"/>
      <c r="I71" s="20"/>
    </row>
    <row r="72" spans="2:9">
      <c r="B72" s="6"/>
      <c r="H72" s="20"/>
      <c r="I72" s="20"/>
    </row>
    <row r="73" spans="2:9">
      <c r="B73" s="6"/>
      <c r="H73" s="20"/>
      <c r="I73" s="20"/>
    </row>
    <row r="74" spans="2:9">
      <c r="B74" s="6"/>
      <c r="H74" s="20"/>
      <c r="I74" s="20"/>
    </row>
    <row r="75" spans="2:9">
      <c r="B75" s="6"/>
      <c r="H75" s="20"/>
      <c r="I75" s="20"/>
    </row>
    <row r="76" spans="2:9">
      <c r="B76" s="6"/>
      <c r="H76" s="20"/>
      <c r="I76" s="20"/>
    </row>
    <row r="77" spans="2:9">
      <c r="B77" s="6"/>
      <c r="H77" s="20"/>
      <c r="I77" s="20"/>
    </row>
    <row r="78" spans="2:9">
      <c r="B78" s="6"/>
      <c r="H78" s="20"/>
      <c r="I78" s="20"/>
    </row>
    <row r="79" spans="2:9">
      <c r="B79" s="6"/>
      <c r="H79" s="20"/>
      <c r="I79" s="20"/>
    </row>
    <row r="80" spans="2:9">
      <c r="B80" s="6"/>
      <c r="H80" s="20"/>
      <c r="I80" s="20"/>
    </row>
    <row r="81" spans="2:9">
      <c r="B81" s="6"/>
      <c r="H81" s="20"/>
      <c r="I81" s="20"/>
    </row>
    <row r="82" spans="2:9">
      <c r="B82" s="6"/>
      <c r="H82" s="20"/>
      <c r="I82" s="20"/>
    </row>
    <row r="83" spans="2:9">
      <c r="B83" s="6"/>
      <c r="H83" s="20"/>
      <c r="I83" s="20"/>
    </row>
    <row r="84" spans="2:9">
      <c r="B84" s="6"/>
      <c r="H84" s="20"/>
      <c r="I84" s="20"/>
    </row>
    <row r="85" spans="2:9">
      <c r="B85" s="6"/>
      <c r="H85" s="20"/>
      <c r="I85" s="20"/>
    </row>
    <row r="86" spans="2:9">
      <c r="B86" s="6"/>
      <c r="H86" s="20"/>
      <c r="I86" s="20"/>
    </row>
    <row r="87" spans="2:9">
      <c r="B87" s="6"/>
      <c r="H87" s="20"/>
      <c r="I87" s="20"/>
    </row>
    <row r="88" spans="2:9">
      <c r="B88" s="6"/>
      <c r="H88" s="20"/>
      <c r="I88" s="20"/>
    </row>
    <row r="89" spans="2:9">
      <c r="B89" s="6"/>
      <c r="H89" s="20"/>
      <c r="I89" s="20"/>
    </row>
    <row r="90" spans="2:9">
      <c r="B90" s="6"/>
      <c r="H90" s="20"/>
      <c r="I90" s="20"/>
    </row>
    <row r="91" spans="2:9">
      <c r="B91" s="6"/>
      <c r="H91" s="20"/>
      <c r="I91" s="20"/>
    </row>
    <row r="92" spans="2:9">
      <c r="B92" s="6"/>
      <c r="H92" s="20"/>
      <c r="I92" s="20"/>
    </row>
    <row r="93" spans="2:9">
      <c r="B93" s="6"/>
      <c r="H93" s="20"/>
      <c r="I93" s="20"/>
    </row>
    <row r="94" spans="2:9">
      <c r="B94" s="6"/>
      <c r="H94" s="20"/>
      <c r="I94" s="20"/>
    </row>
    <row r="95" spans="2:9">
      <c r="B95" s="6"/>
      <c r="H95" s="20"/>
      <c r="I95" s="20"/>
    </row>
    <row r="96" spans="2:9">
      <c r="B96" s="6"/>
      <c r="H96" s="20"/>
      <c r="I96" s="20"/>
    </row>
    <row r="97" spans="2:9">
      <c r="B97" s="6"/>
      <c r="H97" s="20"/>
      <c r="I97" s="20"/>
    </row>
    <row r="98" spans="2:9">
      <c r="B98" s="6"/>
      <c r="H98" s="20"/>
      <c r="I98" s="20"/>
    </row>
    <row r="99" spans="2:9">
      <c r="B99" s="6"/>
      <c r="H99" s="20"/>
      <c r="I99" s="20"/>
    </row>
    <row r="100" spans="2:9">
      <c r="B100" s="6"/>
      <c r="H100" s="20"/>
      <c r="I100" s="20"/>
    </row>
    <row r="101" spans="2:9">
      <c r="B101" s="6"/>
      <c r="H101" s="20"/>
      <c r="I101" s="20"/>
    </row>
  </sheetData>
  <mergeCells count="5">
    <mergeCell ref="D2:H2"/>
    <mergeCell ref="F3:G3"/>
    <mergeCell ref="F4:G4"/>
    <mergeCell ref="F5:G5"/>
    <mergeCell ref="F6:G6"/>
  </mergeCells>
  <phoneticPr fontId="16" type="noConversion"/>
  <conditionalFormatting sqref="K39:K41 N39:N41">
    <cfRule type="containsText" dxfId="1395" priority="16" operator="containsText" text="Pendiente">
      <formula>NOT(ISERROR(SEARCH("Pendiente",K39)))</formula>
    </cfRule>
    <cfRule type="containsText" dxfId="1394" priority="17" operator="containsText" text="Pagado">
      <formula>NOT(ISERROR(SEARCH("Pagado",K39)))</formula>
    </cfRule>
    <cfRule type="containsText" dxfId="1393" priority="18" operator="containsText" text="Para abonar">
      <formula>NOT(ISERROR(SEARCH("Para abonar",K39)))</formula>
    </cfRule>
  </conditionalFormatting>
  <conditionalFormatting sqref="L22:M25">
    <cfRule type="cellIs" dxfId="1392" priority="26" operator="equal">
      <formula>"Cuenta Corriente"</formula>
    </cfRule>
    <cfRule type="cellIs" dxfId="1391" priority="27" operator="equal">
      <formula>"No Pagado"</formula>
    </cfRule>
  </conditionalFormatting>
  <conditionalFormatting sqref="L35:M41">
    <cfRule type="cellIs" dxfId="1390" priority="1" operator="equal">
      <formula>"Cuenta Corriente"</formula>
    </cfRule>
    <cfRule type="cellIs" dxfId="1389" priority="2" operator="equal">
      <formula>"No Pagado"</formula>
    </cfRule>
  </conditionalFormatting>
  <conditionalFormatting sqref="L10:N20 O50:O58 M59">
    <cfRule type="cellIs" dxfId="1388" priority="43" operator="equal">
      <formula>"Cuenta Corriente"</formula>
    </cfRule>
    <cfRule type="cellIs" dxfId="1387" priority="44" operator="equal">
      <formula>"No Pagado"</formula>
    </cfRule>
  </conditionalFormatting>
  <conditionalFormatting sqref="L26:N32 L34:N34 L42:N58">
    <cfRule type="cellIs" dxfId="1386" priority="28" operator="equal">
      <formula>"Cuenta Corriente"</formula>
    </cfRule>
    <cfRule type="cellIs" dxfId="1385" priority="29" operator="equal">
      <formula>"No Pagado"</formula>
    </cfRule>
  </conditionalFormatting>
  <conditionalFormatting sqref="N21:N25">
    <cfRule type="cellIs" dxfId="1384" priority="33" operator="equal">
      <formula>"Cuenta Corriente"</formula>
    </cfRule>
    <cfRule type="cellIs" dxfId="1383" priority="34" operator="equal">
      <formula>"No Pagado"</formula>
    </cfRule>
  </conditionalFormatting>
  <conditionalFormatting sqref="N33">
    <cfRule type="cellIs" dxfId="1382" priority="24" operator="equal">
      <formula>"Cuenta Corriente"</formula>
    </cfRule>
    <cfRule type="cellIs" dxfId="1381" priority="25" operator="equal">
      <formula>"No Pagado"</formula>
    </cfRule>
  </conditionalFormatting>
  <conditionalFormatting sqref="N35:N38">
    <cfRule type="cellIs" dxfId="1380" priority="12" operator="equal">
      <formula>"Cuenta Corriente"</formula>
    </cfRule>
    <cfRule type="cellIs" dxfId="1379" priority="13" operator="equal">
      <formula>"No Pagado"</formula>
    </cfRule>
  </conditionalFormatting>
  <conditionalFormatting sqref="O10:O38 L21:M21 L33:M33 O42:O49">
    <cfRule type="containsText" dxfId="1378" priority="30" operator="containsText" text="Pendiente">
      <formula>NOT(ISERROR(SEARCH("Pendiente",L10)))</formula>
    </cfRule>
    <cfRule type="containsText" dxfId="1377" priority="31" operator="containsText" text="Pagado">
      <formula>NOT(ISERROR(SEARCH("Pagado",L10)))</formula>
    </cfRule>
    <cfRule type="containsText" dxfId="1376" priority="32" operator="containsText" text="Para abonar">
      <formula>NOT(ISERROR(SEARCH("Para abonar",L10)))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E29692-2CB4-4171-9199-1E628015D5EC}">
          <x14:formula1>
            <xm:f>Consultas!$B$9:$B$11</xm:f>
          </x14:formula1>
          <xm:sqref>M59 L42:M58 O10:O38 N39:N41 O42:O58 K39:K41 L10:M38</xm:sqref>
        </x14:dataValidation>
        <x14:dataValidation type="list" allowBlank="1" showInputMessage="1" showErrorMessage="1" xr:uid="{EAB72BC5-770E-450C-BC4A-94DF461116BF}">
          <x14:formula1>
            <xm:f>Consultas!$B$13:$B$15</xm:f>
          </x14:formula1>
          <xm:sqref>L39:M41 N10:N38 N42:N58</xm:sqref>
        </x14:dataValidation>
        <x14:dataValidation type="list" allowBlank="1" showInputMessage="1" showErrorMessage="1" xr:uid="{3398851D-8113-4989-B382-FDD4AF94F3C2}">
          <x14:formula1>
            <xm:f>Proveedores!$B$3:$B$111</xm:f>
          </x14:formula1>
          <xm:sqref>F10:F118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C9FD-9C24-46AA-8E10-1F6A4D7E3BDA}">
  <sheetPr>
    <tabColor rgb="FFFFC000"/>
  </sheetPr>
  <dimension ref="A1:Q92"/>
  <sheetViews>
    <sheetView zoomScale="94" zoomScaleNormal="94" workbookViewId="0">
      <selection activeCell="D18" sqref="D18"/>
    </sheetView>
  </sheetViews>
  <sheetFormatPr defaultColWidth="11.42578125" defaultRowHeight="14.45"/>
  <cols>
    <col min="2" max="2" width="14.140625" bestFit="1" customWidth="1"/>
    <col min="3" max="3" width="17" customWidth="1"/>
    <col min="4" max="4" width="24" customWidth="1"/>
    <col min="5" max="5" width="49.42578125" customWidth="1"/>
    <col min="6" max="6" width="16.7109375" customWidth="1"/>
    <col min="7" max="7" width="18.42578125" customWidth="1"/>
    <col min="8" max="8" width="18" customWidth="1"/>
    <col min="9" max="9" width="16.42578125" customWidth="1"/>
    <col min="10" max="10" width="17.85546875" customWidth="1"/>
    <col min="11" max="12" width="12.7109375" customWidth="1"/>
    <col min="13" max="13" width="17.85546875" customWidth="1"/>
  </cols>
  <sheetData>
    <row r="1" spans="1:17" ht="15" thickBot="1">
      <c r="B1" s="6"/>
    </row>
    <row r="2" spans="1:17" ht="24" thickBot="1">
      <c r="B2" s="6"/>
      <c r="D2" s="420" t="s">
        <v>176</v>
      </c>
      <c r="E2" s="421"/>
      <c r="F2" s="421"/>
      <c r="G2" s="421"/>
      <c r="H2" s="422"/>
      <c r="I2" s="28"/>
    </row>
    <row r="3" spans="1:17" ht="18" customHeight="1">
      <c r="B3" s="6"/>
      <c r="D3" s="8" t="s">
        <v>177</v>
      </c>
      <c r="E3" s="36" t="s">
        <v>259</v>
      </c>
      <c r="F3" s="423"/>
      <c r="G3" s="424"/>
      <c r="H3" s="37"/>
      <c r="I3" s="15"/>
    </row>
    <row r="4" spans="1:17">
      <c r="B4" s="6"/>
      <c r="D4" s="9" t="s">
        <v>179</v>
      </c>
      <c r="E4" s="449" t="s">
        <v>260</v>
      </c>
      <c r="F4" s="450" t="s">
        <v>180</v>
      </c>
      <c r="G4" s="451"/>
      <c r="H4" s="35" t="s">
        <v>261</v>
      </c>
      <c r="I4" s="452"/>
    </row>
    <row r="5" spans="1:17">
      <c r="B5" s="6"/>
      <c r="D5" s="9"/>
      <c r="E5" s="1"/>
      <c r="F5" s="453"/>
      <c r="G5" s="454"/>
      <c r="H5" s="10"/>
      <c r="I5" s="15"/>
    </row>
    <row r="6" spans="1:17" ht="15" thickBot="1">
      <c r="B6" s="6"/>
      <c r="D6" s="11"/>
      <c r="E6" s="12"/>
      <c r="F6" s="455"/>
      <c r="G6" s="456"/>
      <c r="H6" s="13"/>
      <c r="I6" s="15"/>
    </row>
    <row r="7" spans="1:17">
      <c r="B7" s="6"/>
    </row>
    <row r="8" spans="1:17" ht="15" thickBot="1">
      <c r="B8" s="6"/>
    </row>
    <row r="9" spans="1:17" ht="43.9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52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17" ht="21" customHeight="1">
      <c r="B10" s="152" t="str">
        <f t="shared" ref="B10:B49" si="0">+$E$3</f>
        <v>Hernan Reboni</v>
      </c>
      <c r="C10" s="24"/>
      <c r="D10" s="22"/>
      <c r="E10" s="33"/>
      <c r="F10" s="457"/>
      <c r="G10" s="22"/>
      <c r="H10" s="458"/>
      <c r="I10" s="43"/>
      <c r="J10" s="43"/>
      <c r="K10" s="34"/>
      <c r="L10" s="57"/>
      <c r="M10" s="283"/>
      <c r="N10" s="54"/>
      <c r="O10" s="41"/>
      <c r="P10" s="459"/>
      <c r="Q10" s="459"/>
    </row>
    <row r="11" spans="1:17" s="138" customFormat="1" ht="28.9">
      <c r="A11" s="168" t="s">
        <v>218</v>
      </c>
      <c r="B11" s="170"/>
      <c r="C11" s="171">
        <v>46037</v>
      </c>
      <c r="D11" s="130"/>
      <c r="E11" s="130"/>
      <c r="F11" s="465"/>
      <c r="G11" s="131"/>
      <c r="H11" s="465"/>
      <c r="I11" s="132"/>
      <c r="J11" s="132"/>
      <c r="K11" s="133"/>
      <c r="L11" s="134"/>
      <c r="M11" s="285"/>
      <c r="N11" s="135"/>
      <c r="O11" s="136"/>
      <c r="P11" s="137"/>
      <c r="Q11" s="137"/>
    </row>
    <row r="12" spans="1:17" ht="21" customHeight="1">
      <c r="B12" s="152" t="str">
        <f t="shared" si="0"/>
        <v>Hernan Reboni</v>
      </c>
      <c r="C12" s="25"/>
      <c r="D12" s="23"/>
      <c r="E12" s="29"/>
      <c r="F12" s="462"/>
      <c r="G12" s="23"/>
      <c r="H12" s="461"/>
      <c r="I12" s="44"/>
      <c r="J12" s="44"/>
      <c r="K12" s="19"/>
      <c r="L12" s="2"/>
      <c r="M12" s="55"/>
      <c r="N12" s="55"/>
      <c r="O12" s="23"/>
      <c r="P12" s="49"/>
      <c r="Q12" s="49"/>
    </row>
    <row r="13" spans="1:17" ht="27" customHeight="1">
      <c r="B13" s="152" t="str">
        <f t="shared" si="0"/>
        <v>Hernan Reboni</v>
      </c>
      <c r="C13" s="463"/>
      <c r="D13" s="23"/>
      <c r="E13" s="29"/>
      <c r="F13" s="462"/>
      <c r="G13" s="23"/>
      <c r="H13" s="464"/>
      <c r="I13" s="44"/>
      <c r="J13" s="44"/>
      <c r="K13" s="47"/>
      <c r="L13" s="2"/>
      <c r="M13" s="55"/>
      <c r="N13" s="55"/>
      <c r="O13" s="23"/>
      <c r="P13" s="49"/>
      <c r="Q13" s="49"/>
    </row>
    <row r="14" spans="1:17" ht="27" customHeight="1">
      <c r="B14" s="152" t="str">
        <f t="shared" si="0"/>
        <v>Hernan Reboni</v>
      </c>
      <c r="C14" s="25"/>
      <c r="D14" s="23"/>
      <c r="E14" s="29"/>
      <c r="F14" s="462"/>
      <c r="G14" s="41"/>
      <c r="H14" s="461"/>
      <c r="I14" s="44"/>
      <c r="J14" s="44"/>
      <c r="K14" s="47"/>
      <c r="L14" s="2"/>
      <c r="M14" s="55"/>
      <c r="N14" s="55"/>
      <c r="O14" s="23"/>
      <c r="P14" s="49"/>
      <c r="Q14" s="49"/>
    </row>
    <row r="15" spans="1:17" ht="25.35" customHeight="1">
      <c r="B15" s="152" t="str">
        <f t="shared" si="0"/>
        <v>Hernan Reboni</v>
      </c>
      <c r="C15" s="463"/>
      <c r="D15" s="23"/>
      <c r="E15" s="29"/>
      <c r="F15" s="462"/>
      <c r="G15" s="23"/>
      <c r="H15" s="464"/>
      <c r="I15" s="44"/>
      <c r="J15" s="44"/>
      <c r="K15" s="19"/>
      <c r="L15" s="2"/>
      <c r="M15" s="55"/>
      <c r="N15" s="55"/>
      <c r="O15" s="23"/>
      <c r="P15" s="49"/>
      <c r="Q15" s="49"/>
    </row>
    <row r="16" spans="1:17" ht="21" customHeight="1">
      <c r="B16" s="152" t="str">
        <f t="shared" si="0"/>
        <v>Hernan Reboni</v>
      </c>
      <c r="C16" s="25"/>
      <c r="D16" s="23"/>
      <c r="E16" s="29"/>
      <c r="F16" s="462"/>
      <c r="G16" s="23"/>
      <c r="H16" s="464"/>
      <c r="I16" s="44"/>
      <c r="J16" s="44"/>
      <c r="K16" s="19"/>
      <c r="L16" s="2"/>
      <c r="M16" s="55"/>
      <c r="N16" s="55"/>
      <c r="O16" s="23"/>
      <c r="P16" s="49"/>
      <c r="Q16" s="49"/>
    </row>
    <row r="17" spans="2:17" ht="23.45" customHeight="1">
      <c r="B17" s="152" t="str">
        <f t="shared" si="0"/>
        <v>Hernan Reboni</v>
      </c>
      <c r="C17" s="26"/>
      <c r="D17" s="41"/>
      <c r="E17" s="46"/>
      <c r="F17" s="462"/>
      <c r="G17" s="41"/>
      <c r="H17" s="461"/>
      <c r="I17" s="44"/>
      <c r="J17" s="44"/>
      <c r="K17" s="19"/>
      <c r="L17" s="2"/>
      <c r="M17" s="55"/>
      <c r="N17" s="55"/>
      <c r="O17" s="23"/>
      <c r="P17" s="49"/>
      <c r="Q17" s="49"/>
    </row>
    <row r="18" spans="2:17" ht="23.1" customHeight="1">
      <c r="B18" s="152" t="str">
        <f t="shared" si="0"/>
        <v>Hernan Reboni</v>
      </c>
      <c r="C18" s="25"/>
      <c r="D18" s="23"/>
      <c r="E18" s="29"/>
      <c r="F18" s="462"/>
      <c r="G18" s="23"/>
      <c r="H18" s="464"/>
      <c r="I18" s="44"/>
      <c r="J18" s="44"/>
      <c r="K18" s="47"/>
      <c r="L18" s="2"/>
      <c r="M18" s="55"/>
      <c r="N18" s="55"/>
      <c r="O18" s="23"/>
      <c r="P18" s="49"/>
      <c r="Q18" s="49"/>
    </row>
    <row r="19" spans="2:17" ht="23.45" customHeight="1">
      <c r="B19" s="152" t="str">
        <f t="shared" si="0"/>
        <v>Hernan Reboni</v>
      </c>
      <c r="C19" s="25"/>
      <c r="D19" s="23"/>
      <c r="E19" s="29"/>
      <c r="F19" s="462"/>
      <c r="G19" s="23"/>
      <c r="H19" s="464"/>
      <c r="I19" s="44"/>
      <c r="J19" s="44"/>
      <c r="K19" s="47"/>
      <c r="L19" s="2"/>
      <c r="M19" s="55"/>
      <c r="N19" s="55"/>
      <c r="O19" s="23"/>
      <c r="P19" s="49"/>
      <c r="Q19" s="49"/>
    </row>
    <row r="20" spans="2:17" ht="26.1" customHeight="1">
      <c r="B20" s="152" t="str">
        <f t="shared" si="0"/>
        <v>Hernan Reboni</v>
      </c>
      <c r="C20" s="25"/>
      <c r="D20" s="23"/>
      <c r="E20" s="29"/>
      <c r="F20" s="462"/>
      <c r="G20" s="23"/>
      <c r="H20" s="464"/>
      <c r="I20" s="44"/>
      <c r="J20" s="44"/>
      <c r="K20" s="47"/>
      <c r="L20" s="2"/>
      <c r="M20" s="55"/>
      <c r="N20" s="55"/>
      <c r="O20" s="23"/>
      <c r="P20" s="49"/>
      <c r="Q20" s="49"/>
    </row>
    <row r="21" spans="2:17" ht="23.1" customHeight="1">
      <c r="B21" s="152" t="str">
        <f t="shared" si="0"/>
        <v>Hernan Reboni</v>
      </c>
      <c r="C21" s="25"/>
      <c r="D21" s="23"/>
      <c r="E21" s="29"/>
      <c r="F21" s="462"/>
      <c r="G21" s="23"/>
      <c r="H21" s="464"/>
      <c r="I21" s="44"/>
      <c r="J21" s="44"/>
      <c r="K21" s="19"/>
      <c r="L21" s="2"/>
      <c r="M21" s="55"/>
      <c r="N21" s="55"/>
      <c r="O21" s="23"/>
      <c r="P21" s="3"/>
      <c r="Q21" s="3"/>
    </row>
    <row r="22" spans="2:17" ht="21.6" customHeight="1">
      <c r="B22" s="152" t="str">
        <f t="shared" si="0"/>
        <v>Hernan Reboni</v>
      </c>
      <c r="C22" s="25"/>
      <c r="D22" s="23"/>
      <c r="E22" s="29"/>
      <c r="F22" s="462"/>
      <c r="G22" s="23"/>
      <c r="H22" s="464"/>
      <c r="I22" s="44"/>
      <c r="J22" s="48"/>
      <c r="K22" s="40"/>
      <c r="L22" s="2"/>
      <c r="M22" s="56"/>
      <c r="N22" s="56"/>
      <c r="O22" s="23"/>
      <c r="P22" s="50"/>
      <c r="Q22" s="50"/>
    </row>
    <row r="23" spans="2:17" ht="23.1" customHeight="1">
      <c r="B23" s="152" t="str">
        <f t="shared" si="0"/>
        <v>Hernan Reboni</v>
      </c>
      <c r="C23" s="27"/>
      <c r="D23" s="23"/>
      <c r="E23" s="46"/>
      <c r="F23" s="416"/>
      <c r="G23" s="23"/>
      <c r="H23" s="464"/>
      <c r="I23" s="48"/>
      <c r="J23" s="48"/>
      <c r="K23" s="4"/>
      <c r="L23" s="2"/>
      <c r="M23" s="56"/>
      <c r="N23" s="56"/>
      <c r="O23" s="23"/>
      <c r="P23" s="50"/>
      <c r="Q23" s="50"/>
    </row>
    <row r="24" spans="2:17" ht="22.35" customHeight="1">
      <c r="B24" s="152" t="str">
        <f t="shared" si="0"/>
        <v>Hernan Reboni</v>
      </c>
      <c r="C24" s="27"/>
      <c r="D24" s="23"/>
      <c r="E24" s="29"/>
      <c r="F24" s="416"/>
      <c r="G24" s="41"/>
      <c r="H24" s="461"/>
      <c r="I24" s="48"/>
      <c r="J24" s="48"/>
      <c r="K24" s="4"/>
      <c r="L24" s="2"/>
      <c r="M24" s="56"/>
      <c r="N24" s="56"/>
      <c r="O24" s="23"/>
      <c r="P24" s="50"/>
      <c r="Q24" s="50"/>
    </row>
    <row r="25" spans="2:17" ht="21.6" customHeight="1">
      <c r="B25" s="152" t="str">
        <f t="shared" si="0"/>
        <v>Hernan Reboni</v>
      </c>
      <c r="C25" s="27"/>
      <c r="D25" s="23"/>
      <c r="E25" s="29"/>
      <c r="F25" s="416"/>
      <c r="G25" s="41"/>
      <c r="H25" s="461"/>
      <c r="I25" s="48"/>
      <c r="J25" s="48"/>
      <c r="K25" s="4"/>
      <c r="L25" s="2"/>
      <c r="M25" s="56"/>
      <c r="N25" s="56"/>
      <c r="O25" s="23"/>
      <c r="P25" s="50"/>
      <c r="Q25" s="50"/>
    </row>
    <row r="26" spans="2:17" ht="21.6" customHeight="1">
      <c r="B26" s="152" t="str">
        <f t="shared" si="0"/>
        <v>Hernan Reboni</v>
      </c>
      <c r="C26" s="27"/>
      <c r="D26" s="23"/>
      <c r="E26" s="29"/>
      <c r="F26" s="416"/>
      <c r="G26" s="41"/>
      <c r="H26" s="461"/>
      <c r="I26" s="48"/>
      <c r="J26" s="48"/>
      <c r="K26" s="4"/>
      <c r="L26" s="2"/>
      <c r="M26" s="56"/>
      <c r="N26" s="56"/>
      <c r="O26" s="23"/>
      <c r="P26" s="50"/>
      <c r="Q26" s="50"/>
    </row>
    <row r="27" spans="2:17" ht="21.6" customHeight="1">
      <c r="B27" s="152" t="str">
        <f t="shared" si="0"/>
        <v>Hernan Reboni</v>
      </c>
      <c r="C27" s="27"/>
      <c r="D27" s="23"/>
      <c r="E27" s="46"/>
      <c r="F27" s="416"/>
      <c r="G27" s="23"/>
      <c r="H27" s="464"/>
      <c r="I27" s="48"/>
      <c r="J27" s="48"/>
      <c r="K27" s="4"/>
      <c r="L27" s="2"/>
      <c r="M27" s="56"/>
      <c r="N27" s="56"/>
      <c r="O27" s="23"/>
      <c r="P27" s="50"/>
      <c r="Q27" s="50"/>
    </row>
    <row r="28" spans="2:17" ht="21.6" customHeight="1">
      <c r="B28" s="152" t="str">
        <f t="shared" si="0"/>
        <v>Hernan Reboni</v>
      </c>
      <c r="C28" s="27"/>
      <c r="D28" s="23"/>
      <c r="E28" s="46"/>
      <c r="F28" s="416"/>
      <c r="G28" s="42"/>
      <c r="H28" s="461"/>
      <c r="I28" s="48"/>
      <c r="J28" s="48"/>
      <c r="K28" s="4"/>
      <c r="L28" s="2"/>
      <c r="M28" s="56"/>
      <c r="N28" s="56"/>
      <c r="O28" s="23"/>
      <c r="P28" s="50"/>
      <c r="Q28" s="50"/>
    </row>
    <row r="29" spans="2:17" ht="21.6" customHeight="1">
      <c r="B29" s="152" t="str">
        <f t="shared" si="0"/>
        <v>Hernan Reboni</v>
      </c>
      <c r="C29" s="27"/>
      <c r="D29" s="23"/>
      <c r="E29" s="29"/>
      <c r="F29" s="416"/>
      <c r="G29" s="42"/>
      <c r="H29" s="461"/>
      <c r="I29" s="48"/>
      <c r="J29" s="48"/>
      <c r="K29" s="4"/>
      <c r="L29" s="2"/>
      <c r="M29" s="56"/>
      <c r="N29" s="56"/>
      <c r="O29" s="23"/>
      <c r="P29" s="50"/>
      <c r="Q29" s="50"/>
    </row>
    <row r="30" spans="2:17" ht="21.6" customHeight="1">
      <c r="B30" s="152" t="str">
        <f t="shared" si="0"/>
        <v>Hernan Reboni</v>
      </c>
      <c r="C30" s="27"/>
      <c r="D30" s="23"/>
      <c r="E30" s="29"/>
      <c r="F30" s="416"/>
      <c r="G30" s="42"/>
      <c r="H30" s="461"/>
      <c r="I30" s="48"/>
      <c r="J30" s="48"/>
      <c r="K30" s="4"/>
      <c r="L30" s="2"/>
      <c r="M30" s="56"/>
      <c r="N30" s="56"/>
      <c r="O30" s="23"/>
      <c r="P30" s="50"/>
      <c r="Q30" s="50"/>
    </row>
    <row r="31" spans="2:17" ht="21.6" customHeight="1">
      <c r="B31" s="152" t="str">
        <f t="shared" si="0"/>
        <v>Hernan Reboni</v>
      </c>
      <c r="C31" s="27"/>
      <c r="D31" s="23"/>
      <c r="E31" s="46"/>
      <c r="F31" s="416"/>
      <c r="G31" s="42"/>
      <c r="H31" s="417"/>
      <c r="I31" s="48"/>
      <c r="J31" s="48"/>
      <c r="K31" s="4"/>
      <c r="L31" s="2"/>
      <c r="M31" s="56"/>
      <c r="N31" s="56"/>
      <c r="O31" s="23"/>
      <c r="P31" s="50"/>
      <c r="Q31" s="50"/>
    </row>
    <row r="32" spans="2:17" ht="21.6" customHeight="1">
      <c r="B32" s="152" t="str">
        <f t="shared" si="0"/>
        <v>Hernan Reboni</v>
      </c>
      <c r="C32" s="27"/>
      <c r="D32" s="23"/>
      <c r="E32" s="29"/>
      <c r="F32" s="462"/>
      <c r="G32" s="23"/>
      <c r="H32" s="461"/>
      <c r="I32" s="44"/>
      <c r="J32" s="44"/>
      <c r="K32" s="19"/>
      <c r="L32" s="2"/>
      <c r="M32" s="56"/>
      <c r="N32" s="56"/>
      <c r="O32" s="23"/>
      <c r="P32" s="50"/>
      <c r="Q32" s="50"/>
    </row>
    <row r="33" spans="2:17" ht="21.6" customHeight="1">
      <c r="B33" s="152" t="str">
        <f t="shared" si="0"/>
        <v>Hernan Reboni</v>
      </c>
      <c r="C33" s="27"/>
      <c r="D33" s="23"/>
      <c r="E33" s="29"/>
      <c r="F33" s="416"/>
      <c r="G33" s="42"/>
      <c r="H33" s="468"/>
      <c r="I33" s="48"/>
      <c r="J33" s="48"/>
      <c r="K33" s="4"/>
      <c r="L33" s="2"/>
      <c r="M33" s="56"/>
      <c r="N33" s="56"/>
      <c r="O33" s="23"/>
      <c r="P33" s="50"/>
      <c r="Q33" s="50"/>
    </row>
    <row r="34" spans="2:17" ht="21.6" customHeight="1">
      <c r="B34" s="152" t="str">
        <f t="shared" si="0"/>
        <v>Hernan Reboni</v>
      </c>
      <c r="C34" s="27"/>
      <c r="D34" s="23"/>
      <c r="E34" s="46"/>
      <c r="F34" s="416"/>
      <c r="G34" s="42"/>
      <c r="H34" s="417"/>
      <c r="I34" s="48"/>
      <c r="J34" s="48"/>
      <c r="K34" s="4"/>
      <c r="L34" s="2"/>
      <c r="M34" s="56"/>
      <c r="N34" s="56"/>
      <c r="O34" s="23"/>
      <c r="P34" s="50"/>
      <c r="Q34" s="50"/>
    </row>
    <row r="35" spans="2:17" ht="21.6" customHeight="1">
      <c r="B35" s="152" t="str">
        <f t="shared" si="0"/>
        <v>Hernan Reboni</v>
      </c>
      <c r="C35" s="27"/>
      <c r="D35" s="23"/>
      <c r="E35" s="46"/>
      <c r="F35" s="416"/>
      <c r="G35" s="42"/>
      <c r="H35" s="417"/>
      <c r="I35" s="48"/>
      <c r="J35" s="48"/>
      <c r="K35" s="4"/>
      <c r="L35" s="2"/>
      <c r="M35" s="56"/>
      <c r="N35" s="56"/>
      <c r="O35" s="23"/>
      <c r="P35" s="50"/>
      <c r="Q35" s="50"/>
    </row>
    <row r="36" spans="2:17" ht="21.6" customHeight="1">
      <c r="B36" s="152" t="str">
        <f t="shared" si="0"/>
        <v>Hernan Reboni</v>
      </c>
      <c r="C36" s="27"/>
      <c r="D36" s="23"/>
      <c r="E36" s="46"/>
      <c r="F36" s="416"/>
      <c r="G36" s="42"/>
      <c r="H36" s="417"/>
      <c r="I36" s="48"/>
      <c r="J36" s="48"/>
      <c r="K36" s="4"/>
      <c r="L36" s="2"/>
      <c r="M36" s="56"/>
      <c r="N36" s="56"/>
      <c r="O36" s="23"/>
      <c r="P36" s="50"/>
      <c r="Q36" s="50"/>
    </row>
    <row r="37" spans="2:17" ht="21.6" customHeight="1">
      <c r="B37" s="152" t="str">
        <f t="shared" si="0"/>
        <v>Hernan Reboni</v>
      </c>
      <c r="C37" s="27"/>
      <c r="D37" s="23"/>
      <c r="E37" s="46"/>
      <c r="F37" s="416"/>
      <c r="G37" s="42"/>
      <c r="H37" s="464"/>
      <c r="I37" s="48"/>
      <c r="J37" s="48"/>
      <c r="K37" s="4"/>
      <c r="L37" s="2"/>
      <c r="M37" s="56"/>
      <c r="N37" s="56"/>
      <c r="O37" s="23"/>
      <c r="P37" s="50"/>
      <c r="Q37" s="50"/>
    </row>
    <row r="38" spans="2:17" ht="21.6" customHeight="1">
      <c r="B38" s="152" t="str">
        <f t="shared" si="0"/>
        <v>Hernan Reboni</v>
      </c>
      <c r="C38" s="27"/>
      <c r="D38" s="23"/>
      <c r="E38" s="29"/>
      <c r="F38" s="462"/>
      <c r="G38" s="23"/>
      <c r="H38" s="461"/>
      <c r="I38" s="44"/>
      <c r="J38" s="48"/>
      <c r="K38" s="4"/>
      <c r="L38" s="2"/>
      <c r="M38" s="56"/>
      <c r="N38" s="56"/>
      <c r="O38" s="23"/>
      <c r="P38" s="50"/>
      <c r="Q38" s="50"/>
    </row>
    <row r="39" spans="2:17" ht="21.6" customHeight="1">
      <c r="B39" s="152" t="str">
        <f t="shared" si="0"/>
        <v>Hernan Reboni</v>
      </c>
      <c r="C39" s="27"/>
      <c r="D39" s="42"/>
      <c r="E39" s="46"/>
      <c r="F39" s="416"/>
      <c r="G39" s="42"/>
      <c r="H39" s="417"/>
      <c r="I39" s="48"/>
      <c r="J39" s="48"/>
      <c r="K39" s="4"/>
      <c r="L39" s="2"/>
      <c r="M39" s="56"/>
      <c r="N39" s="56"/>
      <c r="O39" s="23"/>
      <c r="P39" s="50"/>
      <c r="Q39" s="50"/>
    </row>
    <row r="40" spans="2:17" ht="21.6" customHeight="1">
      <c r="B40" s="152" t="str">
        <f t="shared" si="0"/>
        <v>Hernan Reboni</v>
      </c>
      <c r="C40" s="27"/>
      <c r="D40" s="42"/>
      <c r="E40" s="46"/>
      <c r="F40" s="416"/>
      <c r="G40" s="23"/>
      <c r="H40" s="464"/>
      <c r="I40" s="48"/>
      <c r="J40" s="48"/>
      <c r="K40" s="4"/>
      <c r="L40" s="2"/>
      <c r="M40" s="56"/>
      <c r="N40" s="56"/>
      <c r="O40" s="23"/>
      <c r="P40" s="50"/>
      <c r="Q40" s="50"/>
    </row>
    <row r="41" spans="2:17" ht="21.6" customHeight="1">
      <c r="B41" s="152" t="str">
        <f t="shared" si="0"/>
        <v>Hernan Reboni</v>
      </c>
      <c r="C41" s="27"/>
      <c r="D41" s="38"/>
      <c r="E41" s="38"/>
      <c r="F41" s="416"/>
      <c r="G41" s="39"/>
      <c r="H41" s="419"/>
      <c r="I41" s="40"/>
      <c r="J41" s="40"/>
      <c r="K41" s="4"/>
      <c r="L41" s="2"/>
      <c r="M41" s="56"/>
      <c r="N41" s="56"/>
      <c r="O41" s="2"/>
      <c r="P41" s="50"/>
      <c r="Q41" s="50"/>
    </row>
    <row r="42" spans="2:17" ht="21.6" customHeight="1">
      <c r="B42" s="152" t="str">
        <f t="shared" si="0"/>
        <v>Hernan Reboni</v>
      </c>
      <c r="C42" s="27"/>
      <c r="D42" s="38"/>
      <c r="E42" s="38"/>
      <c r="F42" s="416"/>
      <c r="G42" s="39"/>
      <c r="H42" s="419"/>
      <c r="I42" s="40"/>
      <c r="J42" s="40"/>
      <c r="K42" s="4"/>
      <c r="L42" s="2"/>
      <c r="M42" s="56"/>
      <c r="N42" s="56"/>
      <c r="O42" s="14"/>
      <c r="P42" s="50"/>
      <c r="Q42" s="50"/>
    </row>
    <row r="43" spans="2:17" ht="21.6" customHeight="1">
      <c r="B43" s="152" t="str">
        <f t="shared" si="0"/>
        <v>Hernan Reboni</v>
      </c>
      <c r="C43" s="27"/>
      <c r="D43" s="38"/>
      <c r="E43" s="38"/>
      <c r="F43" s="416"/>
      <c r="G43" s="39"/>
      <c r="H43" s="419"/>
      <c r="I43" s="40"/>
      <c r="J43" s="40"/>
      <c r="K43" s="4"/>
      <c r="L43" s="2"/>
      <c r="M43" s="56"/>
      <c r="N43" s="56"/>
      <c r="O43" s="2"/>
      <c r="P43" s="50"/>
      <c r="Q43" s="50"/>
    </row>
    <row r="44" spans="2:17" ht="21.6" customHeight="1">
      <c r="B44" s="152" t="str">
        <f t="shared" si="0"/>
        <v>Hernan Reboni</v>
      </c>
      <c r="C44" s="27"/>
      <c r="D44" s="38"/>
      <c r="E44" s="38"/>
      <c r="F44" s="416"/>
      <c r="G44" s="39"/>
      <c r="H44" s="419"/>
      <c r="I44" s="40"/>
      <c r="J44" s="40"/>
      <c r="K44" s="4"/>
      <c r="L44" s="2"/>
      <c r="M44" s="56"/>
      <c r="N44" s="56"/>
      <c r="O44" s="2"/>
      <c r="P44" s="50"/>
      <c r="Q44" s="50"/>
    </row>
    <row r="45" spans="2:17" ht="21.6" customHeight="1">
      <c r="B45" s="152" t="str">
        <f t="shared" si="0"/>
        <v>Hernan Reboni</v>
      </c>
      <c r="C45" s="27"/>
      <c r="D45" s="38"/>
      <c r="E45" s="38"/>
      <c r="F45" s="416"/>
      <c r="G45" s="39"/>
      <c r="H45" s="419"/>
      <c r="I45" s="40"/>
      <c r="J45" s="40"/>
      <c r="K45" s="4"/>
      <c r="L45" s="2"/>
      <c r="M45" s="56"/>
      <c r="N45" s="56"/>
      <c r="O45" s="2"/>
      <c r="P45" s="50"/>
      <c r="Q45" s="50"/>
    </row>
    <row r="46" spans="2:17" ht="21.6" customHeight="1">
      <c r="B46" s="152" t="str">
        <f t="shared" si="0"/>
        <v>Hernan Reboni</v>
      </c>
      <c r="C46" s="27"/>
      <c r="D46" s="38"/>
      <c r="E46" s="38"/>
      <c r="F46" s="416"/>
      <c r="G46" s="39"/>
      <c r="H46" s="419"/>
      <c r="I46" s="40"/>
      <c r="J46" s="40"/>
      <c r="K46" s="4"/>
      <c r="L46" s="2"/>
      <c r="M46" s="56"/>
      <c r="N46" s="56"/>
      <c r="O46" s="2"/>
      <c r="P46" s="50"/>
      <c r="Q46" s="50"/>
    </row>
    <row r="47" spans="2:17" ht="21.6" customHeight="1">
      <c r="B47" s="152" t="str">
        <f t="shared" si="0"/>
        <v>Hernan Reboni</v>
      </c>
      <c r="C47" s="27"/>
      <c r="D47" s="38"/>
      <c r="E47" s="38"/>
      <c r="F47" s="416"/>
      <c r="G47" s="39"/>
      <c r="H47" s="419"/>
      <c r="I47" s="40"/>
      <c r="J47" s="40"/>
      <c r="K47" s="4"/>
      <c r="L47" s="2"/>
      <c r="M47" s="56"/>
      <c r="N47" s="56"/>
      <c r="O47" s="2"/>
      <c r="P47" s="50"/>
      <c r="Q47" s="50"/>
    </row>
    <row r="48" spans="2:17" ht="21.6" customHeight="1">
      <c r="B48" s="152" t="str">
        <f t="shared" si="0"/>
        <v>Hernan Reboni</v>
      </c>
      <c r="C48" s="27"/>
      <c r="D48" s="38"/>
      <c r="E48" s="38"/>
      <c r="F48" s="416"/>
      <c r="G48" s="39"/>
      <c r="H48" s="419"/>
      <c r="I48" s="40"/>
      <c r="J48" s="40"/>
      <c r="K48" s="4"/>
      <c r="L48" s="2"/>
      <c r="M48" s="56"/>
      <c r="N48" s="56"/>
      <c r="O48" s="2"/>
      <c r="P48" s="50"/>
      <c r="Q48" s="50"/>
    </row>
    <row r="49" spans="2:17" ht="20.100000000000001" customHeight="1">
      <c r="B49" s="152" t="str">
        <f t="shared" si="0"/>
        <v>Hernan Reboni</v>
      </c>
      <c r="C49" s="27"/>
      <c r="D49" s="469"/>
      <c r="E49" s="38"/>
      <c r="F49" s="419"/>
      <c r="G49" s="53"/>
      <c r="H49" s="469"/>
      <c r="I49" s="4"/>
      <c r="J49" s="4"/>
      <c r="K49" s="4"/>
      <c r="L49" s="14"/>
      <c r="M49" s="56"/>
      <c r="N49" s="56"/>
      <c r="O49" s="2"/>
      <c r="P49" s="50"/>
      <c r="Q49" s="50"/>
    </row>
    <row r="50" spans="2:17" ht="20.100000000000001" customHeight="1" thickBot="1">
      <c r="B50" s="6"/>
      <c r="G50" s="15"/>
      <c r="H50" s="30"/>
      <c r="I50" s="30"/>
      <c r="M50" s="14"/>
    </row>
    <row r="51" spans="2:17" ht="19.350000000000001" customHeight="1" thickBot="1">
      <c r="B51" s="6"/>
      <c r="G51" s="5" t="s">
        <v>258</v>
      </c>
      <c r="H51" s="32">
        <f>SUM(I10:I49)</f>
        <v>0</v>
      </c>
      <c r="I51" s="31"/>
    </row>
    <row r="52" spans="2:17" ht="13.35" customHeight="1">
      <c r="B52" s="6"/>
      <c r="G52" s="15"/>
      <c r="H52" s="30"/>
      <c r="I52" s="30"/>
    </row>
    <row r="53" spans="2:17">
      <c r="B53" s="6"/>
      <c r="G53" s="15"/>
      <c r="H53" s="30"/>
      <c r="I53" s="30"/>
    </row>
    <row r="54" spans="2:17">
      <c r="B54" s="6"/>
      <c r="G54" s="15"/>
      <c r="H54" s="30"/>
      <c r="I54" s="30"/>
    </row>
    <row r="55" spans="2:17">
      <c r="B55" s="6"/>
      <c r="H55" s="20"/>
      <c r="I55" s="20"/>
    </row>
    <row r="56" spans="2:17">
      <c r="B56" s="6"/>
      <c r="H56" s="20"/>
      <c r="I56" s="20"/>
    </row>
    <row r="57" spans="2:17">
      <c r="B57" s="6"/>
      <c r="H57" s="20"/>
      <c r="I57" s="20"/>
    </row>
    <row r="58" spans="2:17">
      <c r="B58" s="6"/>
      <c r="H58" s="20"/>
      <c r="I58" s="20"/>
    </row>
    <row r="59" spans="2:17">
      <c r="B59" s="6"/>
      <c r="H59" s="20"/>
      <c r="I59" s="20"/>
    </row>
    <row r="60" spans="2:17">
      <c r="B60" s="6"/>
      <c r="H60" s="20"/>
      <c r="I60" s="20"/>
    </row>
    <row r="61" spans="2:17">
      <c r="B61" s="6"/>
      <c r="H61" s="20"/>
      <c r="I61" s="20"/>
    </row>
    <row r="62" spans="2:17">
      <c r="B62" s="6"/>
      <c r="H62" s="20"/>
      <c r="I62" s="20"/>
    </row>
    <row r="63" spans="2:17">
      <c r="B63" s="6"/>
      <c r="H63" s="20"/>
      <c r="I63" s="20"/>
    </row>
    <row r="64" spans="2:17">
      <c r="B64" s="6"/>
      <c r="H64" s="20"/>
      <c r="I64" s="20"/>
    </row>
    <row r="65" spans="2:9">
      <c r="B65" s="6"/>
      <c r="H65" s="20"/>
      <c r="I65" s="20"/>
    </row>
    <row r="66" spans="2:9">
      <c r="B66" s="6"/>
      <c r="H66" s="20"/>
      <c r="I66" s="20"/>
    </row>
    <row r="67" spans="2:9">
      <c r="B67" s="6"/>
      <c r="H67" s="20"/>
      <c r="I67" s="20"/>
    </row>
    <row r="68" spans="2:9">
      <c r="B68" s="6"/>
      <c r="H68" s="20"/>
      <c r="I68" s="20"/>
    </row>
    <row r="69" spans="2:9">
      <c r="B69" s="6"/>
      <c r="H69" s="20"/>
      <c r="I69" s="20"/>
    </row>
    <row r="70" spans="2:9">
      <c r="B70" s="6"/>
      <c r="H70" s="20"/>
      <c r="I70" s="20"/>
    </row>
    <row r="71" spans="2:9">
      <c r="B71" s="6"/>
      <c r="H71" s="20"/>
      <c r="I71" s="20"/>
    </row>
    <row r="72" spans="2:9">
      <c r="B72" s="6"/>
      <c r="H72" s="20"/>
      <c r="I72" s="20"/>
    </row>
    <row r="73" spans="2:9">
      <c r="B73" s="6"/>
      <c r="H73" s="20"/>
      <c r="I73" s="20"/>
    </row>
    <row r="74" spans="2:9">
      <c r="B74" s="6"/>
      <c r="H74" s="20"/>
      <c r="I74" s="20"/>
    </row>
    <row r="75" spans="2:9">
      <c r="B75" s="6"/>
      <c r="H75" s="20"/>
      <c r="I75" s="20"/>
    </row>
    <row r="76" spans="2:9">
      <c r="B76" s="6"/>
      <c r="H76" s="20"/>
      <c r="I76" s="20"/>
    </row>
    <row r="77" spans="2:9">
      <c r="B77" s="6"/>
      <c r="H77" s="20"/>
      <c r="I77" s="20"/>
    </row>
    <row r="78" spans="2:9">
      <c r="B78" s="6"/>
      <c r="H78" s="20"/>
      <c r="I78" s="20"/>
    </row>
    <row r="79" spans="2:9">
      <c r="B79" s="6"/>
      <c r="H79" s="20"/>
      <c r="I79" s="20"/>
    </row>
    <row r="80" spans="2:9">
      <c r="B80" s="6"/>
      <c r="H80" s="20"/>
      <c r="I80" s="20"/>
    </row>
    <row r="81" spans="2:9">
      <c r="B81" s="6"/>
      <c r="H81" s="20"/>
      <c r="I81" s="20"/>
    </row>
    <row r="82" spans="2:9">
      <c r="B82" s="6"/>
      <c r="H82" s="20"/>
      <c r="I82" s="20"/>
    </row>
    <row r="83" spans="2:9">
      <c r="B83" s="6"/>
      <c r="H83" s="20"/>
      <c r="I83" s="20"/>
    </row>
    <row r="84" spans="2:9">
      <c r="B84" s="6"/>
      <c r="H84" s="20"/>
      <c r="I84" s="20"/>
    </row>
    <row r="85" spans="2:9">
      <c r="B85" s="6"/>
      <c r="H85" s="20"/>
      <c r="I85" s="20"/>
    </row>
    <row r="86" spans="2:9">
      <c r="B86" s="6"/>
      <c r="H86" s="20"/>
      <c r="I86" s="20"/>
    </row>
    <row r="87" spans="2:9">
      <c r="B87" s="6"/>
      <c r="H87" s="20"/>
      <c r="I87" s="20"/>
    </row>
    <row r="88" spans="2:9">
      <c r="B88" s="6"/>
      <c r="H88" s="20"/>
      <c r="I88" s="20"/>
    </row>
    <row r="89" spans="2:9">
      <c r="B89" s="6"/>
      <c r="H89" s="20"/>
      <c r="I89" s="20"/>
    </row>
    <row r="90" spans="2:9">
      <c r="B90" s="6"/>
      <c r="H90" s="20"/>
      <c r="I90" s="20"/>
    </row>
    <row r="91" spans="2:9">
      <c r="B91" s="6"/>
      <c r="H91" s="20"/>
      <c r="I91" s="20"/>
    </row>
    <row r="92" spans="2:9">
      <c r="B92" s="6"/>
      <c r="H92" s="20"/>
      <c r="I92" s="20"/>
    </row>
  </sheetData>
  <mergeCells count="5">
    <mergeCell ref="D2:H2"/>
    <mergeCell ref="F3:G3"/>
    <mergeCell ref="F4:G4"/>
    <mergeCell ref="F5:G5"/>
    <mergeCell ref="F6:G6"/>
  </mergeCells>
  <conditionalFormatting sqref="L10:N10 L12:N49 O41:O49 M50">
    <cfRule type="cellIs" dxfId="1356" priority="11" operator="equal">
      <formula>"Cuenta Corriente"</formula>
    </cfRule>
    <cfRule type="cellIs" dxfId="1355" priority="12" operator="equal">
      <formula>"No Pagado"</formula>
    </cfRule>
  </conditionalFormatting>
  <conditionalFormatting sqref="N11">
    <cfRule type="cellIs" dxfId="1354" priority="1" operator="equal">
      <formula>"Cuenta Corriente"</formula>
    </cfRule>
    <cfRule type="cellIs" dxfId="1353" priority="2" operator="equal">
      <formula>"No Pagado"</formula>
    </cfRule>
  </conditionalFormatting>
  <conditionalFormatting sqref="O10:O40 L11:M11">
    <cfRule type="containsText" dxfId="1352" priority="3" operator="containsText" text="Pendiente">
      <formula>NOT(ISERROR(SEARCH("Pendiente",L10)))</formula>
    </cfRule>
    <cfRule type="containsText" dxfId="1351" priority="4" operator="containsText" text="Pagado">
      <formula>NOT(ISERROR(SEARCH("Pagado",L10)))</formula>
    </cfRule>
    <cfRule type="containsText" dxfId="1350" priority="5" operator="containsText" text="Para abonar">
      <formula>NOT(ISERROR(SEARCH("Para abonar",L10)))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38DA36-5DCC-4784-87F4-0DF309BF33E6}">
          <x14:formula1>
            <xm:f>Consultas!$B$13:$B$15</xm:f>
          </x14:formula1>
          <xm:sqref>N10:N49</xm:sqref>
        </x14:dataValidation>
        <x14:dataValidation type="list" allowBlank="1" showInputMessage="1" showErrorMessage="1" xr:uid="{02D4AC8B-5B1D-49DE-902D-80090538D4A2}">
          <x14:formula1>
            <xm:f>Consultas!$B$9:$B$11</xm:f>
          </x14:formula1>
          <xm:sqref>M50 O10:O49 L10:M49</xm:sqref>
        </x14:dataValidation>
        <x14:dataValidation type="list" allowBlank="1" showInputMessage="1" showErrorMessage="1" xr:uid="{528C9499-0FB5-4CB4-B970-C28A5A7F1284}">
          <x14:formula1>
            <xm:f>Proveedores!$B$3:$B$111</xm:f>
          </x14:formula1>
          <xm:sqref>G10:G118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BE3E-A64A-4451-911E-2E99F61B26D2}">
  <dimension ref="A1:W159"/>
  <sheetViews>
    <sheetView topLeftCell="A80" zoomScale="70" zoomScaleNormal="70" workbookViewId="0">
      <selection activeCell="F101" sqref="F101"/>
    </sheetView>
  </sheetViews>
  <sheetFormatPr defaultColWidth="11.42578125" defaultRowHeight="14.45"/>
  <cols>
    <col min="1" max="1" width="16.42578125" bestFit="1" customWidth="1"/>
    <col min="2" max="2" width="27.28515625" customWidth="1"/>
    <col min="3" max="3" width="16.28515625" bestFit="1" customWidth="1"/>
    <col min="4" max="4" width="28.140625" customWidth="1"/>
    <col min="5" max="5" width="32.85546875" customWidth="1"/>
    <col min="6" max="6" width="44.42578125" customWidth="1"/>
    <col min="7" max="7" width="23.7109375" customWidth="1"/>
    <col min="8" max="8" width="22.5703125" customWidth="1"/>
    <col min="9" max="9" width="27" customWidth="1"/>
    <col min="10" max="10" width="26.85546875" bestFit="1" customWidth="1"/>
    <col min="11" max="11" width="30.28515625" customWidth="1"/>
    <col min="12" max="12" width="19.28515625" customWidth="1"/>
    <col min="13" max="13" width="17.85546875" customWidth="1"/>
    <col min="14" max="14" width="28.42578125" customWidth="1"/>
  </cols>
  <sheetData>
    <row r="1" spans="2:19">
      <c r="B1" s="6"/>
    </row>
    <row r="2" spans="2:19" ht="23.45">
      <c r="B2" s="6"/>
      <c r="D2" s="420" t="s">
        <v>176</v>
      </c>
      <c r="E2" s="421"/>
      <c r="F2" s="421"/>
      <c r="G2" s="421"/>
      <c r="H2" s="422"/>
      <c r="I2" s="28"/>
    </row>
    <row r="3" spans="2:19" ht="18" customHeight="1">
      <c r="B3" s="6"/>
      <c r="D3" s="8" t="s">
        <v>177</v>
      </c>
      <c r="E3" s="36" t="s">
        <v>262</v>
      </c>
      <c r="F3" s="423"/>
      <c r="G3" s="424"/>
      <c r="H3" s="37"/>
      <c r="I3" s="15"/>
    </row>
    <row r="4" spans="2:19">
      <c r="B4" s="6"/>
      <c r="D4" s="9" t="s">
        <v>179</v>
      </c>
      <c r="E4" s="449" t="s">
        <v>263</v>
      </c>
      <c r="F4" s="450" t="s">
        <v>180</v>
      </c>
      <c r="G4" s="451"/>
      <c r="H4" s="35" t="s">
        <v>264</v>
      </c>
      <c r="I4" s="452"/>
    </row>
    <row r="5" spans="2:19">
      <c r="B5" s="6"/>
      <c r="D5" s="9"/>
      <c r="E5" s="1"/>
      <c r="F5" s="453"/>
      <c r="G5" s="454"/>
      <c r="H5" s="10"/>
      <c r="I5" s="15"/>
    </row>
    <row r="6" spans="2:19">
      <c r="B6" s="6"/>
      <c r="D6" s="11"/>
      <c r="E6" s="12"/>
      <c r="F6" s="455"/>
      <c r="G6" s="456"/>
      <c r="H6" s="13"/>
      <c r="I6" s="15"/>
    </row>
    <row r="7" spans="2:19">
      <c r="B7" s="6"/>
    </row>
    <row r="8" spans="2:19">
      <c r="B8" s="6"/>
      <c r="K8" s="197"/>
      <c r="L8" s="197"/>
    </row>
    <row r="9" spans="2:19" ht="34.5" customHeigh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52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  <c r="R9" s="155" t="s">
        <v>265</v>
      </c>
      <c r="S9" s="155" t="s">
        <v>266</v>
      </c>
    </row>
    <row r="10" spans="2:19" ht="21" customHeight="1">
      <c r="B10" s="152" t="str">
        <f t="shared" ref="B10:B51" si="0">+$E$3</f>
        <v>REMODELACION ARZOLA</v>
      </c>
      <c r="C10" s="24">
        <v>45863</v>
      </c>
      <c r="D10" s="22" t="s">
        <v>267</v>
      </c>
      <c r="E10" s="33" t="s">
        <v>268</v>
      </c>
      <c r="F10" s="457" t="s">
        <v>269</v>
      </c>
      <c r="G10" s="22" t="s">
        <v>199</v>
      </c>
      <c r="H10" s="458" t="s">
        <v>270</v>
      </c>
      <c r="I10" s="43">
        <f>1228234.35</f>
        <v>1228234.3500000001</v>
      </c>
      <c r="J10" s="43"/>
      <c r="K10" s="34"/>
      <c r="L10" s="150" t="s">
        <v>209</v>
      </c>
      <c r="M10" s="150" t="s">
        <v>209</v>
      </c>
      <c r="N10" s="56"/>
      <c r="O10" s="23"/>
      <c r="P10" s="470"/>
      <c r="Q10" s="470"/>
    </row>
    <row r="11" spans="2:19" ht="21" customHeight="1">
      <c r="B11" s="152" t="str">
        <f t="shared" si="0"/>
        <v>REMODELACION ARZOLA</v>
      </c>
      <c r="C11" s="25">
        <v>45860</v>
      </c>
      <c r="D11" s="29" t="s">
        <v>271</v>
      </c>
      <c r="E11" s="46" t="s">
        <v>268</v>
      </c>
      <c r="F11" s="460" t="s">
        <v>272</v>
      </c>
      <c r="G11" s="41" t="s">
        <v>9</v>
      </c>
      <c r="H11" s="461" t="s">
        <v>270</v>
      </c>
      <c r="I11" s="45">
        <v>1086246.76</v>
      </c>
      <c r="J11" s="45"/>
      <c r="K11" s="19"/>
      <c r="L11" s="150" t="s">
        <v>209</v>
      </c>
      <c r="M11" s="150" t="s">
        <v>209</v>
      </c>
      <c r="N11" s="56"/>
      <c r="O11" s="23"/>
      <c r="P11" s="471"/>
      <c r="Q11" s="471"/>
    </row>
    <row r="12" spans="2:19" ht="21" customHeight="1">
      <c r="B12" s="152" t="str">
        <f t="shared" si="0"/>
        <v>REMODELACION ARZOLA</v>
      </c>
      <c r="C12" s="25">
        <v>45870</v>
      </c>
      <c r="D12" s="23" t="s">
        <v>212</v>
      </c>
      <c r="E12" s="29" t="s">
        <v>228</v>
      </c>
      <c r="F12" s="462" t="s">
        <v>273</v>
      </c>
      <c r="G12" s="23" t="s">
        <v>274</v>
      </c>
      <c r="H12" s="461" t="s">
        <v>270</v>
      </c>
      <c r="I12" s="44">
        <v>280000</v>
      </c>
      <c r="J12" s="44"/>
      <c r="K12" s="19"/>
      <c r="L12" s="150" t="s">
        <v>209</v>
      </c>
      <c r="M12" s="150" t="s">
        <v>209</v>
      </c>
      <c r="N12" s="56"/>
      <c r="O12" s="23"/>
      <c r="P12" s="471"/>
      <c r="Q12" s="471"/>
    </row>
    <row r="13" spans="2:19" ht="21" customHeight="1">
      <c r="B13" s="152" t="str">
        <f t="shared" si="0"/>
        <v>REMODELACION ARZOLA</v>
      </c>
      <c r="C13" s="463">
        <v>45866</v>
      </c>
      <c r="D13" s="23" t="s">
        <v>212</v>
      </c>
      <c r="E13" s="29" t="s">
        <v>228</v>
      </c>
      <c r="F13" s="462" t="s">
        <v>275</v>
      </c>
      <c r="G13" s="23" t="s">
        <v>9</v>
      </c>
      <c r="H13" s="464" t="s">
        <v>270</v>
      </c>
      <c r="I13" s="44">
        <v>184187.15</v>
      </c>
      <c r="J13" s="44"/>
      <c r="K13" s="47" t="s">
        <v>276</v>
      </c>
      <c r="L13" s="150" t="s">
        <v>209</v>
      </c>
      <c r="M13" s="150" t="s">
        <v>209</v>
      </c>
      <c r="N13" s="56"/>
      <c r="O13" s="23"/>
      <c r="P13" s="471"/>
      <c r="Q13" s="471"/>
    </row>
    <row r="14" spans="2:19" ht="33.75" customHeight="1">
      <c r="B14" s="152" t="str">
        <f t="shared" si="0"/>
        <v>REMODELACION ARZOLA</v>
      </c>
      <c r="C14" s="25">
        <v>45856</v>
      </c>
      <c r="D14" s="23" t="s">
        <v>212</v>
      </c>
      <c r="E14" s="29" t="s">
        <v>228</v>
      </c>
      <c r="F14" s="462" t="s">
        <v>277</v>
      </c>
      <c r="G14" s="41" t="s">
        <v>199</v>
      </c>
      <c r="H14" s="461" t="s">
        <v>270</v>
      </c>
      <c r="I14" s="44">
        <v>30223.919999999998</v>
      </c>
      <c r="J14" s="44"/>
      <c r="K14" s="47" t="s">
        <v>276</v>
      </c>
      <c r="L14" s="150" t="s">
        <v>209</v>
      </c>
      <c r="M14" s="150" t="s">
        <v>209</v>
      </c>
      <c r="N14" s="56"/>
      <c r="O14" s="23"/>
      <c r="P14" s="472"/>
      <c r="Q14" s="472"/>
    </row>
    <row r="15" spans="2:19" ht="37.5" customHeight="1">
      <c r="B15" s="152" t="str">
        <f t="shared" si="0"/>
        <v>REMODELACION ARZOLA</v>
      </c>
      <c r="C15" s="463">
        <v>45870</v>
      </c>
      <c r="D15" s="23" t="s">
        <v>212</v>
      </c>
      <c r="E15" s="29" t="s">
        <v>228</v>
      </c>
      <c r="F15" s="462" t="s">
        <v>278</v>
      </c>
      <c r="G15" s="23" t="s">
        <v>86</v>
      </c>
      <c r="H15" s="464" t="s">
        <v>279</v>
      </c>
      <c r="I15" s="44">
        <v>6694875.2599999998</v>
      </c>
      <c r="J15" s="44"/>
      <c r="K15" s="19"/>
      <c r="L15" s="150" t="s">
        <v>209</v>
      </c>
      <c r="M15" s="150" t="s">
        <v>209</v>
      </c>
      <c r="N15" s="56"/>
      <c r="O15" s="23"/>
      <c r="P15" s="470"/>
      <c r="Q15" s="470"/>
    </row>
    <row r="16" spans="2:19" ht="21" customHeight="1">
      <c r="B16" s="152" t="str">
        <f t="shared" si="0"/>
        <v>REMODELACION ARZOLA</v>
      </c>
      <c r="C16" s="25">
        <v>45861</v>
      </c>
      <c r="D16" s="23" t="s">
        <v>212</v>
      </c>
      <c r="E16" s="29" t="s">
        <v>228</v>
      </c>
      <c r="F16" s="462" t="s">
        <v>280</v>
      </c>
      <c r="G16" s="23" t="s">
        <v>281</v>
      </c>
      <c r="H16" s="464" t="s">
        <v>282</v>
      </c>
      <c r="I16" s="44">
        <v>600000</v>
      </c>
      <c r="J16" s="44"/>
      <c r="K16" s="19"/>
      <c r="L16" s="150" t="s">
        <v>209</v>
      </c>
      <c r="M16" s="150" t="s">
        <v>209</v>
      </c>
      <c r="N16" s="56"/>
      <c r="O16" s="23"/>
      <c r="P16" s="471"/>
      <c r="Q16" s="471"/>
    </row>
    <row r="17" spans="2:17" ht="21" customHeight="1">
      <c r="B17" s="152" t="str">
        <f t="shared" si="0"/>
        <v>REMODELACION ARZOLA</v>
      </c>
      <c r="C17" s="26">
        <v>45863</v>
      </c>
      <c r="D17" s="41" t="s">
        <v>283</v>
      </c>
      <c r="E17" s="46" t="s">
        <v>268</v>
      </c>
      <c r="F17" s="462" t="s">
        <v>284</v>
      </c>
      <c r="G17" s="41" t="s">
        <v>199</v>
      </c>
      <c r="H17" s="461" t="s">
        <v>270</v>
      </c>
      <c r="I17" s="44">
        <v>685091.44</v>
      </c>
      <c r="J17" s="44"/>
      <c r="K17" s="19"/>
      <c r="L17" s="150" t="s">
        <v>209</v>
      </c>
      <c r="M17" s="150" t="s">
        <v>209</v>
      </c>
      <c r="N17" s="56"/>
      <c r="O17" s="23"/>
      <c r="P17" s="471"/>
      <c r="Q17" s="471"/>
    </row>
    <row r="18" spans="2:17" ht="21" customHeight="1">
      <c r="B18" s="152" t="str">
        <f t="shared" si="0"/>
        <v>REMODELACION ARZOLA</v>
      </c>
      <c r="C18" s="25">
        <v>45881</v>
      </c>
      <c r="D18" s="23" t="s">
        <v>212</v>
      </c>
      <c r="E18" s="29" t="s">
        <v>228</v>
      </c>
      <c r="F18" s="462" t="s">
        <v>285</v>
      </c>
      <c r="G18" s="23" t="s">
        <v>9</v>
      </c>
      <c r="H18" s="464" t="s">
        <v>270</v>
      </c>
      <c r="I18" s="44">
        <v>3700000</v>
      </c>
      <c r="J18" s="44"/>
      <c r="K18" s="47"/>
      <c r="L18" s="150" t="s">
        <v>209</v>
      </c>
      <c r="M18" s="150" t="s">
        <v>209</v>
      </c>
      <c r="N18" s="56"/>
      <c r="O18" s="23"/>
      <c r="P18" s="471"/>
      <c r="Q18" s="471"/>
    </row>
    <row r="19" spans="2:17" ht="21" customHeight="1">
      <c r="B19" s="152" t="str">
        <f t="shared" si="0"/>
        <v>REMODELACION ARZOLA</v>
      </c>
      <c r="C19" s="25">
        <v>45888</v>
      </c>
      <c r="D19" s="23" t="s">
        <v>212</v>
      </c>
      <c r="E19" s="29" t="s">
        <v>228</v>
      </c>
      <c r="F19" s="462" t="s">
        <v>286</v>
      </c>
      <c r="G19" s="23" t="s">
        <v>9</v>
      </c>
      <c r="H19" s="464" t="s">
        <v>270</v>
      </c>
      <c r="I19" s="44">
        <v>1200000</v>
      </c>
      <c r="J19" s="44"/>
      <c r="K19" s="47"/>
      <c r="L19" s="150" t="s">
        <v>209</v>
      </c>
      <c r="M19" s="150" t="s">
        <v>209</v>
      </c>
      <c r="N19" s="56"/>
      <c r="O19" s="23"/>
      <c r="P19" s="472"/>
      <c r="Q19" s="472"/>
    </row>
    <row r="20" spans="2:17" ht="21" customHeight="1">
      <c r="B20" s="152" t="str">
        <f t="shared" si="0"/>
        <v>REMODELACION ARZOLA</v>
      </c>
      <c r="C20" s="25">
        <v>45881</v>
      </c>
      <c r="D20" s="23" t="s">
        <v>212</v>
      </c>
      <c r="E20" s="29" t="s">
        <v>228</v>
      </c>
      <c r="F20" s="462" t="s">
        <v>287</v>
      </c>
      <c r="G20" s="23" t="s">
        <v>9</v>
      </c>
      <c r="H20" s="464" t="s">
        <v>270</v>
      </c>
      <c r="I20" s="44">
        <v>49966.44</v>
      </c>
      <c r="J20" s="44"/>
      <c r="K20" s="47"/>
      <c r="L20" s="150" t="s">
        <v>209</v>
      </c>
      <c r="M20" s="150" t="s">
        <v>209</v>
      </c>
      <c r="N20" s="56"/>
      <c r="O20" s="23"/>
      <c r="P20" s="470"/>
      <c r="Q20" s="470"/>
    </row>
    <row r="21" spans="2:17" ht="21" customHeight="1">
      <c r="B21" s="152" t="str">
        <f t="shared" si="0"/>
        <v>REMODELACION ARZOLA</v>
      </c>
      <c r="C21" s="25">
        <v>45881</v>
      </c>
      <c r="D21" s="23" t="s">
        <v>212</v>
      </c>
      <c r="E21" s="29" t="s">
        <v>228</v>
      </c>
      <c r="F21" s="462" t="s">
        <v>288</v>
      </c>
      <c r="G21" s="23" t="s">
        <v>289</v>
      </c>
      <c r="H21" s="464" t="s">
        <v>279</v>
      </c>
      <c r="I21" s="44">
        <v>3773588</v>
      </c>
      <c r="J21" s="44"/>
      <c r="K21" s="19"/>
      <c r="L21" s="150" t="s">
        <v>209</v>
      </c>
      <c r="M21" s="150" t="s">
        <v>209</v>
      </c>
      <c r="N21" s="56"/>
      <c r="O21" s="23"/>
      <c r="P21" s="471"/>
      <c r="Q21" s="471"/>
    </row>
    <row r="22" spans="2:17" ht="21" customHeight="1">
      <c r="B22" s="152" t="str">
        <f t="shared" si="0"/>
        <v>REMODELACION ARZOLA</v>
      </c>
      <c r="C22" s="25">
        <v>45881</v>
      </c>
      <c r="D22" s="23" t="s">
        <v>212</v>
      </c>
      <c r="E22" s="29" t="s">
        <v>228</v>
      </c>
      <c r="F22" s="462" t="s">
        <v>290</v>
      </c>
      <c r="G22" s="23" t="s">
        <v>289</v>
      </c>
      <c r="H22" s="464" t="s">
        <v>279</v>
      </c>
      <c r="I22" s="44">
        <v>780000</v>
      </c>
      <c r="J22" s="48"/>
      <c r="K22" s="40"/>
      <c r="L22" s="150" t="s">
        <v>209</v>
      </c>
      <c r="M22" s="150" t="s">
        <v>209</v>
      </c>
      <c r="N22" s="56"/>
      <c r="O22" s="23"/>
      <c r="P22" s="471"/>
      <c r="Q22" s="471"/>
    </row>
    <row r="23" spans="2:17" ht="21" customHeight="1">
      <c r="B23" s="152" t="str">
        <f t="shared" si="0"/>
        <v>REMODELACION ARZOLA</v>
      </c>
      <c r="C23" s="27">
        <v>45888</v>
      </c>
      <c r="D23" s="23" t="s">
        <v>291</v>
      </c>
      <c r="E23" s="46" t="s">
        <v>268</v>
      </c>
      <c r="F23" s="416" t="s">
        <v>292</v>
      </c>
      <c r="G23" s="23" t="s">
        <v>72</v>
      </c>
      <c r="H23" s="464" t="s">
        <v>63</v>
      </c>
      <c r="I23" s="48">
        <v>630433.74</v>
      </c>
      <c r="J23" s="48"/>
      <c r="K23" s="4"/>
      <c r="L23" s="150" t="s">
        <v>209</v>
      </c>
      <c r="M23" s="150" t="s">
        <v>209</v>
      </c>
      <c r="N23" s="56"/>
      <c r="O23" s="23"/>
      <c r="P23" s="471"/>
      <c r="Q23" s="471"/>
    </row>
    <row r="24" spans="2:17" ht="21" customHeight="1">
      <c r="B24" s="152" t="str">
        <f t="shared" si="0"/>
        <v>REMODELACION ARZOLA</v>
      </c>
      <c r="C24" s="27">
        <v>45888</v>
      </c>
      <c r="D24" s="23" t="s">
        <v>293</v>
      </c>
      <c r="E24" s="29" t="s">
        <v>228</v>
      </c>
      <c r="F24" s="416" t="s">
        <v>294</v>
      </c>
      <c r="G24" s="41" t="s">
        <v>199</v>
      </c>
      <c r="H24" s="461" t="s">
        <v>270</v>
      </c>
      <c r="I24" s="48">
        <v>-8294</v>
      </c>
      <c r="J24" s="48"/>
      <c r="K24" s="4"/>
      <c r="L24" s="150" t="s">
        <v>209</v>
      </c>
      <c r="M24" s="150" t="s">
        <v>209</v>
      </c>
      <c r="N24" s="56"/>
      <c r="O24" s="23"/>
      <c r="P24" s="472"/>
      <c r="Q24" s="472"/>
    </row>
    <row r="25" spans="2:17" ht="21" customHeight="1">
      <c r="B25" s="152" t="str">
        <f t="shared" si="0"/>
        <v>REMODELACION ARZOLA</v>
      </c>
      <c r="C25" s="27">
        <v>45888</v>
      </c>
      <c r="D25" s="23" t="s">
        <v>212</v>
      </c>
      <c r="E25" s="29" t="s">
        <v>228</v>
      </c>
      <c r="F25" s="416" t="s">
        <v>295</v>
      </c>
      <c r="G25" s="41" t="s">
        <v>199</v>
      </c>
      <c r="H25" s="461" t="s">
        <v>270</v>
      </c>
      <c r="I25" s="48">
        <v>61470</v>
      </c>
      <c r="J25" s="48"/>
      <c r="K25" s="4"/>
      <c r="L25" s="150" t="s">
        <v>209</v>
      </c>
      <c r="M25" s="150" t="s">
        <v>209</v>
      </c>
      <c r="N25" s="56"/>
      <c r="O25" s="23"/>
      <c r="P25" s="470"/>
      <c r="Q25" s="470"/>
    </row>
    <row r="26" spans="2:17" ht="21" customHeight="1">
      <c r="B26" s="152" t="str">
        <f t="shared" si="0"/>
        <v>REMODELACION ARZOLA</v>
      </c>
      <c r="C26" s="27">
        <v>45890</v>
      </c>
      <c r="D26" s="23" t="s">
        <v>212</v>
      </c>
      <c r="E26" s="29" t="s">
        <v>228</v>
      </c>
      <c r="F26" s="416" t="s">
        <v>296</v>
      </c>
      <c r="G26" s="41" t="s">
        <v>199</v>
      </c>
      <c r="H26" s="461" t="s">
        <v>270</v>
      </c>
      <c r="I26" s="48">
        <v>227142.84</v>
      </c>
      <c r="J26" s="48"/>
      <c r="K26" s="4"/>
      <c r="L26" s="150" t="s">
        <v>209</v>
      </c>
      <c r="M26" s="150" t="s">
        <v>209</v>
      </c>
      <c r="N26" s="56"/>
      <c r="O26" s="23"/>
      <c r="P26" s="471"/>
      <c r="Q26" s="471"/>
    </row>
    <row r="27" spans="2:17" ht="21" customHeight="1">
      <c r="B27" s="152" t="str">
        <f t="shared" si="0"/>
        <v>REMODELACION ARZOLA</v>
      </c>
      <c r="C27" s="27">
        <v>45888</v>
      </c>
      <c r="D27" s="23" t="s">
        <v>297</v>
      </c>
      <c r="E27" s="46" t="s">
        <v>268</v>
      </c>
      <c r="F27" s="416" t="s">
        <v>298</v>
      </c>
      <c r="G27" s="23" t="s">
        <v>72</v>
      </c>
      <c r="H27" s="464" t="s">
        <v>63</v>
      </c>
      <c r="I27" s="48">
        <v>220346.18</v>
      </c>
      <c r="J27" s="48"/>
      <c r="K27" s="4"/>
      <c r="L27" s="150" t="s">
        <v>209</v>
      </c>
      <c r="M27" s="150" t="s">
        <v>209</v>
      </c>
      <c r="N27" s="56"/>
      <c r="O27" s="23"/>
      <c r="P27" s="471"/>
      <c r="Q27" s="471"/>
    </row>
    <row r="28" spans="2:17" ht="21" customHeight="1">
      <c r="B28" s="152" t="str">
        <f t="shared" si="0"/>
        <v>REMODELACION ARZOLA</v>
      </c>
      <c r="C28" s="27">
        <v>45890</v>
      </c>
      <c r="D28" s="23" t="s">
        <v>299</v>
      </c>
      <c r="E28" s="46" t="s">
        <v>268</v>
      </c>
      <c r="F28" s="416" t="s">
        <v>300</v>
      </c>
      <c r="G28" s="42" t="s">
        <v>22</v>
      </c>
      <c r="H28" s="461" t="s">
        <v>270</v>
      </c>
      <c r="I28" s="48">
        <v>89997.68</v>
      </c>
      <c r="J28" s="48"/>
      <c r="K28" s="4"/>
      <c r="L28" s="150" t="s">
        <v>209</v>
      </c>
      <c r="M28" s="150" t="s">
        <v>209</v>
      </c>
      <c r="N28" s="56"/>
      <c r="O28" s="23"/>
      <c r="P28" s="471"/>
      <c r="Q28" s="471"/>
    </row>
    <row r="29" spans="2:17" ht="21" customHeight="1">
      <c r="B29" s="152" t="str">
        <f t="shared" si="0"/>
        <v>REMODELACION ARZOLA</v>
      </c>
      <c r="C29" s="27">
        <v>45890</v>
      </c>
      <c r="D29" s="23" t="s">
        <v>212</v>
      </c>
      <c r="E29" s="29" t="s">
        <v>228</v>
      </c>
      <c r="F29" s="416" t="s">
        <v>301</v>
      </c>
      <c r="G29" s="42" t="s">
        <v>97</v>
      </c>
      <c r="H29" s="461" t="s">
        <v>270</v>
      </c>
      <c r="I29" s="48">
        <v>1018800</v>
      </c>
      <c r="J29" s="48"/>
      <c r="K29" s="4"/>
      <c r="L29" s="150" t="s">
        <v>209</v>
      </c>
      <c r="M29" s="150" t="s">
        <v>209</v>
      </c>
      <c r="N29" s="56"/>
      <c r="O29" s="23"/>
      <c r="P29" s="472"/>
      <c r="Q29" s="472"/>
    </row>
    <row r="30" spans="2:17" ht="21" customHeight="1">
      <c r="B30" s="152" t="str">
        <f t="shared" si="0"/>
        <v>REMODELACION ARZOLA</v>
      </c>
      <c r="C30" s="27">
        <v>45902</v>
      </c>
      <c r="D30" s="23" t="s">
        <v>212</v>
      </c>
      <c r="E30" s="29" t="s">
        <v>228</v>
      </c>
      <c r="F30" s="416" t="s">
        <v>302</v>
      </c>
      <c r="G30" s="42" t="s">
        <v>97</v>
      </c>
      <c r="H30" s="461" t="s">
        <v>270</v>
      </c>
      <c r="I30" s="48">
        <v>439200</v>
      </c>
      <c r="J30" s="48"/>
      <c r="K30" s="4"/>
      <c r="L30" s="150" t="s">
        <v>209</v>
      </c>
      <c r="M30" s="150" t="s">
        <v>209</v>
      </c>
      <c r="N30" s="56"/>
      <c r="O30" s="23"/>
      <c r="P30" s="470"/>
      <c r="Q30" s="470"/>
    </row>
    <row r="31" spans="2:17" ht="21" customHeight="1">
      <c r="B31" s="152" t="str">
        <f t="shared" si="0"/>
        <v>REMODELACION ARZOLA</v>
      </c>
      <c r="C31" s="27">
        <v>45896</v>
      </c>
      <c r="D31" s="23" t="s">
        <v>303</v>
      </c>
      <c r="E31" s="46" t="s">
        <v>268</v>
      </c>
      <c r="F31" s="416" t="s">
        <v>304</v>
      </c>
      <c r="G31" s="42" t="s">
        <v>54</v>
      </c>
      <c r="H31" s="417" t="s">
        <v>225</v>
      </c>
      <c r="I31" s="48">
        <v>707214.44</v>
      </c>
      <c r="J31" s="48"/>
      <c r="K31" s="4"/>
      <c r="L31" s="150" t="s">
        <v>209</v>
      </c>
      <c r="M31" s="150" t="s">
        <v>209</v>
      </c>
      <c r="N31" s="56" t="s">
        <v>305</v>
      </c>
      <c r="O31" s="23"/>
      <c r="P31" s="471"/>
      <c r="Q31" s="471"/>
    </row>
    <row r="32" spans="2:17" ht="21" customHeight="1">
      <c r="B32" s="152" t="str">
        <f t="shared" si="0"/>
        <v>REMODELACION ARZOLA</v>
      </c>
      <c r="C32" s="27">
        <v>45897</v>
      </c>
      <c r="D32" s="23" t="s">
        <v>212</v>
      </c>
      <c r="E32" s="29" t="s">
        <v>228</v>
      </c>
      <c r="F32" s="462" t="s">
        <v>306</v>
      </c>
      <c r="G32" s="23" t="s">
        <v>274</v>
      </c>
      <c r="H32" s="461" t="s">
        <v>270</v>
      </c>
      <c r="I32" s="44">
        <v>130000</v>
      </c>
      <c r="J32" s="44"/>
      <c r="K32" s="19"/>
      <c r="L32" s="150" t="s">
        <v>209</v>
      </c>
      <c r="M32" s="150" t="s">
        <v>209</v>
      </c>
      <c r="N32" s="56"/>
      <c r="O32" s="23"/>
      <c r="P32" s="471"/>
      <c r="Q32" s="471"/>
    </row>
    <row r="33" spans="2:17" ht="21" customHeight="1">
      <c r="B33" s="152" t="str">
        <f t="shared" si="0"/>
        <v>REMODELACION ARZOLA</v>
      </c>
      <c r="C33" s="27">
        <v>45898</v>
      </c>
      <c r="D33" s="23" t="s">
        <v>212</v>
      </c>
      <c r="E33" s="29" t="s">
        <v>228</v>
      </c>
      <c r="F33" s="416" t="s">
        <v>307</v>
      </c>
      <c r="G33" s="42" t="s">
        <v>308</v>
      </c>
      <c r="H33" s="468" t="s">
        <v>55</v>
      </c>
      <c r="I33" s="48">
        <v>218500</v>
      </c>
      <c r="J33" s="48"/>
      <c r="K33" s="4"/>
      <c r="L33" s="150" t="s">
        <v>209</v>
      </c>
      <c r="M33" s="150" t="s">
        <v>209</v>
      </c>
      <c r="N33" s="56"/>
      <c r="O33" s="23"/>
      <c r="P33" s="471"/>
      <c r="Q33" s="471"/>
    </row>
    <row r="34" spans="2:17" ht="21" customHeight="1">
      <c r="B34" s="152" t="str">
        <f t="shared" si="0"/>
        <v>REMODELACION ARZOLA</v>
      </c>
      <c r="C34" s="27">
        <v>45903</v>
      </c>
      <c r="D34" s="23" t="s">
        <v>309</v>
      </c>
      <c r="E34" s="46" t="s">
        <v>268</v>
      </c>
      <c r="F34" s="416" t="s">
        <v>310</v>
      </c>
      <c r="G34" s="42" t="s">
        <v>54</v>
      </c>
      <c r="H34" s="417" t="s">
        <v>225</v>
      </c>
      <c r="I34" s="48">
        <v>11897.06</v>
      </c>
      <c r="J34" s="48"/>
      <c r="K34" s="4"/>
      <c r="L34" s="150" t="s">
        <v>209</v>
      </c>
      <c r="M34" s="150" t="s">
        <v>209</v>
      </c>
      <c r="N34" s="56" t="s">
        <v>305</v>
      </c>
      <c r="O34" s="23"/>
      <c r="P34" s="472"/>
      <c r="Q34" s="472"/>
    </row>
    <row r="35" spans="2:17" ht="21" customHeight="1">
      <c r="B35" s="152" t="str">
        <f t="shared" si="0"/>
        <v>REMODELACION ARZOLA</v>
      </c>
      <c r="C35" s="27">
        <v>45903</v>
      </c>
      <c r="D35" s="23" t="s">
        <v>311</v>
      </c>
      <c r="E35" s="46" t="s">
        <v>268</v>
      </c>
      <c r="F35" s="416" t="s">
        <v>310</v>
      </c>
      <c r="G35" s="42" t="s">
        <v>54</v>
      </c>
      <c r="H35" s="417" t="s">
        <v>225</v>
      </c>
      <c r="I35" s="48">
        <v>40920</v>
      </c>
      <c r="J35" s="48"/>
      <c r="K35" s="4"/>
      <c r="L35" s="150" t="s">
        <v>209</v>
      </c>
      <c r="M35" s="150" t="s">
        <v>209</v>
      </c>
      <c r="N35" s="56" t="s">
        <v>305</v>
      </c>
      <c r="O35" s="23"/>
      <c r="P35" s="470"/>
      <c r="Q35" s="470"/>
    </row>
    <row r="36" spans="2:17" ht="21" customHeight="1">
      <c r="B36" s="152" t="str">
        <f t="shared" si="0"/>
        <v>REMODELACION ARZOLA</v>
      </c>
      <c r="C36" s="27">
        <v>45903</v>
      </c>
      <c r="D36" s="23" t="s">
        <v>312</v>
      </c>
      <c r="E36" s="46" t="s">
        <v>268</v>
      </c>
      <c r="F36" s="416" t="s">
        <v>310</v>
      </c>
      <c r="G36" s="42" t="s">
        <v>54</v>
      </c>
      <c r="H36" s="417" t="s">
        <v>225</v>
      </c>
      <c r="I36" s="48">
        <v>348461.78</v>
      </c>
      <c r="J36" s="48"/>
      <c r="K36" s="4"/>
      <c r="L36" s="150" t="s">
        <v>209</v>
      </c>
      <c r="M36" s="150" t="s">
        <v>209</v>
      </c>
      <c r="N36" s="56" t="s">
        <v>305</v>
      </c>
      <c r="O36" s="23"/>
      <c r="P36" s="471"/>
      <c r="Q36" s="471"/>
    </row>
    <row r="37" spans="2:17" ht="21" customHeight="1">
      <c r="B37" s="152" t="str">
        <f t="shared" si="0"/>
        <v>REMODELACION ARZOLA</v>
      </c>
      <c r="C37" s="27">
        <v>45903</v>
      </c>
      <c r="D37" s="23" t="s">
        <v>313</v>
      </c>
      <c r="E37" s="46" t="s">
        <v>268</v>
      </c>
      <c r="F37" s="416" t="s">
        <v>310</v>
      </c>
      <c r="G37" s="42" t="s">
        <v>54</v>
      </c>
      <c r="H37" s="464" t="s">
        <v>225</v>
      </c>
      <c r="I37" s="48">
        <v>239753.93</v>
      </c>
      <c r="J37" s="48"/>
      <c r="K37" s="4"/>
      <c r="L37" s="150" t="s">
        <v>209</v>
      </c>
      <c r="M37" s="150" t="s">
        <v>209</v>
      </c>
      <c r="N37" s="56" t="s">
        <v>305</v>
      </c>
      <c r="O37" s="23"/>
      <c r="P37" s="471"/>
      <c r="Q37" s="471"/>
    </row>
    <row r="38" spans="2:17" ht="21" customHeight="1">
      <c r="B38" s="152" t="str">
        <f t="shared" si="0"/>
        <v>REMODELACION ARZOLA</v>
      </c>
      <c r="C38" s="27">
        <v>45904</v>
      </c>
      <c r="D38" s="23" t="s">
        <v>212</v>
      </c>
      <c r="E38" s="29" t="s">
        <v>228</v>
      </c>
      <c r="F38" s="462" t="s">
        <v>314</v>
      </c>
      <c r="G38" s="23" t="s">
        <v>274</v>
      </c>
      <c r="H38" s="461" t="s">
        <v>270</v>
      </c>
      <c r="I38" s="44">
        <v>160000</v>
      </c>
      <c r="J38" s="48"/>
      <c r="K38" s="4"/>
      <c r="L38" s="150" t="s">
        <v>209</v>
      </c>
      <c r="M38" s="150" t="s">
        <v>209</v>
      </c>
      <c r="N38" s="56"/>
      <c r="O38" s="23"/>
      <c r="P38" s="471"/>
      <c r="Q38" s="471"/>
    </row>
    <row r="39" spans="2:17" ht="21" customHeight="1">
      <c r="B39" s="152" t="str">
        <f t="shared" si="0"/>
        <v>REMODELACION ARZOLA</v>
      </c>
      <c r="C39" s="27">
        <v>45909</v>
      </c>
      <c r="D39" s="42" t="s">
        <v>315</v>
      </c>
      <c r="E39" s="46" t="s">
        <v>268</v>
      </c>
      <c r="F39" s="416" t="s">
        <v>316</v>
      </c>
      <c r="G39" s="42" t="s">
        <v>83</v>
      </c>
      <c r="H39" s="417" t="s">
        <v>207</v>
      </c>
      <c r="I39" s="48">
        <v>10538.6</v>
      </c>
      <c r="J39" s="48"/>
      <c r="K39" s="4"/>
      <c r="L39" s="150" t="s">
        <v>209</v>
      </c>
      <c r="M39" s="150" t="s">
        <v>209</v>
      </c>
      <c r="N39" s="56"/>
      <c r="O39" s="23"/>
      <c r="P39" s="472"/>
      <c r="Q39" s="472"/>
    </row>
    <row r="40" spans="2:17" ht="21" customHeight="1">
      <c r="B40" s="152" t="str">
        <f t="shared" si="0"/>
        <v>REMODELACION ARZOLA</v>
      </c>
      <c r="C40" s="27">
        <v>45909</v>
      </c>
      <c r="D40" s="42" t="s">
        <v>317</v>
      </c>
      <c r="E40" s="46" t="s">
        <v>268</v>
      </c>
      <c r="F40" s="416" t="s">
        <v>318</v>
      </c>
      <c r="G40" s="23" t="s">
        <v>72</v>
      </c>
      <c r="H40" s="464" t="s">
        <v>63</v>
      </c>
      <c r="I40" s="48">
        <v>664000.02</v>
      </c>
      <c r="J40" s="48"/>
      <c r="K40" s="4"/>
      <c r="L40" s="150" t="s">
        <v>209</v>
      </c>
      <c r="M40" s="150" t="s">
        <v>209</v>
      </c>
      <c r="N40" s="56"/>
      <c r="O40" s="23"/>
      <c r="P40" s="470"/>
      <c r="Q40" s="470"/>
    </row>
    <row r="41" spans="2:17" ht="21" customHeight="1">
      <c r="B41" s="27" t="str">
        <f t="shared" si="0"/>
        <v>REMODELACION ARZOLA</v>
      </c>
      <c r="C41" s="152">
        <v>45918</v>
      </c>
      <c r="D41" s="23" t="s">
        <v>212</v>
      </c>
      <c r="E41" s="29" t="s">
        <v>228</v>
      </c>
      <c r="F41" s="416" t="s">
        <v>319</v>
      </c>
      <c r="G41" s="42" t="s">
        <v>9</v>
      </c>
      <c r="H41" s="417" t="s">
        <v>270</v>
      </c>
      <c r="I41" s="48">
        <v>671534.8</v>
      </c>
      <c r="J41" s="48"/>
      <c r="K41" s="4"/>
      <c r="L41" s="150" t="s">
        <v>209</v>
      </c>
      <c r="M41" s="150" t="s">
        <v>209</v>
      </c>
      <c r="N41" s="56"/>
      <c r="O41" s="23"/>
      <c r="P41" s="473"/>
      <c r="Q41" s="473"/>
    </row>
    <row r="42" spans="2:17" ht="21" customHeight="1">
      <c r="B42" s="160" t="str">
        <f t="shared" si="0"/>
        <v>REMODELACION ARZOLA</v>
      </c>
      <c r="C42" s="152">
        <v>45918</v>
      </c>
      <c r="D42" s="23" t="s">
        <v>212</v>
      </c>
      <c r="E42" s="29" t="s">
        <v>228</v>
      </c>
      <c r="F42" s="460" t="s">
        <v>320</v>
      </c>
      <c r="G42" s="41" t="s">
        <v>274</v>
      </c>
      <c r="H42" s="461" t="s">
        <v>321</v>
      </c>
      <c r="I42" s="45">
        <v>140000</v>
      </c>
      <c r="J42" s="45"/>
      <c r="K42" s="151"/>
      <c r="L42" s="150" t="s">
        <v>209</v>
      </c>
      <c r="M42" s="150" t="s">
        <v>209</v>
      </c>
      <c r="N42" s="56"/>
      <c r="O42" s="23"/>
      <c r="P42" s="471"/>
      <c r="Q42" s="471"/>
    </row>
    <row r="43" spans="2:17" ht="21" customHeight="1">
      <c r="B43" s="27" t="str">
        <f t="shared" si="0"/>
        <v>REMODELACION ARZOLA</v>
      </c>
      <c r="C43" s="152">
        <v>45919</v>
      </c>
      <c r="D43" s="23" t="s">
        <v>212</v>
      </c>
      <c r="E43" s="29" t="s">
        <v>228</v>
      </c>
      <c r="F43" s="416" t="s">
        <v>322</v>
      </c>
      <c r="G43" s="42" t="s">
        <v>9</v>
      </c>
      <c r="H43" s="417" t="s">
        <v>270</v>
      </c>
      <c r="I43" s="48">
        <v>2723000</v>
      </c>
      <c r="J43" s="48"/>
      <c r="K43" s="4"/>
      <c r="L43" s="150" t="s">
        <v>209</v>
      </c>
      <c r="M43" s="150" t="s">
        <v>209</v>
      </c>
      <c r="N43" s="56"/>
      <c r="O43" s="23"/>
      <c r="P43" s="473"/>
      <c r="Q43" s="473"/>
    </row>
    <row r="44" spans="2:17" ht="21" customHeight="1">
      <c r="B44" s="152" t="str">
        <f t="shared" si="0"/>
        <v>REMODELACION ARZOLA</v>
      </c>
      <c r="C44" s="26">
        <v>45930</v>
      </c>
      <c r="D44" s="23" t="s">
        <v>212</v>
      </c>
      <c r="E44" s="29" t="s">
        <v>228</v>
      </c>
      <c r="F44" s="460" t="s">
        <v>320</v>
      </c>
      <c r="G44" s="41" t="s">
        <v>274</v>
      </c>
      <c r="H44" s="461" t="s">
        <v>321</v>
      </c>
      <c r="I44" s="45">
        <v>140000</v>
      </c>
      <c r="J44" s="45"/>
      <c r="K44" s="151"/>
      <c r="L44" s="150" t="s">
        <v>209</v>
      </c>
      <c r="M44" s="150" t="s">
        <v>209</v>
      </c>
      <c r="N44" s="56"/>
      <c r="O44" s="23"/>
      <c r="P44" s="471"/>
      <c r="Q44" s="471"/>
    </row>
    <row r="45" spans="2:17" ht="23.1" customHeight="1">
      <c r="B45" s="27" t="str">
        <f t="shared" si="0"/>
        <v>REMODELACION ARZOLA</v>
      </c>
      <c r="C45" s="26">
        <v>45943</v>
      </c>
      <c r="D45" s="23" t="s">
        <v>212</v>
      </c>
      <c r="E45" s="29" t="s">
        <v>228</v>
      </c>
      <c r="F45" s="416" t="s">
        <v>323</v>
      </c>
      <c r="G45" s="42" t="s">
        <v>9</v>
      </c>
      <c r="H45" s="417" t="s">
        <v>270</v>
      </c>
      <c r="I45" s="48">
        <v>52339.83</v>
      </c>
      <c r="J45" s="48"/>
      <c r="K45" s="4"/>
      <c r="L45" s="150" t="s">
        <v>209</v>
      </c>
      <c r="M45" s="150" t="s">
        <v>209</v>
      </c>
      <c r="N45" s="56"/>
      <c r="O45" s="23"/>
      <c r="P45" s="473"/>
      <c r="Q45" s="473"/>
    </row>
    <row r="46" spans="2:17" ht="23.1" customHeight="1">
      <c r="B46" s="27" t="str">
        <f t="shared" si="0"/>
        <v>REMODELACION ARZOLA</v>
      </c>
      <c r="C46" s="26">
        <v>45943</v>
      </c>
      <c r="D46" s="23" t="s">
        <v>212</v>
      </c>
      <c r="E46" s="29" t="s">
        <v>228</v>
      </c>
      <c r="F46" s="416" t="s">
        <v>324</v>
      </c>
      <c r="G46" s="42" t="s">
        <v>9</v>
      </c>
      <c r="H46" s="417" t="s">
        <v>270</v>
      </c>
      <c r="I46" s="48">
        <v>3181511.64</v>
      </c>
      <c r="J46" s="48"/>
      <c r="K46" s="4"/>
      <c r="L46" s="150" t="s">
        <v>209</v>
      </c>
      <c r="M46" s="150" t="s">
        <v>209</v>
      </c>
      <c r="N46" s="56"/>
      <c r="O46" s="23"/>
      <c r="P46" s="473"/>
      <c r="Q46" s="473"/>
    </row>
    <row r="47" spans="2:17" ht="23.1" customHeight="1">
      <c r="B47" s="152" t="str">
        <f t="shared" si="0"/>
        <v>REMODELACION ARZOLA</v>
      </c>
      <c r="C47" s="26">
        <v>45948</v>
      </c>
      <c r="D47" s="23" t="s">
        <v>212</v>
      </c>
      <c r="E47" s="29" t="s">
        <v>228</v>
      </c>
      <c r="F47" s="460" t="s">
        <v>320</v>
      </c>
      <c r="G47" s="41" t="s">
        <v>274</v>
      </c>
      <c r="H47" s="461" t="s">
        <v>321</v>
      </c>
      <c r="I47" s="45">
        <v>140000</v>
      </c>
      <c r="J47" s="45"/>
      <c r="K47" s="151"/>
      <c r="L47" s="150" t="s">
        <v>209</v>
      </c>
      <c r="M47" s="150" t="s">
        <v>209</v>
      </c>
      <c r="N47" s="56"/>
      <c r="O47" s="23"/>
      <c r="P47" s="471"/>
      <c r="Q47" s="471"/>
    </row>
    <row r="48" spans="2:17" ht="23.45" customHeight="1">
      <c r="B48" s="152" t="str">
        <f t="shared" si="0"/>
        <v>REMODELACION ARZOLA</v>
      </c>
      <c r="C48" s="152">
        <v>45954</v>
      </c>
      <c r="D48" s="23" t="s">
        <v>212</v>
      </c>
      <c r="E48" s="29" t="s">
        <v>228</v>
      </c>
      <c r="F48" s="460" t="s">
        <v>320</v>
      </c>
      <c r="G48" s="41" t="s">
        <v>274</v>
      </c>
      <c r="H48" s="461" t="s">
        <v>321</v>
      </c>
      <c r="I48" s="45">
        <v>140000</v>
      </c>
      <c r="J48" s="328"/>
      <c r="K48" s="153"/>
      <c r="L48" s="150" t="s">
        <v>209</v>
      </c>
      <c r="M48" s="150" t="s">
        <v>209</v>
      </c>
      <c r="N48" s="56"/>
      <c r="O48" s="23"/>
      <c r="P48" s="472"/>
      <c r="Q48" s="472"/>
    </row>
    <row r="49" spans="1:19" ht="21" customHeight="1">
      <c r="B49" s="152" t="str">
        <f t="shared" si="0"/>
        <v>REMODELACION ARZOLA</v>
      </c>
      <c r="C49" s="25">
        <v>45966</v>
      </c>
      <c r="D49" s="23" t="s">
        <v>212</v>
      </c>
      <c r="E49" s="29" t="s">
        <v>228</v>
      </c>
      <c r="F49" s="460" t="s">
        <v>325</v>
      </c>
      <c r="G49" s="41" t="s">
        <v>274</v>
      </c>
      <c r="H49" s="461" t="s">
        <v>321</v>
      </c>
      <c r="I49" s="45">
        <v>210000</v>
      </c>
      <c r="J49" s="45"/>
      <c r="K49" s="19"/>
      <c r="L49" s="150" t="s">
        <v>209</v>
      </c>
      <c r="M49" s="150" t="s">
        <v>209</v>
      </c>
      <c r="N49" s="55"/>
      <c r="O49" s="23"/>
      <c r="P49" s="49"/>
      <c r="Q49" s="49"/>
    </row>
    <row r="50" spans="1:19" ht="21" customHeight="1">
      <c r="B50" s="152" t="str">
        <f t="shared" si="0"/>
        <v>REMODELACION ARZOLA</v>
      </c>
      <c r="C50" s="26">
        <v>45978</v>
      </c>
      <c r="D50" s="41" t="s">
        <v>212</v>
      </c>
      <c r="E50" s="46" t="s">
        <v>326</v>
      </c>
      <c r="F50" s="462" t="s">
        <v>327</v>
      </c>
      <c r="G50" s="41" t="s">
        <v>328</v>
      </c>
      <c r="H50" s="461" t="s">
        <v>270</v>
      </c>
      <c r="I50" s="44">
        <v>147000</v>
      </c>
      <c r="J50" s="44"/>
      <c r="K50" s="44" t="s">
        <v>230</v>
      </c>
      <c r="L50" s="150" t="s">
        <v>209</v>
      </c>
      <c r="M50" s="150" t="s">
        <v>209</v>
      </c>
      <c r="N50" s="55"/>
      <c r="O50" s="23"/>
      <c r="P50" s="49"/>
      <c r="Q50" s="49"/>
    </row>
    <row r="51" spans="1:19" ht="23.45" customHeight="1">
      <c r="B51" s="152" t="str">
        <f t="shared" si="0"/>
        <v>REMODELACION ARZOLA</v>
      </c>
      <c r="C51" s="25">
        <v>45980</v>
      </c>
      <c r="D51" s="41" t="s">
        <v>212</v>
      </c>
      <c r="E51" s="46" t="s">
        <v>326</v>
      </c>
      <c r="F51" s="462" t="s">
        <v>329</v>
      </c>
      <c r="G51" s="23" t="s">
        <v>9</v>
      </c>
      <c r="H51" s="461" t="s">
        <v>270</v>
      </c>
      <c r="I51" s="44">
        <v>110000</v>
      </c>
      <c r="J51" s="44"/>
      <c r="K51" s="44" t="s">
        <v>230</v>
      </c>
      <c r="L51" s="150" t="s">
        <v>209</v>
      </c>
      <c r="M51" s="150" t="s">
        <v>209</v>
      </c>
      <c r="N51" s="55"/>
      <c r="O51" s="23"/>
      <c r="P51" s="49"/>
      <c r="Q51" s="49"/>
    </row>
    <row r="52" spans="1:19" ht="23.1" customHeight="1">
      <c r="B52" s="156"/>
      <c r="C52" s="129"/>
      <c r="D52" s="134"/>
      <c r="E52" s="143"/>
      <c r="F52" s="465"/>
      <c r="G52" s="136"/>
      <c r="H52" s="474"/>
      <c r="I52" s="144"/>
      <c r="J52" s="349"/>
      <c r="K52" s="145"/>
      <c r="L52" s="140"/>
      <c r="M52" s="140"/>
      <c r="N52" s="140"/>
      <c r="O52" s="140"/>
      <c r="P52" s="141"/>
      <c r="Q52" s="142"/>
      <c r="R52" s="138"/>
      <c r="S52" s="138"/>
    </row>
    <row r="53" spans="1:19" s="138" customFormat="1">
      <c r="A53" s="139" t="s">
        <v>218</v>
      </c>
      <c r="B53" s="152" t="str">
        <f>+$E$3</f>
        <v>REMODELACION ARZOLA</v>
      </c>
      <c r="C53" s="25">
        <v>45980</v>
      </c>
      <c r="D53" s="41" t="s">
        <v>212</v>
      </c>
      <c r="E53" s="46" t="s">
        <v>326</v>
      </c>
      <c r="F53" s="462" t="s">
        <v>330</v>
      </c>
      <c r="G53" s="23" t="s">
        <v>76</v>
      </c>
      <c r="H53" s="464" t="s">
        <v>52</v>
      </c>
      <c r="I53" s="44">
        <v>52000</v>
      </c>
      <c r="J53" s="44"/>
      <c r="K53" s="44" t="s">
        <v>230</v>
      </c>
      <c r="L53" s="150" t="s">
        <v>209</v>
      </c>
      <c r="M53" s="150" t="s">
        <v>209</v>
      </c>
      <c r="N53" s="55"/>
      <c r="O53" s="23"/>
      <c r="P53" s="49"/>
      <c r="Q53" s="49"/>
      <c r="R53"/>
      <c r="S53"/>
    </row>
    <row r="54" spans="1:19" ht="23.45" customHeight="1">
      <c r="B54" s="152" t="str">
        <f>+$E$3</f>
        <v>REMODELACION ARZOLA</v>
      </c>
      <c r="C54" s="25">
        <v>45988</v>
      </c>
      <c r="D54" s="41" t="s">
        <v>212</v>
      </c>
      <c r="E54" s="46" t="s">
        <v>326</v>
      </c>
      <c r="F54" s="462" t="s">
        <v>327</v>
      </c>
      <c r="G54" s="41" t="s">
        <v>328</v>
      </c>
      <c r="H54" s="461" t="s">
        <v>270</v>
      </c>
      <c r="I54" s="44">
        <v>147000</v>
      </c>
      <c r="J54" s="44"/>
      <c r="K54" s="44" t="s">
        <v>230</v>
      </c>
      <c r="L54" s="150" t="s">
        <v>209</v>
      </c>
      <c r="M54" s="150" t="s">
        <v>209</v>
      </c>
      <c r="N54" s="56"/>
      <c r="O54" s="23"/>
      <c r="P54" s="50"/>
      <c r="Q54" s="50"/>
    </row>
    <row r="55" spans="1:19" ht="21.6" customHeight="1">
      <c r="B55" s="152" t="str">
        <f>+$E$3</f>
        <v>REMODELACION ARZOLA</v>
      </c>
      <c r="C55" s="27">
        <v>45992</v>
      </c>
      <c r="D55" s="23" t="s">
        <v>331</v>
      </c>
      <c r="E55" s="46" t="s">
        <v>326</v>
      </c>
      <c r="F55" s="416" t="s">
        <v>332</v>
      </c>
      <c r="G55" s="23" t="s">
        <v>83</v>
      </c>
      <c r="H55" s="464" t="s">
        <v>207</v>
      </c>
      <c r="I55" s="48">
        <v>210564.26</v>
      </c>
      <c r="J55" s="48"/>
      <c r="K55" s="40"/>
      <c r="L55" s="150" t="s">
        <v>209</v>
      </c>
      <c r="M55" s="150" t="s">
        <v>209</v>
      </c>
      <c r="N55" s="56"/>
      <c r="O55" s="23"/>
      <c r="P55" s="50"/>
      <c r="Q55" s="50"/>
    </row>
    <row r="56" spans="1:19" ht="23.1" customHeight="1">
      <c r="B56" s="152" t="str">
        <f>+$E$3</f>
        <v>REMODELACION ARZOLA</v>
      </c>
      <c r="C56" s="27">
        <v>45995</v>
      </c>
      <c r="D56" s="23" t="s">
        <v>212</v>
      </c>
      <c r="E56" s="29" t="s">
        <v>228</v>
      </c>
      <c r="F56" s="416" t="s">
        <v>333</v>
      </c>
      <c r="G56" s="41" t="s">
        <v>334</v>
      </c>
      <c r="H56" s="461" t="s">
        <v>128</v>
      </c>
      <c r="I56" s="48">
        <v>1350000</v>
      </c>
      <c r="J56" s="48"/>
      <c r="K56" s="44" t="s">
        <v>230</v>
      </c>
      <c r="L56" s="150" t="s">
        <v>209</v>
      </c>
      <c r="M56" s="150" t="s">
        <v>209</v>
      </c>
      <c r="N56" s="56"/>
      <c r="O56" s="23"/>
      <c r="P56" s="50"/>
      <c r="Q56" s="50"/>
    </row>
    <row r="57" spans="1:19" ht="22.35" customHeight="1">
      <c r="B57" s="27" t="str">
        <f>+$E$3</f>
        <v>REMODELACION ARZOLA</v>
      </c>
      <c r="C57" s="27">
        <v>45996</v>
      </c>
      <c r="D57" s="23" t="s">
        <v>212</v>
      </c>
      <c r="E57" s="29" t="s">
        <v>228</v>
      </c>
      <c r="F57" s="462" t="s">
        <v>327</v>
      </c>
      <c r="G57" s="41" t="s">
        <v>328</v>
      </c>
      <c r="H57" s="461" t="s">
        <v>270</v>
      </c>
      <c r="I57" s="44">
        <v>147000</v>
      </c>
      <c r="J57" s="44"/>
      <c r="K57" s="44" t="s">
        <v>230</v>
      </c>
      <c r="L57" s="266" t="s">
        <v>209</v>
      </c>
      <c r="M57" s="150" t="s">
        <v>209</v>
      </c>
      <c r="N57" s="56"/>
      <c r="O57" s="23"/>
      <c r="P57" s="50"/>
      <c r="Q57" s="50"/>
    </row>
    <row r="58" spans="1:19" ht="22.35" customHeight="1">
      <c r="B58" s="170"/>
      <c r="C58" s="171">
        <v>45996</v>
      </c>
      <c r="D58" s="130"/>
      <c r="E58" s="130"/>
      <c r="F58" s="465"/>
      <c r="G58" s="131"/>
      <c r="H58" s="465"/>
      <c r="I58" s="132"/>
      <c r="J58" s="132"/>
      <c r="K58" s="133"/>
      <c r="L58" s="134"/>
      <c r="M58" s="285"/>
      <c r="N58" s="135"/>
      <c r="O58" s="136"/>
      <c r="P58" s="137"/>
      <c r="Q58" s="137"/>
      <c r="R58" s="138"/>
      <c r="S58" s="138"/>
    </row>
    <row r="59" spans="1:19" s="138" customFormat="1">
      <c r="A59" s="168" t="s">
        <v>218</v>
      </c>
      <c r="B59" s="152" t="str">
        <f>+$E$3</f>
        <v>REMODELACION ARZOLA</v>
      </c>
      <c r="C59" s="27">
        <v>46009</v>
      </c>
      <c r="D59" s="23" t="s">
        <v>335</v>
      </c>
      <c r="E59" s="46" t="s">
        <v>326</v>
      </c>
      <c r="F59" s="416" t="s">
        <v>336</v>
      </c>
      <c r="G59" s="41" t="s">
        <v>72</v>
      </c>
      <c r="H59" s="461" t="s">
        <v>63</v>
      </c>
      <c r="I59" s="48">
        <v>1245940.9099999999</v>
      </c>
      <c r="J59" s="48"/>
      <c r="K59" s="48" t="s">
        <v>337</v>
      </c>
      <c r="L59" s="150" t="s">
        <v>209</v>
      </c>
      <c r="M59" s="150" t="s">
        <v>209</v>
      </c>
      <c r="N59" s="56"/>
      <c r="O59" s="23"/>
      <c r="P59" s="50"/>
      <c r="Q59" s="50"/>
      <c r="R59"/>
      <c r="S59"/>
    </row>
    <row r="60" spans="1:19" ht="21.6" customHeight="1">
      <c r="B60" s="152" t="str">
        <f>+$E$3</f>
        <v>REMODELACION ARZOLA</v>
      </c>
      <c r="C60" s="27">
        <v>46009</v>
      </c>
      <c r="D60" s="23" t="s">
        <v>338</v>
      </c>
      <c r="E60" s="46" t="s">
        <v>326</v>
      </c>
      <c r="F60" s="416" t="s">
        <v>339</v>
      </c>
      <c r="G60" s="23" t="s">
        <v>9</v>
      </c>
      <c r="H60" s="461" t="s">
        <v>270</v>
      </c>
      <c r="I60" s="48">
        <v>850250.94</v>
      </c>
      <c r="J60" s="48"/>
      <c r="K60" s="40"/>
      <c r="L60" s="150" t="s">
        <v>209</v>
      </c>
      <c r="M60" s="150" t="s">
        <v>209</v>
      </c>
      <c r="N60" s="56"/>
      <c r="O60" s="23"/>
      <c r="P60" s="50"/>
      <c r="Q60" s="50"/>
    </row>
    <row r="61" spans="1:19" ht="21.6" customHeight="1">
      <c r="B61" s="152" t="str">
        <f>+$E$3</f>
        <v>REMODELACION ARZOLA</v>
      </c>
      <c r="C61" s="27">
        <v>46020</v>
      </c>
      <c r="D61" s="23" t="s">
        <v>212</v>
      </c>
      <c r="E61" s="29" t="s">
        <v>228</v>
      </c>
      <c r="F61" s="462" t="s">
        <v>340</v>
      </c>
      <c r="G61" s="41" t="s">
        <v>328</v>
      </c>
      <c r="H61" s="461" t="s">
        <v>270</v>
      </c>
      <c r="I61" s="44">
        <v>80000</v>
      </c>
      <c r="J61" s="44"/>
      <c r="K61" s="44" t="s">
        <v>230</v>
      </c>
      <c r="L61" s="266" t="s">
        <v>209</v>
      </c>
      <c r="M61" s="150" t="s">
        <v>209</v>
      </c>
      <c r="N61" s="56"/>
      <c r="O61" s="23"/>
      <c r="P61" s="50"/>
      <c r="Q61" s="50"/>
    </row>
    <row r="62" spans="1:19" ht="21.6" customHeight="1">
      <c r="B62" s="170"/>
      <c r="C62" s="171">
        <v>46022</v>
      </c>
      <c r="D62" s="130"/>
      <c r="E62" s="130"/>
      <c r="F62" s="465"/>
      <c r="G62" s="131"/>
      <c r="H62" s="465"/>
      <c r="I62" s="132"/>
      <c r="J62" s="132"/>
      <c r="K62" s="133"/>
      <c r="L62" s="134"/>
      <c r="M62" s="285"/>
      <c r="N62" s="135"/>
      <c r="O62" s="136"/>
      <c r="P62" s="137"/>
      <c r="Q62" s="137"/>
      <c r="R62" s="138"/>
      <c r="S62" s="138"/>
    </row>
    <row r="63" spans="1:19" s="138" customFormat="1">
      <c r="A63" s="168" t="s">
        <v>218</v>
      </c>
      <c r="B63" s="152" t="str">
        <f t="shared" ref="B63:B78" si="1">+$E$3</f>
        <v>REMODELACION ARZOLA</v>
      </c>
      <c r="C63" s="27">
        <v>46024</v>
      </c>
      <c r="D63" s="23" t="s">
        <v>212</v>
      </c>
      <c r="E63" s="29" t="s">
        <v>228</v>
      </c>
      <c r="F63" s="416" t="s">
        <v>341</v>
      </c>
      <c r="G63" s="23" t="s">
        <v>9</v>
      </c>
      <c r="H63" s="461" t="s">
        <v>270</v>
      </c>
      <c r="I63" s="48">
        <v>570312.13</v>
      </c>
      <c r="J63" s="48"/>
      <c r="K63" s="48"/>
      <c r="L63" s="150" t="s">
        <v>209</v>
      </c>
      <c r="M63" s="150" t="s">
        <v>209</v>
      </c>
      <c r="N63" s="56"/>
      <c r="O63" s="23"/>
      <c r="P63" s="50"/>
      <c r="Q63" s="50"/>
      <c r="R63"/>
      <c r="S63"/>
    </row>
    <row r="64" spans="1:19" ht="23.1" customHeight="1">
      <c r="B64" s="152" t="str">
        <f t="shared" si="1"/>
        <v>REMODELACION ARZOLA</v>
      </c>
      <c r="C64" s="27">
        <v>46024</v>
      </c>
      <c r="D64" s="23" t="s">
        <v>212</v>
      </c>
      <c r="E64" s="29" t="s">
        <v>228</v>
      </c>
      <c r="F64" s="416" t="s">
        <v>342</v>
      </c>
      <c r="G64" s="42" t="s">
        <v>334</v>
      </c>
      <c r="H64" s="461" t="s">
        <v>128</v>
      </c>
      <c r="I64" s="48">
        <v>850000</v>
      </c>
      <c r="J64" s="48"/>
      <c r="K64" s="48"/>
      <c r="L64" s="150" t="s">
        <v>209</v>
      </c>
      <c r="M64" s="150" t="s">
        <v>209</v>
      </c>
      <c r="N64" s="56"/>
      <c r="O64" s="23"/>
      <c r="P64" s="50"/>
      <c r="Q64" s="50"/>
    </row>
    <row r="65" spans="1:23" ht="23.1" customHeight="1">
      <c r="B65" s="152" t="str">
        <f t="shared" si="1"/>
        <v>REMODELACION ARZOLA</v>
      </c>
      <c r="C65" s="27">
        <v>46028</v>
      </c>
      <c r="D65" s="23"/>
      <c r="E65" s="46" t="s">
        <v>326</v>
      </c>
      <c r="F65" s="416" t="s">
        <v>343</v>
      </c>
      <c r="G65" s="42" t="s">
        <v>54</v>
      </c>
      <c r="H65" s="468" t="s">
        <v>344</v>
      </c>
      <c r="I65" s="48">
        <v>232408.6</v>
      </c>
      <c r="J65" s="48"/>
      <c r="K65" s="48" t="s">
        <v>230</v>
      </c>
      <c r="L65" s="150" t="s">
        <v>209</v>
      </c>
      <c r="M65" s="150" t="s">
        <v>209</v>
      </c>
      <c r="N65" s="56" t="s">
        <v>305</v>
      </c>
      <c r="O65" s="23"/>
      <c r="P65" s="50"/>
      <c r="Q65" s="50"/>
    </row>
    <row r="66" spans="1:23" ht="21.6" customHeight="1">
      <c r="B66" s="152" t="str">
        <f t="shared" si="1"/>
        <v>REMODELACION ARZOLA</v>
      </c>
      <c r="C66" s="27">
        <v>46031</v>
      </c>
      <c r="D66" s="23" t="s">
        <v>212</v>
      </c>
      <c r="E66" s="29" t="s">
        <v>228</v>
      </c>
      <c r="F66" s="416" t="s">
        <v>345</v>
      </c>
      <c r="G66" s="42" t="s">
        <v>76</v>
      </c>
      <c r="H66" s="417" t="s">
        <v>52</v>
      </c>
      <c r="I66" s="48">
        <v>37500</v>
      </c>
      <c r="J66" s="48"/>
      <c r="K66" s="48" t="s">
        <v>230</v>
      </c>
      <c r="L66" s="150" t="s">
        <v>209</v>
      </c>
      <c r="M66" s="150" t="s">
        <v>209</v>
      </c>
      <c r="N66" s="56"/>
      <c r="O66" s="23"/>
      <c r="P66" s="50"/>
      <c r="Q66" s="50"/>
    </row>
    <row r="67" spans="1:23" ht="21.6" customHeight="1">
      <c r="B67" s="152" t="str">
        <f t="shared" si="1"/>
        <v>REMODELACION ARZOLA</v>
      </c>
      <c r="C67" s="27">
        <v>46034</v>
      </c>
      <c r="D67" s="23" t="s">
        <v>212</v>
      </c>
      <c r="E67" s="29" t="s">
        <v>228</v>
      </c>
      <c r="F67" s="416" t="s">
        <v>346</v>
      </c>
      <c r="G67" s="41" t="s">
        <v>328</v>
      </c>
      <c r="H67" s="461" t="s">
        <v>270</v>
      </c>
      <c r="I67" s="48">
        <v>135000</v>
      </c>
      <c r="J67" s="48"/>
      <c r="K67" s="40" t="s">
        <v>347</v>
      </c>
      <c r="L67" s="150" t="s">
        <v>209</v>
      </c>
      <c r="M67" s="150" t="s">
        <v>209</v>
      </c>
      <c r="N67" s="56"/>
      <c r="O67" s="23"/>
      <c r="P67" s="50"/>
      <c r="Q67" s="50"/>
    </row>
    <row r="68" spans="1:23" ht="21.6" customHeight="1">
      <c r="B68" s="152" t="str">
        <f t="shared" si="1"/>
        <v>REMODELACION ARZOLA</v>
      </c>
      <c r="C68" s="27">
        <v>46035</v>
      </c>
      <c r="D68" s="23" t="s">
        <v>212</v>
      </c>
      <c r="E68" s="29" t="s">
        <v>228</v>
      </c>
      <c r="F68" s="416" t="s">
        <v>348</v>
      </c>
      <c r="G68" s="23" t="s">
        <v>9</v>
      </c>
      <c r="H68" s="461" t="s">
        <v>270</v>
      </c>
      <c r="I68" s="48">
        <v>693000</v>
      </c>
      <c r="J68" s="48"/>
      <c r="K68" s="40" t="s">
        <v>349</v>
      </c>
      <c r="L68" s="150" t="s">
        <v>209</v>
      </c>
      <c r="M68" s="284" t="s">
        <v>209</v>
      </c>
      <c r="N68" s="56"/>
      <c r="O68" s="23"/>
      <c r="P68" s="50"/>
      <c r="Q68" s="50"/>
    </row>
    <row r="69" spans="1:23" ht="18.600000000000001" customHeight="1">
      <c r="B69" s="170"/>
      <c r="C69" s="171">
        <v>46037</v>
      </c>
      <c r="D69" s="130"/>
      <c r="E69" s="130"/>
      <c r="F69" s="465"/>
      <c r="G69" s="131"/>
      <c r="H69" s="465"/>
      <c r="I69" s="132"/>
      <c r="J69" s="132"/>
      <c r="K69" s="133"/>
      <c r="L69" s="134"/>
      <c r="M69" s="285"/>
      <c r="N69" s="135"/>
      <c r="O69" s="136"/>
      <c r="P69" s="137"/>
      <c r="Q69" s="137"/>
      <c r="R69" s="138"/>
      <c r="S69" s="138"/>
    </row>
    <row r="70" spans="1:23" s="138" customFormat="1" ht="27" customHeight="1">
      <c r="A70" s="168" t="s">
        <v>218</v>
      </c>
      <c r="B70" s="152" t="str">
        <f>+$E$3</f>
        <v>REMODELACION ARZOLA</v>
      </c>
      <c r="C70" s="475">
        <v>46037</v>
      </c>
      <c r="D70" s="23" t="s">
        <v>212</v>
      </c>
      <c r="E70" s="29" t="s">
        <v>228</v>
      </c>
      <c r="F70" s="85" t="s">
        <v>350</v>
      </c>
      <c r="G70" s="42" t="s">
        <v>76</v>
      </c>
      <c r="H70" s="86" t="s">
        <v>52</v>
      </c>
      <c r="I70" s="48">
        <v>54000</v>
      </c>
      <c r="J70" s="48"/>
      <c r="K70" s="270"/>
      <c r="L70" s="150" t="s">
        <v>209</v>
      </c>
      <c r="M70" s="150" t="s">
        <v>209</v>
      </c>
      <c r="N70" s="56"/>
      <c r="O70" s="23"/>
      <c r="P70" s="106"/>
      <c r="Q70" s="106"/>
      <c r="R70"/>
      <c r="S70"/>
    </row>
    <row r="71" spans="1:23" ht="16.350000000000001" customHeight="1">
      <c r="A71" s="221"/>
      <c r="B71" s="152" t="str">
        <f t="shared" si="1"/>
        <v>REMODELACION ARZOLA</v>
      </c>
      <c r="C71" s="27">
        <v>46041</v>
      </c>
      <c r="D71" s="23" t="s">
        <v>351</v>
      </c>
      <c r="E71" s="46" t="s">
        <v>326</v>
      </c>
      <c r="F71" s="416" t="s">
        <v>352</v>
      </c>
      <c r="G71" s="223" t="s">
        <v>107</v>
      </c>
      <c r="H71" s="461" t="s">
        <v>270</v>
      </c>
      <c r="I71" s="48">
        <v>37154.5</v>
      </c>
      <c r="J71" s="48"/>
      <c r="K71" s="40"/>
      <c r="L71" s="150" t="s">
        <v>209</v>
      </c>
      <c r="M71" s="150" t="s">
        <v>209</v>
      </c>
      <c r="N71" s="56" t="s">
        <v>353</v>
      </c>
      <c r="O71" s="23"/>
      <c r="P71" s="50"/>
      <c r="Q71" s="50"/>
    </row>
    <row r="72" spans="1:23" ht="21.6" customHeight="1">
      <c r="B72" s="152" t="str">
        <f t="shared" si="1"/>
        <v>REMODELACION ARZOLA</v>
      </c>
      <c r="C72" s="213">
        <v>46041</v>
      </c>
      <c r="D72" s="200" t="s">
        <v>354</v>
      </c>
      <c r="E72" s="199" t="s">
        <v>326</v>
      </c>
      <c r="F72" s="476" t="s">
        <v>355</v>
      </c>
      <c r="G72" s="225" t="s">
        <v>107</v>
      </c>
      <c r="H72" s="477" t="s">
        <v>270</v>
      </c>
      <c r="I72" s="226" t="s">
        <v>356</v>
      </c>
      <c r="J72" s="276"/>
      <c r="K72" s="224"/>
      <c r="L72" s="224"/>
      <c r="M72" s="287"/>
      <c r="N72" s="201"/>
      <c r="O72" s="200"/>
      <c r="P72" s="216"/>
      <c r="Q72" s="216"/>
    </row>
    <row r="73" spans="1:23" ht="21.6" customHeight="1">
      <c r="B73" s="152" t="str">
        <f t="shared" si="1"/>
        <v>REMODELACION ARZOLA</v>
      </c>
      <c r="C73" s="27">
        <v>46041</v>
      </c>
      <c r="D73" s="23" t="s">
        <v>357</v>
      </c>
      <c r="E73" s="46" t="s">
        <v>326</v>
      </c>
      <c r="F73" s="416" t="s">
        <v>358</v>
      </c>
      <c r="G73" s="42" t="s">
        <v>83</v>
      </c>
      <c r="H73" s="417" t="s">
        <v>207</v>
      </c>
      <c r="I73" s="48">
        <v>148111.31</v>
      </c>
      <c r="J73" s="48"/>
      <c r="K73" s="40"/>
      <c r="L73" s="150" t="s">
        <v>209</v>
      </c>
      <c r="M73" s="284" t="s">
        <v>209</v>
      </c>
      <c r="N73" s="56" t="s">
        <v>305</v>
      </c>
      <c r="O73" s="23"/>
      <c r="P73" s="50"/>
      <c r="Q73" s="50"/>
    </row>
    <row r="74" spans="1:23" ht="21.6" customHeight="1">
      <c r="B74" s="152" t="str">
        <f t="shared" si="1"/>
        <v>REMODELACION ARZOLA</v>
      </c>
      <c r="C74" s="27">
        <v>46050</v>
      </c>
      <c r="D74" s="23" t="s">
        <v>359</v>
      </c>
      <c r="E74" s="46" t="s">
        <v>326</v>
      </c>
      <c r="F74" s="416" t="s">
        <v>343</v>
      </c>
      <c r="G74" s="23" t="s">
        <v>54</v>
      </c>
      <c r="H74" s="464" t="s">
        <v>225</v>
      </c>
      <c r="I74" s="48">
        <v>182293.87</v>
      </c>
      <c r="J74" s="48"/>
      <c r="K74" s="4"/>
      <c r="L74" s="284" t="s">
        <v>209</v>
      </c>
      <c r="M74" s="150" t="s">
        <v>209</v>
      </c>
      <c r="N74" s="56" t="s">
        <v>305</v>
      </c>
      <c r="O74" s="23"/>
      <c r="P74" s="50"/>
      <c r="Q74" s="50"/>
    </row>
    <row r="75" spans="1:23" ht="21.6" customHeight="1">
      <c r="B75" s="152" t="str">
        <f t="shared" si="1"/>
        <v>REMODELACION ARZOLA</v>
      </c>
      <c r="C75" s="27">
        <v>46041</v>
      </c>
      <c r="D75" s="23" t="s">
        <v>212</v>
      </c>
      <c r="E75" s="29" t="s">
        <v>228</v>
      </c>
      <c r="F75" s="416" t="s">
        <v>360</v>
      </c>
      <c r="G75" s="42" t="s">
        <v>76</v>
      </c>
      <c r="H75" s="417" t="s">
        <v>52</v>
      </c>
      <c r="I75" s="48">
        <v>56000</v>
      </c>
      <c r="J75" s="48"/>
      <c r="K75" s="48" t="s">
        <v>230</v>
      </c>
      <c r="L75" s="150" t="s">
        <v>209</v>
      </c>
      <c r="M75" s="284"/>
      <c r="N75" s="56" t="s">
        <v>305</v>
      </c>
      <c r="O75" s="2"/>
      <c r="P75" s="50"/>
      <c r="Q75" s="50"/>
    </row>
    <row r="76" spans="1:23" ht="21" customHeight="1">
      <c r="B76" s="152" t="str">
        <f t="shared" si="1"/>
        <v>REMODELACION ARZOLA</v>
      </c>
      <c r="C76" s="27">
        <v>46044</v>
      </c>
      <c r="D76" s="42" t="s">
        <v>361</v>
      </c>
      <c r="E76" s="46" t="s">
        <v>326</v>
      </c>
      <c r="F76" s="416" t="s">
        <v>362</v>
      </c>
      <c r="G76" s="42" t="s">
        <v>71</v>
      </c>
      <c r="H76" s="461" t="s">
        <v>128</v>
      </c>
      <c r="I76" s="48">
        <v>4895427.17</v>
      </c>
      <c r="J76" s="48"/>
      <c r="K76" s="48" t="s">
        <v>337</v>
      </c>
      <c r="L76" s="150" t="s">
        <v>209</v>
      </c>
      <c r="M76" s="284"/>
      <c r="N76" s="56"/>
      <c r="O76" s="2"/>
      <c r="P76" s="50"/>
      <c r="Q76" s="50"/>
      <c r="R76" s="447" t="s">
        <v>363</v>
      </c>
    </row>
    <row r="77" spans="1:23" ht="21.6" customHeight="1">
      <c r="B77" s="152" t="str">
        <f t="shared" si="1"/>
        <v>REMODELACION ARZOLA</v>
      </c>
      <c r="C77" s="27">
        <v>46031</v>
      </c>
      <c r="D77" s="42" t="s">
        <v>364</v>
      </c>
      <c r="E77" s="29" t="s">
        <v>228</v>
      </c>
      <c r="F77" s="416" t="s">
        <v>365</v>
      </c>
      <c r="G77" s="42" t="s">
        <v>366</v>
      </c>
      <c r="H77" s="417" t="s">
        <v>33</v>
      </c>
      <c r="I77" s="48">
        <v>2157408.85</v>
      </c>
      <c r="J77" s="48"/>
      <c r="K77" s="48" t="s">
        <v>201</v>
      </c>
      <c r="L77" s="150" t="s">
        <v>209</v>
      </c>
      <c r="M77" s="284" t="s">
        <v>209</v>
      </c>
      <c r="N77" s="56" t="s">
        <v>305</v>
      </c>
      <c r="O77" s="2"/>
      <c r="P77" s="50"/>
      <c r="Q77" s="50"/>
      <c r="U77" s="251">
        <v>46044</v>
      </c>
      <c r="V77" s="250">
        <v>46075</v>
      </c>
      <c r="W77" s="250">
        <v>46103</v>
      </c>
    </row>
    <row r="78" spans="1:23" ht="21.6" customHeight="1">
      <c r="B78" s="152" t="str">
        <f t="shared" si="1"/>
        <v>REMODELACION ARZOLA</v>
      </c>
      <c r="C78" s="27">
        <v>46050</v>
      </c>
      <c r="D78" s="42" t="s">
        <v>364</v>
      </c>
      <c r="E78" s="29" t="s">
        <v>228</v>
      </c>
      <c r="F78" s="416" t="s">
        <v>345</v>
      </c>
      <c r="G78" s="42" t="s">
        <v>76</v>
      </c>
      <c r="H78" s="86" t="s">
        <v>52</v>
      </c>
      <c r="I78" s="48">
        <v>52000</v>
      </c>
      <c r="J78" s="48"/>
      <c r="K78" s="48" t="s">
        <v>201</v>
      </c>
      <c r="L78" s="150" t="s">
        <v>209</v>
      </c>
      <c r="M78" s="284"/>
      <c r="N78" s="56" t="s">
        <v>305</v>
      </c>
      <c r="O78" s="2"/>
      <c r="P78" s="50"/>
      <c r="Q78" s="50"/>
    </row>
    <row r="79" spans="1:23" ht="21.6" customHeight="1">
      <c r="B79" s="291" t="str">
        <f>+$E$3</f>
        <v>REMODELACION ARZOLA</v>
      </c>
      <c r="C79" s="291">
        <v>46051</v>
      </c>
      <c r="D79" s="290" t="s">
        <v>367</v>
      </c>
      <c r="E79" s="292" t="s">
        <v>326</v>
      </c>
      <c r="F79" s="478" t="s">
        <v>368</v>
      </c>
      <c r="G79" s="290" t="s">
        <v>72</v>
      </c>
      <c r="H79" s="479" t="s">
        <v>63</v>
      </c>
      <c r="I79" s="293">
        <v>163932.20000000001</v>
      </c>
      <c r="J79" s="293"/>
      <c r="K79" s="293" t="s">
        <v>201</v>
      </c>
      <c r="L79" s="266" t="s">
        <v>209</v>
      </c>
      <c r="M79" s="284" t="s">
        <v>209</v>
      </c>
      <c r="N79" s="56" t="s">
        <v>305</v>
      </c>
      <c r="O79" s="2"/>
      <c r="P79" s="50"/>
      <c r="Q79" s="50"/>
    </row>
    <row r="80" spans="1:23" ht="21.6" customHeight="1">
      <c r="B80" s="27" t="str">
        <f>+$E$3</f>
        <v>REMODELACION ARZOLA</v>
      </c>
      <c r="C80" s="27">
        <v>46051</v>
      </c>
      <c r="D80" s="42"/>
      <c r="E80" s="46" t="s">
        <v>326</v>
      </c>
      <c r="F80" s="416" t="s">
        <v>369</v>
      </c>
      <c r="G80" s="42" t="s">
        <v>71</v>
      </c>
      <c r="H80" s="461" t="s">
        <v>128</v>
      </c>
      <c r="I80" s="48">
        <v>91577.39</v>
      </c>
      <c r="J80" s="48"/>
      <c r="K80" s="48" t="s">
        <v>201</v>
      </c>
      <c r="L80" s="86" t="s">
        <v>202</v>
      </c>
      <c r="M80" s="150" t="s">
        <v>209</v>
      </c>
      <c r="N80" s="56" t="s">
        <v>305</v>
      </c>
      <c r="O80" s="2"/>
      <c r="P80" s="50"/>
      <c r="Q80" s="50"/>
    </row>
    <row r="81" spans="1:19" ht="21.6" customHeight="1">
      <c r="B81" s="170"/>
      <c r="C81" s="171">
        <v>46051</v>
      </c>
      <c r="D81" s="130"/>
      <c r="E81" s="130"/>
      <c r="F81" s="465"/>
      <c r="G81" s="131"/>
      <c r="H81" s="465"/>
      <c r="I81" s="132"/>
      <c r="J81" s="132"/>
      <c r="K81" s="133"/>
      <c r="L81" s="134"/>
      <c r="M81" s="285"/>
      <c r="N81" s="135"/>
      <c r="O81" s="136"/>
      <c r="P81" s="137"/>
      <c r="Q81" s="137"/>
      <c r="R81" s="138"/>
      <c r="S81" s="138"/>
    </row>
    <row r="82" spans="1:19" s="138" customFormat="1" ht="27.75" customHeight="1">
      <c r="A82" s="168" t="s">
        <v>218</v>
      </c>
      <c r="B82" s="152" t="str">
        <f>+$E$3</f>
        <v>REMODELACION ARZOLA</v>
      </c>
      <c r="C82" s="475">
        <v>46052</v>
      </c>
      <c r="D82" s="23" t="s">
        <v>370</v>
      </c>
      <c r="E82" s="46" t="s">
        <v>326</v>
      </c>
      <c r="F82" s="416" t="s">
        <v>343</v>
      </c>
      <c r="G82" s="23" t="s">
        <v>54</v>
      </c>
      <c r="H82" s="464" t="s">
        <v>225</v>
      </c>
      <c r="I82" s="48">
        <v>4021.95</v>
      </c>
      <c r="J82" s="48"/>
      <c r="K82" s="48" t="s">
        <v>201</v>
      </c>
      <c r="L82" s="284" t="s">
        <v>209</v>
      </c>
      <c r="M82" s="150" t="s">
        <v>209</v>
      </c>
      <c r="N82" s="56" t="s">
        <v>305</v>
      </c>
      <c r="O82" s="23"/>
      <c r="P82" s="106"/>
      <c r="Q82" s="106"/>
      <c r="R82"/>
      <c r="S82"/>
    </row>
    <row r="83" spans="1:19" ht="21" customHeight="1">
      <c r="A83" s="221"/>
      <c r="B83" s="152" t="str">
        <f t="shared" ref="B83:B86" si="2">+$E$3</f>
        <v>REMODELACION ARZOLA</v>
      </c>
      <c r="C83" s="27">
        <v>46055</v>
      </c>
      <c r="D83" s="42" t="s">
        <v>371</v>
      </c>
      <c r="E83" s="219" t="s">
        <v>326</v>
      </c>
      <c r="F83" s="416" t="s">
        <v>372</v>
      </c>
      <c r="G83" s="42" t="s">
        <v>107</v>
      </c>
      <c r="H83" s="461" t="s">
        <v>270</v>
      </c>
      <c r="I83" s="48">
        <v>90594.73</v>
      </c>
      <c r="J83" s="48"/>
      <c r="K83" s="48" t="s">
        <v>201</v>
      </c>
      <c r="L83" s="150" t="s">
        <v>209</v>
      </c>
      <c r="M83" s="284" t="s">
        <v>209</v>
      </c>
      <c r="N83" s="56" t="s">
        <v>305</v>
      </c>
      <c r="O83" s="2"/>
      <c r="P83" s="50"/>
      <c r="Q83" s="50"/>
      <c r="S83" t="s">
        <v>373</v>
      </c>
    </row>
    <row r="84" spans="1:19" ht="23.1" customHeight="1">
      <c r="B84" s="152" t="str">
        <f t="shared" si="2"/>
        <v>REMODELACION ARZOLA</v>
      </c>
      <c r="C84" s="27">
        <v>46056</v>
      </c>
      <c r="D84" s="42" t="s">
        <v>374</v>
      </c>
      <c r="E84" s="219" t="s">
        <v>326</v>
      </c>
      <c r="F84" s="416" t="s">
        <v>375</v>
      </c>
      <c r="G84" s="23" t="s">
        <v>54</v>
      </c>
      <c r="H84" s="464" t="s">
        <v>225</v>
      </c>
      <c r="I84" s="48">
        <v>24294.99</v>
      </c>
      <c r="J84" s="48"/>
      <c r="K84" s="48" t="s">
        <v>201</v>
      </c>
      <c r="L84" s="284" t="s">
        <v>209</v>
      </c>
      <c r="M84" s="150" t="s">
        <v>209</v>
      </c>
      <c r="N84" s="56" t="s">
        <v>305</v>
      </c>
      <c r="O84" s="2"/>
      <c r="P84" s="50"/>
      <c r="Q84" s="50"/>
    </row>
    <row r="85" spans="1:19" ht="20.100000000000001" customHeight="1">
      <c r="B85" s="152" t="str">
        <f t="shared" si="2"/>
        <v>REMODELACION ARZOLA</v>
      </c>
      <c r="C85" s="27">
        <v>46056</v>
      </c>
      <c r="D85" s="42" t="s">
        <v>376</v>
      </c>
      <c r="E85" s="219" t="s">
        <v>326</v>
      </c>
      <c r="F85" s="416" t="s">
        <v>377</v>
      </c>
      <c r="G85" s="23" t="s">
        <v>54</v>
      </c>
      <c r="H85" s="464" t="s">
        <v>225</v>
      </c>
      <c r="I85" s="48">
        <v>11480.17</v>
      </c>
      <c r="J85" s="48"/>
      <c r="K85" s="48" t="s">
        <v>201</v>
      </c>
      <c r="L85" s="284" t="s">
        <v>209</v>
      </c>
      <c r="M85" s="150" t="s">
        <v>209</v>
      </c>
      <c r="N85" s="56" t="s">
        <v>305</v>
      </c>
      <c r="O85" s="2"/>
      <c r="P85" s="50"/>
      <c r="Q85" s="50"/>
    </row>
    <row r="86" spans="1:19" ht="19.350000000000001" customHeight="1">
      <c r="B86" s="152" t="str">
        <f t="shared" si="2"/>
        <v>REMODELACION ARZOLA</v>
      </c>
      <c r="C86" s="27">
        <v>46058</v>
      </c>
      <c r="D86" s="42" t="s">
        <v>378</v>
      </c>
      <c r="E86" s="219" t="s">
        <v>326</v>
      </c>
      <c r="F86" s="416" t="s">
        <v>379</v>
      </c>
      <c r="G86" s="42" t="s">
        <v>83</v>
      </c>
      <c r="H86" s="417" t="s">
        <v>207</v>
      </c>
      <c r="I86" s="48">
        <v>1001437.12</v>
      </c>
      <c r="J86" s="48"/>
      <c r="K86" s="48" t="s">
        <v>201</v>
      </c>
      <c r="L86" s="150" t="s">
        <v>209</v>
      </c>
      <c r="M86" s="284" t="s">
        <v>209</v>
      </c>
      <c r="N86" s="56" t="s">
        <v>305</v>
      </c>
      <c r="O86" s="2"/>
      <c r="P86" s="50"/>
      <c r="Q86" s="50"/>
      <c r="S86" t="s">
        <v>380</v>
      </c>
    </row>
    <row r="87" spans="1:19" ht="18.600000000000001" customHeight="1">
      <c r="B87" s="27" t="str">
        <f>+$E$3</f>
        <v>REMODELACION ARZOLA</v>
      </c>
      <c r="C87" s="27">
        <v>46064</v>
      </c>
      <c r="D87" s="42" t="s">
        <v>381</v>
      </c>
      <c r="E87" s="219" t="s">
        <v>326</v>
      </c>
      <c r="F87" s="416" t="s">
        <v>382</v>
      </c>
      <c r="G87" s="42" t="s">
        <v>107</v>
      </c>
      <c r="H87" s="461" t="s">
        <v>270</v>
      </c>
      <c r="I87" s="48">
        <v>46239.040000000001</v>
      </c>
      <c r="J87" s="48"/>
      <c r="K87" s="48" t="s">
        <v>201</v>
      </c>
      <c r="L87" s="150" t="s">
        <v>209</v>
      </c>
      <c r="M87" s="284" t="s">
        <v>209</v>
      </c>
      <c r="N87" s="56" t="s">
        <v>305</v>
      </c>
      <c r="O87" s="2"/>
      <c r="P87" s="50"/>
      <c r="Q87" s="50"/>
    </row>
    <row r="88" spans="1:19" ht="29.25" customHeight="1">
      <c r="A88" s="168" t="s">
        <v>218</v>
      </c>
      <c r="B88" s="170"/>
      <c r="C88" s="171">
        <v>46065</v>
      </c>
      <c r="D88" s="171"/>
      <c r="E88" s="130"/>
      <c r="F88" s="465"/>
      <c r="G88" s="131"/>
      <c r="H88" s="465"/>
      <c r="I88" s="132"/>
      <c r="J88" s="132"/>
      <c r="K88" s="133"/>
      <c r="L88" s="134"/>
      <c r="M88" s="285"/>
      <c r="N88" s="135"/>
      <c r="O88" s="136"/>
      <c r="P88" s="137"/>
      <c r="Q88" s="137"/>
      <c r="R88" s="138"/>
      <c r="S88" s="138"/>
    </row>
    <row r="89" spans="1:19" s="138" customFormat="1" ht="29.25" customHeight="1">
      <c r="B89" s="152" t="str">
        <f t="shared" ref="B89:B94" si="3">+$E$3</f>
        <v>REMODELACION ARZOLA</v>
      </c>
      <c r="C89" s="27">
        <v>46066</v>
      </c>
      <c r="D89" s="42" t="s">
        <v>383</v>
      </c>
      <c r="E89" s="279" t="s">
        <v>326</v>
      </c>
      <c r="F89" s="85" t="s">
        <v>384</v>
      </c>
      <c r="G89" s="42" t="s">
        <v>54</v>
      </c>
      <c r="H89" s="86" t="s">
        <v>225</v>
      </c>
      <c r="I89" s="48">
        <v>137479.28</v>
      </c>
      <c r="J89" s="48"/>
      <c r="K89" s="48" t="s">
        <v>201</v>
      </c>
      <c r="L89" s="284" t="s">
        <v>209</v>
      </c>
      <c r="M89" s="150" t="s">
        <v>209</v>
      </c>
      <c r="N89" s="56" t="s">
        <v>305</v>
      </c>
      <c r="O89" s="86"/>
      <c r="P89" s="50"/>
      <c r="Q89" s="50"/>
      <c r="R89"/>
      <c r="S89"/>
    </row>
    <row r="90" spans="1:19" ht="18.600000000000001" customHeight="1">
      <c r="B90" s="27" t="str">
        <f t="shared" si="3"/>
        <v>REMODELACION ARZOLA</v>
      </c>
      <c r="C90" s="27">
        <v>46071</v>
      </c>
      <c r="D90" s="42" t="s">
        <v>385</v>
      </c>
      <c r="E90" s="279" t="s">
        <v>326</v>
      </c>
      <c r="F90" s="416" t="s">
        <v>386</v>
      </c>
      <c r="G90" s="42" t="s">
        <v>54</v>
      </c>
      <c r="H90" s="86" t="s">
        <v>225</v>
      </c>
      <c r="I90" s="282">
        <v>-33938.58</v>
      </c>
      <c r="J90" s="282"/>
      <c r="K90" s="48" t="s">
        <v>201</v>
      </c>
      <c r="L90" s="284" t="s">
        <v>209</v>
      </c>
      <c r="M90" s="150" t="s">
        <v>209</v>
      </c>
      <c r="N90" s="56" t="s">
        <v>305</v>
      </c>
      <c r="O90" s="2"/>
      <c r="P90" s="50"/>
      <c r="Q90" s="50"/>
    </row>
    <row r="91" spans="1:19" ht="18.600000000000001" customHeight="1">
      <c r="B91" s="27" t="str">
        <f t="shared" si="3"/>
        <v>REMODELACION ARZOLA</v>
      </c>
      <c r="C91" s="27">
        <v>46071</v>
      </c>
      <c r="D91" s="42" t="s">
        <v>387</v>
      </c>
      <c r="E91" s="279" t="s">
        <v>326</v>
      </c>
      <c r="F91" s="416" t="s">
        <v>386</v>
      </c>
      <c r="G91" s="42" t="s">
        <v>54</v>
      </c>
      <c r="H91" s="86" t="s">
        <v>225</v>
      </c>
      <c r="I91" s="48">
        <v>32953.269999999997</v>
      </c>
      <c r="J91" s="48"/>
      <c r="K91" s="48" t="s">
        <v>201</v>
      </c>
      <c r="L91" s="284" t="s">
        <v>209</v>
      </c>
      <c r="M91" s="150" t="s">
        <v>209</v>
      </c>
      <c r="N91" s="56" t="s">
        <v>305</v>
      </c>
      <c r="O91" s="2"/>
      <c r="P91" s="50"/>
      <c r="Q91" s="50"/>
    </row>
    <row r="92" spans="1:19" ht="18.600000000000001" customHeight="1">
      <c r="B92" s="27" t="str">
        <f t="shared" si="3"/>
        <v>REMODELACION ARZOLA</v>
      </c>
      <c r="C92" s="27">
        <v>46071</v>
      </c>
      <c r="D92" s="42" t="s">
        <v>388</v>
      </c>
      <c r="E92" s="279" t="s">
        <v>326</v>
      </c>
      <c r="F92" s="416" t="s">
        <v>389</v>
      </c>
      <c r="G92" s="42" t="s">
        <v>54</v>
      </c>
      <c r="H92" s="86" t="s">
        <v>225</v>
      </c>
      <c r="I92" s="48">
        <v>22742.400000000001</v>
      </c>
      <c r="J92" s="48"/>
      <c r="K92" s="48" t="s">
        <v>201</v>
      </c>
      <c r="L92" s="284" t="s">
        <v>209</v>
      </c>
      <c r="M92" s="150" t="s">
        <v>209</v>
      </c>
      <c r="N92" s="56" t="s">
        <v>305</v>
      </c>
      <c r="O92" s="2"/>
      <c r="P92" s="50"/>
      <c r="Q92" s="50"/>
    </row>
    <row r="93" spans="1:19" ht="18.600000000000001" customHeight="1">
      <c r="B93" s="27" t="str">
        <f t="shared" si="3"/>
        <v>REMODELACION ARZOLA</v>
      </c>
      <c r="C93" s="27">
        <v>46071</v>
      </c>
      <c r="D93" s="42" t="s">
        <v>390</v>
      </c>
      <c r="E93" s="279" t="s">
        <v>326</v>
      </c>
      <c r="F93" s="416" t="s">
        <v>391</v>
      </c>
      <c r="G93" s="42" t="s">
        <v>54</v>
      </c>
      <c r="H93" s="86" t="s">
        <v>225</v>
      </c>
      <c r="I93" s="282">
        <v>-86006.080000000002</v>
      </c>
      <c r="J93" s="282"/>
      <c r="K93" s="48" t="s">
        <v>201</v>
      </c>
      <c r="L93" s="284" t="s">
        <v>209</v>
      </c>
      <c r="M93" s="150" t="s">
        <v>209</v>
      </c>
      <c r="N93" s="56" t="s">
        <v>305</v>
      </c>
      <c r="O93" s="2"/>
      <c r="P93" s="50"/>
      <c r="Q93" s="50"/>
    </row>
    <row r="94" spans="1:19" ht="18.600000000000001" customHeight="1">
      <c r="B94" s="27" t="str">
        <f t="shared" si="3"/>
        <v>REMODELACION ARZOLA</v>
      </c>
      <c r="C94" s="27">
        <v>46071</v>
      </c>
      <c r="D94" s="42" t="s">
        <v>392</v>
      </c>
      <c r="E94" s="279" t="s">
        <v>326</v>
      </c>
      <c r="F94" s="416" t="s">
        <v>393</v>
      </c>
      <c r="G94" s="42" t="s">
        <v>54</v>
      </c>
      <c r="H94" s="86" t="s">
        <v>225</v>
      </c>
      <c r="I94" s="48">
        <v>87835.86</v>
      </c>
      <c r="J94" s="48"/>
      <c r="K94" s="48" t="s">
        <v>201</v>
      </c>
      <c r="L94" s="284" t="s">
        <v>209</v>
      </c>
      <c r="M94" s="150" t="s">
        <v>209</v>
      </c>
      <c r="N94" s="56" t="s">
        <v>305</v>
      </c>
      <c r="O94" s="2"/>
      <c r="P94" s="50"/>
      <c r="Q94" s="50"/>
    </row>
    <row r="95" spans="1:19" ht="18.600000000000001" customHeight="1">
      <c r="B95" s="27" t="str">
        <f>+$E$3</f>
        <v>REMODELACION ARZOLA</v>
      </c>
      <c r="C95" s="27">
        <v>46073</v>
      </c>
      <c r="D95" s="38"/>
      <c r="E95" s="279" t="s">
        <v>326</v>
      </c>
      <c r="F95" s="416" t="s">
        <v>394</v>
      </c>
      <c r="G95" s="42" t="s">
        <v>107</v>
      </c>
      <c r="H95" s="417" t="s">
        <v>200</v>
      </c>
      <c r="I95" s="48">
        <v>51450.75</v>
      </c>
      <c r="J95" s="48"/>
      <c r="K95" s="48" t="s">
        <v>201</v>
      </c>
      <c r="L95" s="266" t="s">
        <v>209</v>
      </c>
      <c r="M95" s="284" t="s">
        <v>209</v>
      </c>
      <c r="N95" s="56" t="s">
        <v>305</v>
      </c>
      <c r="O95" s="2"/>
      <c r="P95" s="50"/>
      <c r="Q95" s="50"/>
    </row>
    <row r="96" spans="1:19" ht="18.600000000000001" customHeight="1">
      <c r="B96" s="170"/>
      <c r="C96" s="171">
        <v>46079</v>
      </c>
      <c r="D96" s="171"/>
      <c r="E96" s="130"/>
      <c r="F96" s="465"/>
      <c r="G96" s="131"/>
      <c r="H96" s="465"/>
      <c r="I96" s="132"/>
      <c r="J96" s="132"/>
      <c r="K96" s="133"/>
      <c r="L96" s="379"/>
      <c r="M96" s="285"/>
      <c r="N96" s="135"/>
      <c r="O96" s="136"/>
      <c r="P96" s="137"/>
      <c r="Q96" s="137"/>
      <c r="R96" s="138"/>
      <c r="S96" s="138"/>
    </row>
    <row r="97" spans="1:20" s="138" customFormat="1" ht="29.25" customHeight="1">
      <c r="A97" s="168" t="s">
        <v>218</v>
      </c>
      <c r="B97" s="27" t="str">
        <f>+$E$3</f>
        <v>REMODELACION ARZOLA</v>
      </c>
      <c r="C97" s="27">
        <v>46080</v>
      </c>
      <c r="D97" s="38"/>
      <c r="E97" s="38"/>
      <c r="F97" s="220" t="s">
        <v>395</v>
      </c>
      <c r="G97" s="42" t="s">
        <v>89</v>
      </c>
      <c r="H97" s="86" t="s">
        <v>216</v>
      </c>
      <c r="I97" s="48">
        <v>60400</v>
      </c>
      <c r="J97" s="48"/>
      <c r="K97" s="44" t="s">
        <v>396</v>
      </c>
      <c r="L97" s="150" t="s">
        <v>209</v>
      </c>
      <c r="M97" s="284" t="s">
        <v>209</v>
      </c>
      <c r="N97" s="265" t="s">
        <v>305</v>
      </c>
      <c r="O97" s="23"/>
      <c r="P97" s="106"/>
      <c r="Q97" s="106"/>
      <c r="R97"/>
      <c r="S97"/>
    </row>
    <row r="98" spans="1:20" ht="35.25" customHeight="1">
      <c r="A98" s="168" t="s">
        <v>218</v>
      </c>
      <c r="B98" s="129"/>
      <c r="C98" s="171">
        <v>46093</v>
      </c>
      <c r="D98" s="130"/>
      <c r="E98" s="465"/>
      <c r="F98" s="131"/>
      <c r="G98" s="465"/>
      <c r="H98" s="132"/>
      <c r="I98" s="133"/>
      <c r="J98" s="133"/>
      <c r="K98" s="134"/>
      <c r="L98" s="135"/>
      <c r="M98" s="135"/>
      <c r="N98" s="136"/>
      <c r="O98" s="137"/>
      <c r="P98" s="137"/>
      <c r="Q98" s="138"/>
      <c r="R98" s="138"/>
      <c r="S98" s="138"/>
    </row>
    <row r="99" spans="1:20" s="138" customFormat="1" ht="34.5" customHeight="1">
      <c r="A99" s="168" t="s">
        <v>218</v>
      </c>
      <c r="B99" s="170"/>
      <c r="C99" s="171">
        <v>46107</v>
      </c>
      <c r="D99" s="171"/>
      <c r="E99" s="130"/>
      <c r="F99" s="208"/>
      <c r="G99" s="131"/>
      <c r="H99" s="208"/>
      <c r="I99" s="132"/>
      <c r="J99" s="132"/>
      <c r="K99" s="133"/>
      <c r="L99" s="134"/>
      <c r="M99" s="134"/>
      <c r="N99" s="135"/>
      <c r="O99" s="136"/>
      <c r="P99" s="137"/>
      <c r="Q99" s="137"/>
    </row>
    <row r="100" spans="1:20" ht="18.600000000000001" customHeight="1">
      <c r="A100" s="15"/>
      <c r="B100" s="152" t="str">
        <f t="shared" ref="B100" si="4">+$E$3</f>
        <v>REMODELACION ARZOLA</v>
      </c>
      <c r="C100" s="27">
        <v>46107</v>
      </c>
      <c r="D100" s="38"/>
      <c r="E100" s="209" t="s">
        <v>397</v>
      </c>
      <c r="F100" s="416" t="s">
        <v>398</v>
      </c>
      <c r="G100" s="39" t="s">
        <v>76</v>
      </c>
      <c r="H100" s="419" t="s">
        <v>52</v>
      </c>
      <c r="I100" s="48">
        <v>56000</v>
      </c>
      <c r="J100" s="40"/>
      <c r="K100" s="48" t="s">
        <v>399</v>
      </c>
      <c r="L100" s="359" t="s">
        <v>209</v>
      </c>
      <c r="M100" s="359" t="s">
        <v>209</v>
      </c>
      <c r="N100" s="265" t="s">
        <v>305</v>
      </c>
      <c r="O100" s="2"/>
      <c r="P100" s="50"/>
      <c r="Q100" s="50"/>
      <c r="T100" s="15"/>
    </row>
    <row r="101" spans="1:20" ht="18.600000000000001" customHeight="1">
      <c r="A101" s="15"/>
      <c r="B101" s="27" t="str">
        <f>+$E$3</f>
        <v>REMODELACION ARZOLA</v>
      </c>
      <c r="C101" s="27">
        <v>46113</v>
      </c>
      <c r="D101" s="38"/>
      <c r="E101" s="209" t="s">
        <v>397</v>
      </c>
      <c r="F101" s="416" t="s">
        <v>400</v>
      </c>
      <c r="G101" s="39" t="s">
        <v>76</v>
      </c>
      <c r="H101" s="419" t="s">
        <v>52</v>
      </c>
      <c r="I101" s="48">
        <v>37000</v>
      </c>
      <c r="J101" s="40"/>
      <c r="K101" s="44" t="s">
        <v>396</v>
      </c>
      <c r="L101" s="150" t="s">
        <v>209</v>
      </c>
      <c r="M101" s="284" t="s">
        <v>209</v>
      </c>
      <c r="N101" s="265" t="s">
        <v>305</v>
      </c>
      <c r="O101" s="2"/>
      <c r="P101" s="50"/>
      <c r="Q101" s="50"/>
      <c r="T101" s="15"/>
    </row>
    <row r="102" spans="1:20" s="138" customFormat="1" ht="27" customHeight="1">
      <c r="A102" s="168" t="s">
        <v>218</v>
      </c>
      <c r="B102" s="170"/>
      <c r="C102" s="171">
        <v>46121</v>
      </c>
      <c r="D102" s="171"/>
      <c r="E102" s="130"/>
      <c r="F102" s="208"/>
      <c r="G102" s="131"/>
      <c r="H102" s="208"/>
      <c r="I102" s="132"/>
      <c r="J102" s="132"/>
      <c r="K102" s="133"/>
      <c r="L102" s="134"/>
      <c r="M102" s="134"/>
      <c r="N102" s="135"/>
      <c r="O102" s="136"/>
      <c r="P102" s="137"/>
      <c r="Q102" s="137"/>
    </row>
    <row r="103" spans="1:20" ht="18.600000000000001" customHeight="1">
      <c r="A103" s="15"/>
      <c r="B103" s="152" t="str">
        <f t="shared" ref="B103" si="5">+$E$3</f>
        <v>REMODELACION ARZOLA</v>
      </c>
      <c r="C103" s="27"/>
      <c r="D103" s="38"/>
      <c r="E103" s="209"/>
      <c r="F103" s="416"/>
      <c r="G103" s="39"/>
      <c r="H103" s="419"/>
      <c r="I103" s="40"/>
      <c r="J103" s="40"/>
      <c r="K103" s="48"/>
      <c r="L103" s="86"/>
      <c r="M103" s="56"/>
      <c r="N103" s="56"/>
      <c r="O103" s="2"/>
      <c r="P103" s="50"/>
      <c r="Q103" s="50"/>
      <c r="T103" s="15"/>
    </row>
    <row r="104" spans="1:20" ht="18.600000000000001" customHeight="1">
      <c r="A104" s="15"/>
      <c r="B104" s="27" t="str">
        <f t="shared" ref="B104:B106" si="6">+$E$3</f>
        <v>REMODELACION ARZOLA</v>
      </c>
      <c r="C104" s="27"/>
      <c r="D104" s="38"/>
      <c r="E104" s="38"/>
      <c r="F104" s="416"/>
      <c r="G104" s="39"/>
      <c r="H104" s="419"/>
      <c r="I104" s="40"/>
      <c r="J104" s="40"/>
      <c r="K104" s="48"/>
      <c r="L104" s="86"/>
      <c r="M104" s="56"/>
      <c r="N104" s="56"/>
      <c r="O104" s="2"/>
      <c r="P104" s="50"/>
      <c r="Q104" s="50"/>
      <c r="T104" s="15"/>
    </row>
    <row r="105" spans="1:20" ht="18.600000000000001" customHeight="1">
      <c r="A105" s="15"/>
      <c r="B105" s="152" t="str">
        <f t="shared" si="6"/>
        <v>REMODELACION ARZOLA</v>
      </c>
      <c r="C105" s="27"/>
      <c r="D105" s="38"/>
      <c r="E105" s="209"/>
      <c r="F105" s="416"/>
      <c r="G105" s="39"/>
      <c r="H105" s="419"/>
      <c r="I105" s="40"/>
      <c r="J105" s="40"/>
      <c r="K105" s="48"/>
      <c r="L105" s="86"/>
      <c r="M105" s="56"/>
      <c r="N105" s="56"/>
      <c r="O105" s="2"/>
      <c r="P105" s="50"/>
      <c r="Q105" s="50"/>
      <c r="T105" s="15"/>
    </row>
    <row r="106" spans="1:20" ht="18.600000000000001" customHeight="1">
      <c r="A106" s="15"/>
      <c r="B106" s="152" t="str">
        <f t="shared" si="6"/>
        <v>REMODELACION ARZOLA</v>
      </c>
      <c r="C106" s="27"/>
      <c r="D106" s="38"/>
      <c r="E106" s="209"/>
      <c r="F106" s="416"/>
      <c r="G106" s="39"/>
      <c r="H106" s="419"/>
      <c r="I106" s="40"/>
      <c r="J106" s="40"/>
      <c r="K106" s="48"/>
      <c r="L106" s="86"/>
      <c r="M106" s="56"/>
      <c r="N106" s="56"/>
      <c r="O106" s="2"/>
      <c r="P106" s="50"/>
      <c r="Q106" s="50"/>
      <c r="T106" s="15"/>
    </row>
    <row r="107" spans="1:20" ht="18.600000000000001" customHeight="1">
      <c r="A107" s="15"/>
      <c r="B107" s="27" t="str">
        <f t="shared" ref="B107:B111" si="7">+$E$3</f>
        <v>REMODELACION ARZOLA</v>
      </c>
      <c r="C107" s="27"/>
      <c r="D107" s="38"/>
      <c r="E107" s="38"/>
      <c r="F107" s="416"/>
      <c r="G107" s="39"/>
      <c r="H107" s="419"/>
      <c r="I107" s="40"/>
      <c r="J107" s="40"/>
      <c r="K107" s="48"/>
      <c r="L107" s="86"/>
      <c r="M107" s="56"/>
      <c r="N107" s="56"/>
      <c r="O107" s="2"/>
      <c r="P107" s="50"/>
      <c r="Q107" s="50"/>
      <c r="T107" s="15"/>
    </row>
    <row r="108" spans="1:20" s="311" customFormat="1" ht="18.600000000000001" customHeight="1">
      <c r="A108" s="367" t="s">
        <v>257</v>
      </c>
      <c r="B108" s="361" t="str">
        <f t="shared" si="7"/>
        <v>REMODELACION ARZOLA</v>
      </c>
      <c r="C108" s="302">
        <v>46136</v>
      </c>
      <c r="D108" s="303"/>
      <c r="E108" s="362"/>
      <c r="F108" s="467"/>
      <c r="G108" s="304"/>
      <c r="H108" s="467"/>
      <c r="I108" s="305"/>
      <c r="J108" s="305"/>
      <c r="K108" s="363"/>
      <c r="L108" s="364"/>
      <c r="M108" s="308"/>
      <c r="N108" s="308"/>
      <c r="O108" s="365"/>
      <c r="P108" s="366"/>
      <c r="Q108" s="366"/>
      <c r="T108" s="360"/>
    </row>
    <row r="109" spans="1:20" ht="18.600000000000001" customHeight="1">
      <c r="A109" s="374"/>
      <c r="B109" s="27" t="str">
        <f>+$E$3</f>
        <v>REMODELACION ARZOLA</v>
      </c>
      <c r="C109" s="222"/>
      <c r="D109" s="38"/>
      <c r="E109" s="38"/>
      <c r="F109" s="419"/>
      <c r="G109" s="39"/>
      <c r="H109" s="419"/>
      <c r="I109" s="40"/>
      <c r="J109" s="40"/>
      <c r="K109" s="48"/>
      <c r="L109" s="86"/>
      <c r="M109" s="56"/>
      <c r="N109" s="56"/>
      <c r="O109" s="2"/>
      <c r="P109" s="50"/>
      <c r="Q109" s="50"/>
      <c r="T109" s="15"/>
    </row>
    <row r="110" spans="1:20" s="311" customFormat="1" ht="18.600000000000001" customHeight="1">
      <c r="A110" s="367" t="s">
        <v>257</v>
      </c>
      <c r="B110" s="361" t="str">
        <f t="shared" si="7"/>
        <v>REMODELACION ARZOLA</v>
      </c>
      <c r="C110" s="302">
        <v>46149</v>
      </c>
      <c r="D110" s="303"/>
      <c r="E110" s="362"/>
      <c r="F110" s="467"/>
      <c r="G110" s="304"/>
      <c r="H110" s="467"/>
      <c r="I110" s="305"/>
      <c r="J110" s="305"/>
      <c r="K110" s="363"/>
      <c r="L110" s="364"/>
      <c r="M110" s="308"/>
      <c r="N110" s="308"/>
      <c r="O110" s="365"/>
      <c r="P110" s="366"/>
      <c r="Q110" s="366"/>
      <c r="T110" s="360"/>
    </row>
    <row r="111" spans="1:20" ht="18.600000000000001" customHeight="1">
      <c r="A111" s="15"/>
      <c r="B111" s="152" t="str">
        <f t="shared" si="7"/>
        <v>REMODELACION ARZOLA</v>
      </c>
      <c r="C111" s="27"/>
      <c r="D111" s="38"/>
      <c r="E111" s="209"/>
      <c r="F111" s="416"/>
      <c r="G111" s="39"/>
      <c r="H111" s="419"/>
      <c r="I111" s="40"/>
      <c r="J111" s="40"/>
      <c r="K111" s="48"/>
      <c r="L111" s="86"/>
      <c r="M111" s="56"/>
      <c r="N111" s="56"/>
      <c r="O111" s="2"/>
      <c r="P111" s="50"/>
      <c r="Q111" s="50"/>
      <c r="T111" s="15"/>
    </row>
    <row r="112" spans="1:20" ht="18.600000000000001" customHeight="1">
      <c r="A112" s="15"/>
      <c r="B112" s="27" t="str">
        <f t="shared" ref="B112:B115" si="8">+$E$3</f>
        <v>REMODELACION ARZOLA</v>
      </c>
      <c r="C112" s="27"/>
      <c r="D112" s="38"/>
      <c r="E112" s="38"/>
      <c r="F112" s="416"/>
      <c r="G112" s="39"/>
      <c r="H112" s="419"/>
      <c r="I112" s="40"/>
      <c r="J112" s="40"/>
      <c r="K112" s="48"/>
      <c r="L112" s="86"/>
      <c r="M112" s="56"/>
      <c r="N112" s="56"/>
      <c r="O112" s="2"/>
      <c r="P112" s="50"/>
      <c r="Q112" s="50"/>
      <c r="T112" s="15"/>
    </row>
    <row r="113" spans="1:20" ht="18.600000000000001" customHeight="1">
      <c r="A113" s="15"/>
      <c r="B113" s="152" t="str">
        <f t="shared" si="8"/>
        <v>REMODELACION ARZOLA</v>
      </c>
      <c r="C113" s="27"/>
      <c r="D113" s="38"/>
      <c r="E113" s="209"/>
      <c r="F113" s="416"/>
      <c r="G113" s="39"/>
      <c r="H113" s="419"/>
      <c r="I113" s="40"/>
      <c r="J113" s="40"/>
      <c r="K113" s="48"/>
      <c r="L113" s="86"/>
      <c r="M113" s="56"/>
      <c r="N113" s="56"/>
      <c r="O113" s="2"/>
      <c r="P113" s="50"/>
      <c r="Q113" s="50"/>
      <c r="T113" s="15"/>
    </row>
    <row r="114" spans="1:20" ht="18.600000000000001" customHeight="1">
      <c r="A114" s="15"/>
      <c r="B114" s="152" t="str">
        <f t="shared" si="8"/>
        <v>REMODELACION ARZOLA</v>
      </c>
      <c r="C114" s="27"/>
      <c r="D114" s="38"/>
      <c r="E114" s="209"/>
      <c r="F114" s="416"/>
      <c r="G114" s="39"/>
      <c r="H114" s="419"/>
      <c r="I114" s="40"/>
      <c r="J114" s="40"/>
      <c r="K114" s="48"/>
      <c r="L114" s="86"/>
      <c r="M114" s="56"/>
      <c r="N114" s="56"/>
      <c r="O114" s="2"/>
      <c r="P114" s="50"/>
      <c r="Q114" s="50"/>
      <c r="T114" s="15"/>
    </row>
    <row r="115" spans="1:20" ht="18.600000000000001" customHeight="1">
      <c r="A115" s="15"/>
      <c r="B115" s="152" t="str">
        <f t="shared" si="8"/>
        <v>REMODELACION ARZOLA</v>
      </c>
      <c r="C115" s="27"/>
      <c r="D115" s="38"/>
      <c r="E115" s="209"/>
      <c r="F115" s="416"/>
      <c r="G115" s="39"/>
      <c r="H115" s="419"/>
      <c r="I115" s="40"/>
      <c r="J115" s="40"/>
      <c r="K115" s="48"/>
      <c r="L115" s="86"/>
      <c r="M115" s="56"/>
      <c r="N115" s="56"/>
      <c r="O115" s="2"/>
      <c r="P115" s="50"/>
      <c r="Q115" s="50"/>
      <c r="T115" s="15"/>
    </row>
    <row r="116" spans="1:20" ht="18.600000000000001" customHeight="1">
      <c r="A116" s="15"/>
      <c r="B116" s="152" t="str">
        <f t="shared" ref="B116:B117" si="9">+$E$3</f>
        <v>REMODELACION ARZOLA</v>
      </c>
      <c r="C116" s="27"/>
      <c r="D116" s="38"/>
      <c r="E116" s="209"/>
      <c r="F116" s="416"/>
      <c r="G116" s="39"/>
      <c r="H116" s="419"/>
      <c r="I116" s="40"/>
      <c r="J116" s="40"/>
      <c r="K116" s="48"/>
      <c r="L116" s="86"/>
      <c r="M116" s="56"/>
      <c r="N116" s="56"/>
      <c r="O116" s="2"/>
      <c r="P116" s="50"/>
      <c r="Q116" s="50"/>
      <c r="T116" s="15"/>
    </row>
    <row r="117" spans="1:20" ht="18.600000000000001" customHeight="1">
      <c r="A117" s="15"/>
      <c r="B117" s="152" t="str">
        <f t="shared" si="9"/>
        <v>REMODELACION ARZOLA</v>
      </c>
      <c r="C117" s="27"/>
      <c r="D117" s="38"/>
      <c r="E117" s="209"/>
      <c r="F117" s="416"/>
      <c r="G117" s="39"/>
      <c r="H117" s="419"/>
      <c r="I117" s="40"/>
      <c r="J117" s="40"/>
      <c r="K117" s="48"/>
      <c r="L117" s="86"/>
      <c r="M117" s="56"/>
      <c r="N117" s="56"/>
      <c r="O117" s="2"/>
      <c r="P117" s="50"/>
      <c r="Q117" s="50"/>
      <c r="T117" s="15"/>
    </row>
    <row r="118" spans="1:20">
      <c r="B118" s="6"/>
      <c r="H118" s="280" t="s">
        <v>258</v>
      </c>
      <c r="I118" s="281">
        <f>SUM(I10:I117)</f>
        <v>49141048.890000008</v>
      </c>
    </row>
    <row r="119" spans="1:20">
      <c r="B119" s="6"/>
      <c r="G119" s="15"/>
      <c r="H119" s="30"/>
      <c r="I119" s="30"/>
    </row>
    <row r="120" spans="1:20">
      <c r="B120" s="6"/>
      <c r="G120" s="15"/>
      <c r="H120" s="30" t="s">
        <v>401</v>
      </c>
      <c r="I120" s="313">
        <f>SUBTOTAL(109,I10:I97)</f>
        <v>49048048.890000008</v>
      </c>
    </row>
    <row r="121" spans="1:20">
      <c r="B121" s="6"/>
      <c r="G121" s="15"/>
      <c r="H121" s="30"/>
      <c r="I121" s="30"/>
    </row>
    <row r="122" spans="1:20">
      <c r="B122" s="6"/>
      <c r="H122" s="20"/>
      <c r="I122" s="20"/>
      <c r="L122" t="s">
        <v>402</v>
      </c>
    </row>
    <row r="123" spans="1:20">
      <c r="B123" s="6"/>
      <c r="G123" t="s">
        <v>403</v>
      </c>
      <c r="H123" s="30" t="s">
        <v>404</v>
      </c>
      <c r="I123" t="s">
        <v>405</v>
      </c>
      <c r="J123" s="20">
        <v>780000</v>
      </c>
      <c r="L123" s="314">
        <f>I120+J124+J127+J128+J131+J132+J134+J135+J136+J138</f>
        <v>60141442.390000008</v>
      </c>
    </row>
    <row r="124" spans="1:20">
      <c r="B124" s="6"/>
      <c r="H124" s="20" t="s">
        <v>406</v>
      </c>
      <c r="I124" s="315" t="s">
        <v>407</v>
      </c>
      <c r="J124" s="20">
        <v>1048114.9000000004</v>
      </c>
    </row>
    <row r="125" spans="1:20">
      <c r="B125" s="6"/>
      <c r="H125" s="20" t="s">
        <v>408</v>
      </c>
      <c r="I125" s="20" t="s">
        <v>409</v>
      </c>
      <c r="J125" s="20">
        <v>5000</v>
      </c>
    </row>
    <row r="126" spans="1:20">
      <c r="B126" s="6"/>
      <c r="H126" s="20" t="s">
        <v>410</v>
      </c>
      <c r="I126" s="20" t="s">
        <v>411</v>
      </c>
    </row>
    <row r="127" spans="1:20">
      <c r="B127" s="6"/>
      <c r="H127" s="20" t="s">
        <v>412</v>
      </c>
      <c r="I127" s="316" t="s">
        <v>407</v>
      </c>
      <c r="J127" s="20">
        <v>1150000</v>
      </c>
    </row>
    <row r="128" spans="1:20">
      <c r="B128" s="6"/>
      <c r="H128" s="20" t="s">
        <v>413</v>
      </c>
      <c r="I128" s="316" t="s">
        <v>407</v>
      </c>
      <c r="J128" s="20">
        <v>312186.09999999998</v>
      </c>
    </row>
    <row r="129" spans="2:11">
      <c r="B129" s="6"/>
      <c r="H129" s="20" t="s">
        <v>414</v>
      </c>
      <c r="I129" s="20" t="s">
        <v>409</v>
      </c>
      <c r="J129" s="20">
        <v>1609384.35</v>
      </c>
      <c r="K129" s="20"/>
    </row>
    <row r="130" spans="2:11">
      <c r="B130" s="6"/>
      <c r="H130" s="20" t="s">
        <v>415</v>
      </c>
      <c r="I130" s="20" t="s">
        <v>409</v>
      </c>
      <c r="J130" s="20">
        <v>149409.57</v>
      </c>
      <c r="K130" s="20"/>
    </row>
    <row r="131" spans="2:11">
      <c r="B131" s="6"/>
      <c r="H131" s="20" t="s">
        <v>416</v>
      </c>
      <c r="I131" s="316" t="s">
        <v>407</v>
      </c>
      <c r="J131" s="20">
        <v>249500</v>
      </c>
    </row>
    <row r="132" spans="2:11">
      <c r="B132" s="6"/>
      <c r="G132" t="s">
        <v>417</v>
      </c>
      <c r="H132" s="20" t="s">
        <v>418</v>
      </c>
      <c r="I132" s="316" t="s">
        <v>407</v>
      </c>
      <c r="J132" s="20">
        <v>2750000</v>
      </c>
      <c r="K132" s="20"/>
    </row>
    <row r="133" spans="2:11">
      <c r="B133" s="6"/>
      <c r="H133" s="20" t="s">
        <v>419</v>
      </c>
      <c r="I133" s="20" t="s">
        <v>420</v>
      </c>
      <c r="K133" s="20"/>
    </row>
    <row r="134" spans="2:11">
      <c r="B134" s="6"/>
      <c r="H134" s="20" t="s">
        <v>421</v>
      </c>
      <c r="I134" s="316" t="s">
        <v>407</v>
      </c>
      <c r="J134" s="20">
        <v>55208.74</v>
      </c>
    </row>
    <row r="135" spans="2:11">
      <c r="B135" s="6"/>
      <c r="H135" s="20" t="s">
        <v>422</v>
      </c>
      <c r="I135" s="316" t="s">
        <v>407</v>
      </c>
      <c r="J135" s="20">
        <v>2807400</v>
      </c>
      <c r="K135" s="20"/>
    </row>
    <row r="136" spans="2:11">
      <c r="B136" s="6"/>
      <c r="H136" s="20" t="s">
        <v>423</v>
      </c>
      <c r="I136" s="316" t="s">
        <v>407</v>
      </c>
      <c r="J136" s="20">
        <v>2530983.7599999998</v>
      </c>
      <c r="K136" s="20"/>
    </row>
    <row r="137" spans="2:11">
      <c r="B137" s="6"/>
      <c r="H137" s="20" t="s">
        <v>424</v>
      </c>
      <c r="I137" s="20" t="s">
        <v>425</v>
      </c>
      <c r="J137" s="20">
        <v>2157408.85</v>
      </c>
    </row>
    <row r="138" spans="2:11">
      <c r="B138" s="6"/>
      <c r="H138" s="20" t="s">
        <v>426</v>
      </c>
      <c r="I138" s="316" t="s">
        <v>407</v>
      </c>
      <c r="J138" s="20">
        <v>190000</v>
      </c>
      <c r="K138" s="20"/>
    </row>
    <row r="139" spans="2:11">
      <c r="B139" s="6"/>
      <c r="H139" s="20" t="s">
        <v>427</v>
      </c>
      <c r="I139" s="20" t="s">
        <v>411</v>
      </c>
    </row>
    <row r="140" spans="2:11">
      <c r="B140" s="6"/>
      <c r="H140" s="20"/>
      <c r="I140" s="20"/>
    </row>
    <row r="141" spans="2:11">
      <c r="B141" s="6"/>
      <c r="H141" s="20"/>
      <c r="I141" s="20"/>
    </row>
    <row r="142" spans="2:11">
      <c r="B142" s="6"/>
      <c r="H142" s="20"/>
      <c r="I142" s="20"/>
    </row>
    <row r="143" spans="2:11">
      <c r="B143" s="6"/>
      <c r="H143" s="20"/>
      <c r="I143" s="20"/>
    </row>
    <row r="144" spans="2:11">
      <c r="B144" s="6"/>
      <c r="H144" s="20"/>
      <c r="I144" s="20"/>
    </row>
    <row r="145" spans="2:9">
      <c r="B145" s="6"/>
      <c r="H145" s="20"/>
      <c r="I145" s="20"/>
    </row>
    <row r="146" spans="2:9">
      <c r="B146" s="6"/>
      <c r="H146" s="20"/>
      <c r="I146" s="20"/>
    </row>
    <row r="147" spans="2:9">
      <c r="B147" s="6"/>
      <c r="H147" s="20"/>
      <c r="I147" s="20"/>
    </row>
    <row r="148" spans="2:9">
      <c r="B148" s="6"/>
      <c r="H148" s="20"/>
      <c r="I148" s="20"/>
    </row>
    <row r="149" spans="2:9">
      <c r="B149" s="6"/>
      <c r="H149" s="20"/>
      <c r="I149" s="20"/>
    </row>
    <row r="150" spans="2:9">
      <c r="B150" s="6"/>
      <c r="H150" s="20"/>
      <c r="I150" s="20"/>
    </row>
    <row r="151" spans="2:9">
      <c r="B151" s="6"/>
      <c r="H151" s="20"/>
      <c r="I151" s="20"/>
    </row>
    <row r="152" spans="2:9">
      <c r="B152" s="6"/>
      <c r="H152" s="20"/>
      <c r="I152" s="20"/>
    </row>
    <row r="153" spans="2:9">
      <c r="B153" s="6"/>
      <c r="H153" s="20"/>
      <c r="I153" s="20"/>
    </row>
    <row r="154" spans="2:9">
      <c r="B154" s="6"/>
      <c r="H154" s="20"/>
      <c r="I154" s="20"/>
    </row>
    <row r="155" spans="2:9">
      <c r="B155" s="6"/>
      <c r="H155" s="20"/>
      <c r="I155" s="20"/>
    </row>
    <row r="156" spans="2:9">
      <c r="B156" s="6"/>
      <c r="H156" s="20"/>
      <c r="I156" s="20"/>
    </row>
    <row r="157" spans="2:9">
      <c r="B157" s="6"/>
      <c r="H157" s="20"/>
      <c r="I157" s="20"/>
    </row>
    <row r="158" spans="2:9">
      <c r="B158" s="6"/>
      <c r="H158" s="20"/>
      <c r="I158" s="20"/>
    </row>
    <row r="159" spans="2:9">
      <c r="B159" s="6"/>
      <c r="H159" s="20"/>
      <c r="I159" s="20"/>
    </row>
  </sheetData>
  <mergeCells count="5">
    <mergeCell ref="D2:H2"/>
    <mergeCell ref="F3:G3"/>
    <mergeCell ref="F4:G4"/>
    <mergeCell ref="F5:G5"/>
    <mergeCell ref="F6:G6"/>
  </mergeCells>
  <phoneticPr fontId="16" type="noConversion"/>
  <conditionalFormatting sqref="L70:L71">
    <cfRule type="cellIs" dxfId="1330" priority="68" operator="equal">
      <formula>"Cuenta Corriente"</formula>
    </cfRule>
    <cfRule type="cellIs" dxfId="1329" priority="69" operator="equal">
      <formula>"No Pagado"</formula>
    </cfRule>
  </conditionalFormatting>
  <conditionalFormatting sqref="L73:L74 L82:L87 L89:L95">
    <cfRule type="cellIs" dxfId="1328" priority="33" operator="equal">
      <formula>"Cuenta Corriente"</formula>
    </cfRule>
    <cfRule type="cellIs" dxfId="1327" priority="34" operator="equal">
      <formula>"No Pagado"</formula>
    </cfRule>
  </conditionalFormatting>
  <conditionalFormatting sqref="L100:L101">
    <cfRule type="cellIs" dxfId="1326" priority="5" operator="equal">
      <formula>"Cuenta Corriente"</formula>
    </cfRule>
    <cfRule type="cellIs" dxfId="1325" priority="6" operator="equal">
      <formula>"No Pagado"</formula>
    </cfRule>
  </conditionalFormatting>
  <conditionalFormatting sqref="L31:M31 L32:N33 L34:M37 L38:N51 L53:N57 L59:N61 L75:O76 L77 N77:O77 L78:O78 L79:L80 N79:O80 N83:O87 N89:O95">
    <cfRule type="cellIs" dxfId="1324" priority="119" operator="equal">
      <formula>"Cuenta Corriente"</formula>
    </cfRule>
    <cfRule type="cellIs" dxfId="1323" priority="120" operator="equal">
      <formula>"No Pagado"</formula>
    </cfRule>
  </conditionalFormatting>
  <conditionalFormatting sqref="L58:M58">
    <cfRule type="containsText" dxfId="1322" priority="111" operator="containsText" text="Pendiente">
      <formula>NOT(ISERROR(SEARCH("Pendiente",L58)))</formula>
    </cfRule>
    <cfRule type="containsText" dxfId="1321" priority="112" operator="containsText" text="Pagado">
      <formula>NOT(ISERROR(SEARCH("Pagado",L58)))</formula>
    </cfRule>
    <cfRule type="containsText" dxfId="1320" priority="113" operator="containsText" text="Para abonar">
      <formula>NOT(ISERROR(SEARCH("Para abonar",L58)))</formula>
    </cfRule>
  </conditionalFormatting>
  <conditionalFormatting sqref="L69:M69">
    <cfRule type="containsText" dxfId="1319" priority="103" operator="containsText" text="Pendiente">
      <formula>NOT(ISERROR(SEARCH("Pendiente",L69)))</formula>
    </cfRule>
    <cfRule type="containsText" dxfId="1318" priority="104" operator="containsText" text="Pagado">
      <formula>NOT(ISERROR(SEARCH("Pagado",L69)))</formula>
    </cfRule>
    <cfRule type="containsText" dxfId="1317" priority="105" operator="containsText" text="Para abonar">
      <formula>NOT(ISERROR(SEARCH("Para abonar",L69)))</formula>
    </cfRule>
  </conditionalFormatting>
  <conditionalFormatting sqref="L81:M81 O81:O82">
    <cfRule type="containsText" dxfId="1316" priority="93" operator="containsText" text="Pendiente">
      <formula>NOT(ISERROR(SEARCH("Pendiente",L81)))</formula>
    </cfRule>
    <cfRule type="containsText" dxfId="1315" priority="94" operator="containsText" text="Pagado">
      <formula>NOT(ISERROR(SEARCH("Pagado",L81)))</formula>
    </cfRule>
    <cfRule type="containsText" dxfId="1314" priority="95" operator="containsText" text="Para abonar">
      <formula>NOT(ISERROR(SEARCH("Para abonar",L81)))</formula>
    </cfRule>
  </conditionalFormatting>
  <conditionalFormatting sqref="L88:M88 O88">
    <cfRule type="containsText" dxfId="1313" priority="81" operator="containsText" text="Pendiente">
      <formula>NOT(ISERROR(SEARCH("Pendiente",L88)))</formula>
    </cfRule>
    <cfRule type="containsText" dxfId="1312" priority="82" operator="containsText" text="Pagado">
      <formula>NOT(ISERROR(SEARCH("Pagado",L88)))</formula>
    </cfRule>
    <cfRule type="containsText" dxfId="1311" priority="83" operator="containsText" text="Para abonar">
      <formula>NOT(ISERROR(SEARCH("Para abonar",L88)))</formula>
    </cfRule>
  </conditionalFormatting>
  <conditionalFormatting sqref="L96:M96">
    <cfRule type="containsText" dxfId="1310" priority="76" operator="containsText" text="Pendiente">
      <formula>NOT(ISERROR(SEARCH("Pendiente",L96)))</formula>
    </cfRule>
    <cfRule type="containsText" dxfId="1309" priority="77" operator="containsText" text="Pagado">
      <formula>NOT(ISERROR(SEARCH("Pagado",L96)))</formula>
    </cfRule>
    <cfRule type="containsText" dxfId="1308" priority="78" operator="containsText" text="Para abonar">
      <formula>NOT(ISERROR(SEARCH("Para abonar",L96)))</formula>
    </cfRule>
  </conditionalFormatting>
  <conditionalFormatting sqref="L98:M98">
    <cfRule type="cellIs" dxfId="1307" priority="47" operator="equal">
      <formula>"Cuenta Corriente"</formula>
    </cfRule>
    <cfRule type="cellIs" dxfId="1306" priority="48" operator="equal">
      <formula>"No Pagado"</formula>
    </cfRule>
  </conditionalFormatting>
  <conditionalFormatting sqref="L99:M99">
    <cfRule type="containsText" dxfId="1305" priority="23" operator="containsText" text="Pendiente">
      <formula>NOT(ISERROR(SEARCH("Pendiente",L99)))</formula>
    </cfRule>
    <cfRule type="containsText" dxfId="1304" priority="24" operator="containsText" text="Pagado">
      <formula>NOT(ISERROR(SEARCH("Pagado",L99)))</formula>
    </cfRule>
    <cfRule type="containsText" dxfId="1303" priority="25" operator="containsText" text="Para abonar">
      <formula>NOT(ISERROR(SEARCH("Para abonar",L99)))</formula>
    </cfRule>
  </conditionalFormatting>
  <conditionalFormatting sqref="L102:M102">
    <cfRule type="containsText" dxfId="1302" priority="15" operator="containsText" text="Pendiente">
      <formula>NOT(ISERROR(SEARCH("Pendiente",L102)))</formula>
    </cfRule>
    <cfRule type="containsText" dxfId="1301" priority="16" operator="containsText" text="Pagado">
      <formula>NOT(ISERROR(SEARCH("Pagado",L102)))</formula>
    </cfRule>
    <cfRule type="containsText" dxfId="1300" priority="17" operator="containsText" text="Para abonar">
      <formula>NOT(ISERROR(SEARCH("Para abonar",L102)))</formula>
    </cfRule>
  </conditionalFormatting>
  <conditionalFormatting sqref="L10:N30 L63:L67 L68:N68 O100:O101 L103:O117">
    <cfRule type="cellIs" dxfId="1299" priority="89" operator="equal">
      <formula>"Cuenta Corriente"</formula>
    </cfRule>
    <cfRule type="cellIs" dxfId="1298" priority="90" operator="equal">
      <formula>"No Pagado"</formula>
    </cfRule>
  </conditionalFormatting>
  <conditionalFormatting sqref="L52:O52">
    <cfRule type="cellIs" dxfId="1297" priority="121" operator="equal">
      <formula>"Cuenta Corriente"</formula>
    </cfRule>
    <cfRule type="cellIs" dxfId="1296" priority="122" operator="equal">
      <formula>"No Pagado"</formula>
    </cfRule>
  </conditionalFormatting>
  <conditionalFormatting sqref="M63:M67">
    <cfRule type="cellIs" dxfId="1295" priority="72" operator="equal">
      <formula>"Cuenta Corriente"</formula>
    </cfRule>
    <cfRule type="cellIs" dxfId="1294" priority="73" operator="equal">
      <formula>"No Pagado"</formula>
    </cfRule>
  </conditionalFormatting>
  <conditionalFormatting sqref="M70:M71">
    <cfRule type="cellIs" dxfId="1293" priority="70" operator="equal">
      <formula>"Cuenta Corriente"</formula>
    </cfRule>
    <cfRule type="cellIs" dxfId="1292" priority="71" operator="equal">
      <formula>"No Pagado"</formula>
    </cfRule>
  </conditionalFormatting>
  <conditionalFormatting sqref="M73:M74">
    <cfRule type="cellIs" dxfId="1291" priority="64" operator="equal">
      <formula>"Cuenta Corriente"</formula>
    </cfRule>
    <cfRule type="cellIs" dxfId="1290" priority="65" operator="equal">
      <formula>"No Pagado"</formula>
    </cfRule>
  </conditionalFormatting>
  <conditionalFormatting sqref="M77">
    <cfRule type="cellIs" dxfId="1289" priority="62" operator="equal">
      <formula>"Cuenta Corriente"</formula>
    </cfRule>
    <cfRule type="cellIs" dxfId="1288" priority="63" operator="equal">
      <formula>"No Pagado"</formula>
    </cfRule>
  </conditionalFormatting>
  <conditionalFormatting sqref="M79:M80">
    <cfRule type="cellIs" dxfId="1287" priority="58" operator="equal">
      <formula>"Cuenta Corriente"</formula>
    </cfRule>
    <cfRule type="cellIs" dxfId="1286" priority="59" operator="equal">
      <formula>"No Pagado"</formula>
    </cfRule>
  </conditionalFormatting>
  <conditionalFormatting sqref="M82:M87">
    <cfRule type="cellIs" dxfId="1285" priority="54" operator="equal">
      <formula>"Cuenta Corriente"</formula>
    </cfRule>
    <cfRule type="cellIs" dxfId="1284" priority="55" operator="equal">
      <formula>"No Pagado"</formula>
    </cfRule>
  </conditionalFormatting>
  <conditionalFormatting sqref="M89:M95">
    <cfRule type="cellIs" dxfId="1283" priority="52" operator="equal">
      <formula>"Cuenta Corriente"</formula>
    </cfRule>
    <cfRule type="cellIs" dxfId="1282" priority="53" operator="equal">
      <formula>"No Pagado"</formula>
    </cfRule>
  </conditionalFormatting>
  <conditionalFormatting sqref="M97">
    <cfRule type="cellIs" dxfId="1281" priority="35" operator="equal">
      <formula>"Cuenta Corriente"</formula>
    </cfRule>
    <cfRule type="cellIs" dxfId="1280" priority="36" operator="equal">
      <formula>"No Pagado"</formula>
    </cfRule>
  </conditionalFormatting>
  <conditionalFormatting sqref="M100:M101">
    <cfRule type="cellIs" dxfId="1279" priority="3" operator="equal">
      <formula>"Cuenta Corriente"</formula>
    </cfRule>
    <cfRule type="cellIs" dxfId="1278" priority="4" operator="equal">
      <formula>"No Pagado"</formula>
    </cfRule>
  </conditionalFormatting>
  <conditionalFormatting sqref="N31 N34:N37 N62:N67">
    <cfRule type="cellIs" dxfId="1277" priority="29" operator="equal">
      <formula>"Cuenta Corriente"</formula>
    </cfRule>
    <cfRule type="cellIs" dxfId="1276" priority="30" operator="equal">
      <formula>"No Pagado"</formula>
    </cfRule>
  </conditionalFormatting>
  <conditionalFormatting sqref="N58">
    <cfRule type="cellIs" dxfId="1275" priority="117" operator="equal">
      <formula>"Cuenta Corriente"</formula>
    </cfRule>
    <cfRule type="cellIs" dxfId="1274" priority="118" operator="equal">
      <formula>"No Pagado"</formula>
    </cfRule>
  </conditionalFormatting>
  <conditionalFormatting sqref="N69:N74">
    <cfRule type="cellIs" dxfId="1273" priority="101" operator="equal">
      <formula>"Cuenta Corriente"</formula>
    </cfRule>
    <cfRule type="cellIs" dxfId="1272" priority="102" operator="equal">
      <formula>"No Pagado"</formula>
    </cfRule>
  </conditionalFormatting>
  <conditionalFormatting sqref="N81:N82">
    <cfRule type="cellIs" dxfId="1271" priority="91" operator="equal">
      <formula>"Cuenta Corriente"</formula>
    </cfRule>
    <cfRule type="cellIs" dxfId="1270" priority="92" operator="equal">
      <formula>"No Pagado"</formula>
    </cfRule>
  </conditionalFormatting>
  <conditionalFormatting sqref="N88">
    <cfRule type="cellIs" dxfId="1269" priority="79" operator="equal">
      <formula>"Cuenta Corriente"</formula>
    </cfRule>
    <cfRule type="cellIs" dxfId="1268" priority="80" operator="equal">
      <formula>"No Pagado"</formula>
    </cfRule>
  </conditionalFormatting>
  <conditionalFormatting sqref="N96:N97 L97">
    <cfRule type="cellIs" dxfId="1267" priority="40" operator="equal">
      <formula>"Cuenta Corriente"</formula>
    </cfRule>
    <cfRule type="cellIs" dxfId="1266" priority="41" operator="equal">
      <formula>"No Pagado"</formula>
    </cfRule>
  </conditionalFormatting>
  <conditionalFormatting sqref="N99:N102">
    <cfRule type="cellIs" dxfId="1265" priority="1" operator="equal">
      <formula>"Cuenta Corriente"</formula>
    </cfRule>
    <cfRule type="cellIs" dxfId="1264" priority="2" operator="equal">
      <formula>"No Pagado"</formula>
    </cfRule>
  </conditionalFormatting>
  <conditionalFormatting sqref="O10:O51 K98 N98">
    <cfRule type="containsText" dxfId="1263" priority="49" operator="containsText" text="Pendiente">
      <formula>NOT(ISERROR(SEARCH("Pendiente",K10)))</formula>
    </cfRule>
    <cfRule type="containsText" dxfId="1262" priority="50" operator="containsText" text="Pagado">
      <formula>NOT(ISERROR(SEARCH("Pagado",K10)))</formula>
    </cfRule>
    <cfRule type="containsText" dxfId="1261" priority="51" operator="containsText" text="Para abonar">
      <formula>NOT(ISERROR(SEARCH("Para abonar",K10)))</formula>
    </cfRule>
  </conditionalFormatting>
  <conditionalFormatting sqref="O53:O74 L62:M62">
    <cfRule type="containsText" dxfId="1260" priority="106" operator="containsText" text="Pendiente">
      <formula>NOT(ISERROR(SEARCH("Pendiente",L53)))</formula>
    </cfRule>
    <cfRule type="containsText" dxfId="1259" priority="107" operator="containsText" text="Pagado">
      <formula>NOT(ISERROR(SEARCH("Pagado",L53)))</formula>
    </cfRule>
    <cfRule type="containsText" dxfId="1258" priority="108" operator="containsText" text="Para abonar">
      <formula>NOT(ISERROR(SEARCH("Para abonar",L53)))</formula>
    </cfRule>
  </conditionalFormatting>
  <conditionalFormatting sqref="O96:O97">
    <cfRule type="containsText" dxfId="1257" priority="37" operator="containsText" text="Pendiente">
      <formula>NOT(ISERROR(SEARCH("Pendiente",O96)))</formula>
    </cfRule>
    <cfRule type="containsText" dxfId="1256" priority="38" operator="containsText" text="Pagado">
      <formula>NOT(ISERROR(SEARCH("Pagado",O96)))</formula>
    </cfRule>
    <cfRule type="containsText" dxfId="1255" priority="39" operator="containsText" text="Para abonar">
      <formula>NOT(ISERROR(SEARCH("Para abonar",O96)))</formula>
    </cfRule>
  </conditionalFormatting>
  <conditionalFormatting sqref="O99">
    <cfRule type="containsText" dxfId="1254" priority="26" operator="containsText" text="Pendiente">
      <formula>NOT(ISERROR(SEARCH("Pendiente",O99)))</formula>
    </cfRule>
    <cfRule type="containsText" dxfId="1253" priority="27" operator="containsText" text="Pagado">
      <formula>NOT(ISERROR(SEARCH("Pagado",O99)))</formula>
    </cfRule>
    <cfRule type="containsText" dxfId="1252" priority="28" operator="containsText" text="Para abonar">
      <formula>NOT(ISERROR(SEARCH("Para abonar",O99)))</formula>
    </cfRule>
  </conditionalFormatting>
  <conditionalFormatting sqref="O102">
    <cfRule type="containsText" dxfId="1251" priority="18" operator="containsText" text="Pendiente">
      <formula>NOT(ISERROR(SEARCH("Pendiente",O102)))</formula>
    </cfRule>
    <cfRule type="containsText" dxfId="1250" priority="19" operator="containsText" text="Pagado">
      <formula>NOT(ISERROR(SEARCH("Pagado",O102)))</formula>
    </cfRule>
    <cfRule type="containsText" dxfId="1249" priority="20" operator="containsText" text="Para abonar">
      <formula>NOT(ISERROR(SEARCH("Para abonar",O102)))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38C0AB9-48D7-43F5-A6FA-3BF2E352C168}">
          <x14:formula1>
            <xm:f>Consultas!$B$9:$B$11</xm:f>
          </x14:formula1>
          <xm:sqref>K98:K99 N98:N99 L73:M97 L10:M71 O10:O97 O100:O101 N102 L100:M101 K102 L103:M117 O103:O117</xm:sqref>
        </x14:dataValidation>
        <x14:dataValidation type="list" allowBlank="1" showInputMessage="1" showErrorMessage="1" xr:uid="{26A080C0-360A-4F0E-94A3-7CB1900007C7}">
          <x14:formula1>
            <xm:f>Consultas!$B$13:$B$15</xm:f>
          </x14:formula1>
          <xm:sqref>L98:M99 N10:N97 L102:M102 N100:N101 N103:N117</xm:sqref>
        </x14:dataValidation>
        <x14:dataValidation type="list" allowBlank="1" showInputMessage="1" showErrorMessage="1" xr:uid="{E504F0B2-0FC1-4274-B8C2-68D9A0B05A7E}">
          <x14:formula1>
            <xm:f>Proveedores!$B$3:$B$111</xm:f>
          </x14:formula1>
          <xm:sqref>F98:F99 F102 G100:G101 G10:G97 G103:G117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3E4B-74E6-4F5F-B0E2-2EAB2D97335D}">
  <dimension ref="A1:T286"/>
  <sheetViews>
    <sheetView topLeftCell="F219" zoomScale="85" zoomScaleNormal="85" workbookViewId="0">
      <selection activeCell="I243" sqref="I243"/>
    </sheetView>
  </sheetViews>
  <sheetFormatPr defaultColWidth="11.42578125" defaultRowHeight="14.45"/>
  <cols>
    <col min="1" max="1" width="11.7109375" customWidth="1"/>
    <col min="2" max="2" width="32.42578125" bestFit="1" customWidth="1"/>
    <col min="3" max="3" width="17" customWidth="1"/>
    <col min="4" max="4" width="25.140625" customWidth="1"/>
    <col min="5" max="5" width="34.7109375" customWidth="1"/>
    <col min="6" max="6" width="68.85546875" customWidth="1"/>
    <col min="7" max="7" width="23.28515625" customWidth="1"/>
    <col min="8" max="8" width="18" style="387" customWidth="1"/>
    <col min="9" max="9" width="16.42578125" customWidth="1"/>
    <col min="10" max="10" width="17.85546875" customWidth="1"/>
    <col min="11" max="11" width="18.140625" customWidth="1"/>
    <col min="12" max="12" width="19.28515625" customWidth="1"/>
    <col min="13" max="13" width="18.28515625" customWidth="1"/>
    <col min="14" max="14" width="17.5703125" bestFit="1" customWidth="1"/>
  </cols>
  <sheetData>
    <row r="1" spans="2:18" ht="15" thickBot="1">
      <c r="B1" s="6"/>
    </row>
    <row r="2" spans="2:18" ht="24" thickBot="1">
      <c r="B2" s="6"/>
      <c r="D2" s="420" t="s">
        <v>176</v>
      </c>
      <c r="E2" s="421"/>
      <c r="F2" s="421"/>
      <c r="G2" s="421"/>
      <c r="H2" s="422"/>
      <c r="I2" s="28"/>
    </row>
    <row r="3" spans="2:18" ht="18" customHeight="1">
      <c r="B3" s="6"/>
      <c r="D3" s="8" t="s">
        <v>177</v>
      </c>
      <c r="E3" s="36" t="s">
        <v>428</v>
      </c>
      <c r="F3" s="423"/>
      <c r="G3" s="424"/>
      <c r="H3" s="394"/>
      <c r="I3" s="15"/>
    </row>
    <row r="4" spans="2:18">
      <c r="B4" s="6"/>
      <c r="D4" s="9" t="s">
        <v>179</v>
      </c>
      <c r="E4" s="449" t="s">
        <v>429</v>
      </c>
      <c r="F4" s="450" t="s">
        <v>180</v>
      </c>
      <c r="G4" s="451"/>
      <c r="H4" s="395" t="s">
        <v>68</v>
      </c>
      <c r="I4" s="452"/>
    </row>
    <row r="5" spans="2:18">
      <c r="B5" s="6"/>
      <c r="D5" s="9"/>
      <c r="E5" s="1"/>
      <c r="F5" s="453"/>
      <c r="G5" s="454"/>
      <c r="H5" s="396"/>
      <c r="I5" s="15"/>
    </row>
    <row r="6" spans="2:18" ht="15" thickBot="1">
      <c r="B6" s="6"/>
      <c r="D6" s="11"/>
      <c r="E6" s="12"/>
      <c r="F6" s="455"/>
      <c r="G6" s="456"/>
      <c r="H6" s="397"/>
      <c r="I6" s="15"/>
    </row>
    <row r="7" spans="2:18">
      <c r="B7" s="6"/>
    </row>
    <row r="8" spans="2:18" ht="15" thickBot="1">
      <c r="B8" s="6"/>
      <c r="K8" s="197"/>
      <c r="L8" s="197"/>
    </row>
    <row r="9" spans="2:18" ht="34.5" customHeight="1" thickBot="1">
      <c r="B9" s="52" t="s">
        <v>181</v>
      </c>
      <c r="C9" s="76" t="s">
        <v>182</v>
      </c>
      <c r="D9" s="77" t="s">
        <v>183</v>
      </c>
      <c r="E9" s="77" t="s">
        <v>184</v>
      </c>
      <c r="F9" s="77" t="s">
        <v>185</v>
      </c>
      <c r="G9" s="77" t="s">
        <v>0</v>
      </c>
      <c r="H9" s="77" t="s">
        <v>186</v>
      </c>
      <c r="I9" s="52" t="s">
        <v>187</v>
      </c>
      <c r="J9" s="52" t="s">
        <v>188</v>
      </c>
      <c r="K9" s="77" t="s">
        <v>189</v>
      </c>
      <c r="L9" s="77" t="s">
        <v>190</v>
      </c>
      <c r="M9" s="52" t="s">
        <v>191</v>
      </c>
      <c r="N9" s="78" t="s">
        <v>192</v>
      </c>
      <c r="O9" s="77" t="s">
        <v>193</v>
      </c>
      <c r="P9" s="78" t="s">
        <v>194</v>
      </c>
      <c r="Q9" s="79" t="s">
        <v>195</v>
      </c>
      <c r="R9" s="52" t="s">
        <v>265</v>
      </c>
    </row>
    <row r="10" spans="2:18" ht="21" customHeight="1">
      <c r="B10" s="152" t="str">
        <f t="shared" ref="B10:B46" si="0">+$E$3</f>
        <v>JULIETA SANTIAGO - IVAN PETRINI</v>
      </c>
      <c r="C10" s="73">
        <v>45734</v>
      </c>
      <c r="D10" s="60" t="s">
        <v>430</v>
      </c>
      <c r="E10" s="60" t="s">
        <v>431</v>
      </c>
      <c r="F10" s="460" t="s">
        <v>432</v>
      </c>
      <c r="G10" s="74" t="s">
        <v>433</v>
      </c>
      <c r="H10" s="480" t="s">
        <v>434</v>
      </c>
      <c r="I10" s="64">
        <v>295210.23</v>
      </c>
      <c r="J10" s="350"/>
      <c r="K10" s="67" t="s">
        <v>208</v>
      </c>
      <c r="L10" s="41" t="s">
        <v>209</v>
      </c>
      <c r="M10" s="150" t="s">
        <v>209</v>
      </c>
      <c r="N10" s="14" t="s">
        <v>305</v>
      </c>
      <c r="O10" s="41"/>
      <c r="P10" s="461"/>
      <c r="Q10" s="481"/>
    </row>
    <row r="11" spans="2:18" ht="21.6" customHeight="1">
      <c r="B11" s="152" t="str">
        <f t="shared" si="0"/>
        <v>JULIETA SANTIAGO - IVAN PETRINI</v>
      </c>
      <c r="C11" s="59">
        <v>45733</v>
      </c>
      <c r="D11" s="46" t="s">
        <v>435</v>
      </c>
      <c r="E11" s="60" t="s">
        <v>431</v>
      </c>
      <c r="F11" s="462" t="s">
        <v>436</v>
      </c>
      <c r="G11" s="23" t="s">
        <v>22</v>
      </c>
      <c r="H11" s="482" t="s">
        <v>434</v>
      </c>
      <c r="I11" s="61">
        <v>247755.37</v>
      </c>
      <c r="J11" s="67"/>
      <c r="K11" s="67" t="s">
        <v>208</v>
      </c>
      <c r="L11" s="23" t="s">
        <v>209</v>
      </c>
      <c r="M11" s="150" t="s">
        <v>209</v>
      </c>
      <c r="N11" s="2" t="s">
        <v>305</v>
      </c>
      <c r="O11" s="23"/>
      <c r="P11" s="72"/>
      <c r="Q11" s="69"/>
    </row>
    <row r="12" spans="2:18" ht="21" customHeight="1">
      <c r="B12" s="152" t="str">
        <f t="shared" si="0"/>
        <v>JULIETA SANTIAGO - IVAN PETRINI</v>
      </c>
      <c r="C12" s="59">
        <v>45751</v>
      </c>
      <c r="D12" s="46" t="s">
        <v>437</v>
      </c>
      <c r="E12" s="60" t="s">
        <v>431</v>
      </c>
      <c r="F12" s="462" t="s">
        <v>438</v>
      </c>
      <c r="G12" s="23" t="s">
        <v>5</v>
      </c>
      <c r="H12" s="464" t="s">
        <v>270</v>
      </c>
      <c r="I12" s="61">
        <v>18176362.170000002</v>
      </c>
      <c r="J12" s="67"/>
      <c r="K12" s="67" t="s">
        <v>208</v>
      </c>
      <c r="L12" s="23" t="s">
        <v>209</v>
      </c>
      <c r="M12" s="150" t="s">
        <v>209</v>
      </c>
      <c r="N12" s="2" t="s">
        <v>305</v>
      </c>
      <c r="O12" s="23"/>
      <c r="P12" s="72"/>
      <c r="Q12" s="69"/>
    </row>
    <row r="13" spans="2:18" ht="27" customHeight="1">
      <c r="B13" s="152" t="str">
        <f t="shared" si="0"/>
        <v>JULIETA SANTIAGO - IVAN PETRINI</v>
      </c>
      <c r="C13" s="59">
        <v>45751</v>
      </c>
      <c r="D13" s="46" t="s">
        <v>439</v>
      </c>
      <c r="E13" s="60" t="s">
        <v>431</v>
      </c>
      <c r="F13" s="462" t="s">
        <v>440</v>
      </c>
      <c r="G13" s="23" t="s">
        <v>5</v>
      </c>
      <c r="H13" s="464" t="s">
        <v>270</v>
      </c>
      <c r="I13" s="61">
        <v>895017.35</v>
      </c>
      <c r="J13" s="67"/>
      <c r="K13" s="67" t="s">
        <v>208</v>
      </c>
      <c r="L13" s="23" t="s">
        <v>209</v>
      </c>
      <c r="M13" s="150" t="s">
        <v>209</v>
      </c>
      <c r="N13" s="2" t="s">
        <v>305</v>
      </c>
      <c r="O13" s="23"/>
      <c r="P13" s="72"/>
      <c r="Q13" s="69"/>
    </row>
    <row r="14" spans="2:18" ht="27" customHeight="1">
      <c r="B14" s="152" t="str">
        <f t="shared" si="0"/>
        <v>JULIETA SANTIAGO - IVAN PETRINI</v>
      </c>
      <c r="C14" s="59">
        <v>45758</v>
      </c>
      <c r="D14" s="46" t="s">
        <v>441</v>
      </c>
      <c r="E14" s="60" t="s">
        <v>431</v>
      </c>
      <c r="F14" s="462" t="s">
        <v>442</v>
      </c>
      <c r="G14" s="23" t="s">
        <v>5</v>
      </c>
      <c r="H14" s="464" t="s">
        <v>270</v>
      </c>
      <c r="I14" s="61">
        <v>222592.8</v>
      </c>
      <c r="J14" s="67"/>
      <c r="K14" s="67" t="s">
        <v>208</v>
      </c>
      <c r="L14" s="23" t="s">
        <v>209</v>
      </c>
      <c r="M14" s="150" t="s">
        <v>209</v>
      </c>
      <c r="N14" s="2" t="s">
        <v>305</v>
      </c>
      <c r="O14" s="23"/>
      <c r="P14" s="72"/>
      <c r="Q14" s="69"/>
    </row>
    <row r="15" spans="2:18" ht="27" customHeight="1">
      <c r="B15" s="152" t="str">
        <f t="shared" si="0"/>
        <v>JULIETA SANTIAGO - IVAN PETRINI</v>
      </c>
      <c r="C15" s="59">
        <v>45772</v>
      </c>
      <c r="D15" s="46" t="s">
        <v>212</v>
      </c>
      <c r="E15" s="60" t="s">
        <v>443</v>
      </c>
      <c r="F15" s="483" t="s">
        <v>444</v>
      </c>
      <c r="G15" s="23" t="s">
        <v>445</v>
      </c>
      <c r="H15" s="464" t="s">
        <v>270</v>
      </c>
      <c r="I15" s="204">
        <v>1100000</v>
      </c>
      <c r="J15" s="351"/>
      <c r="K15" s="63" t="s">
        <v>201</v>
      </c>
      <c r="L15" s="42" t="s">
        <v>209</v>
      </c>
      <c r="M15" s="150" t="s">
        <v>209</v>
      </c>
      <c r="N15" s="56" t="s">
        <v>305</v>
      </c>
      <c r="O15" s="23"/>
      <c r="P15" s="106"/>
      <c r="Q15" s="106"/>
    </row>
    <row r="16" spans="2:18" ht="27" customHeight="1">
      <c r="B16" s="27" t="str">
        <f>+$E$3</f>
        <v>JULIETA SANTIAGO - IVAN PETRINI</v>
      </c>
      <c r="C16" s="59">
        <v>45792</v>
      </c>
      <c r="D16" s="38"/>
      <c r="E16" s="38"/>
      <c r="F16" s="416"/>
      <c r="G16" s="42" t="s">
        <v>433</v>
      </c>
      <c r="H16" s="417"/>
      <c r="I16" s="205">
        <v>622770</v>
      </c>
      <c r="J16" s="352"/>
      <c r="K16" s="63" t="s">
        <v>201</v>
      </c>
      <c r="L16" s="42" t="s">
        <v>209</v>
      </c>
      <c r="M16" s="150" t="s">
        <v>209</v>
      </c>
      <c r="N16" s="56" t="s">
        <v>305</v>
      </c>
      <c r="O16" s="23"/>
      <c r="P16" s="106"/>
      <c r="Q16" s="106"/>
    </row>
    <row r="17" spans="2:17" ht="25.35" customHeight="1">
      <c r="B17" s="152" t="str">
        <f t="shared" si="0"/>
        <v>JULIETA SANTIAGO - IVAN PETRINI</v>
      </c>
      <c r="C17" s="59">
        <v>45800</v>
      </c>
      <c r="D17" s="46" t="s">
        <v>212</v>
      </c>
      <c r="E17" s="60" t="s">
        <v>443</v>
      </c>
      <c r="F17" s="462" t="s">
        <v>446</v>
      </c>
      <c r="G17" s="23" t="s">
        <v>97</v>
      </c>
      <c r="H17" s="464" t="s">
        <v>270</v>
      </c>
      <c r="I17" s="204">
        <v>8960000</v>
      </c>
      <c r="J17" s="351"/>
      <c r="K17" s="63" t="s">
        <v>201</v>
      </c>
      <c r="L17" s="23" t="s">
        <v>209</v>
      </c>
      <c r="M17" s="150" t="s">
        <v>209</v>
      </c>
      <c r="N17" s="2" t="s">
        <v>305</v>
      </c>
      <c r="O17" s="23"/>
      <c r="P17" s="72"/>
      <c r="Q17" s="69"/>
    </row>
    <row r="18" spans="2:17" ht="25.35" customHeight="1">
      <c r="B18" s="27" t="str">
        <f>+$E$3</f>
        <v>JULIETA SANTIAGO - IVAN PETRINI</v>
      </c>
      <c r="C18" s="59">
        <v>45821</v>
      </c>
      <c r="D18" s="38"/>
      <c r="E18" s="38"/>
      <c r="F18" s="416"/>
      <c r="G18" s="39"/>
      <c r="H18" s="464" t="s">
        <v>270</v>
      </c>
      <c r="I18" s="205">
        <v>3480000</v>
      </c>
      <c r="J18" s="352"/>
      <c r="K18" s="63" t="s">
        <v>201</v>
      </c>
      <c r="L18" s="42" t="s">
        <v>209</v>
      </c>
      <c r="M18" s="150" t="s">
        <v>209</v>
      </c>
      <c r="N18" s="56"/>
      <c r="O18" s="23"/>
      <c r="P18" s="106"/>
      <c r="Q18" s="106"/>
    </row>
    <row r="19" spans="2:17" ht="25.35" customHeight="1">
      <c r="B19" s="152" t="str">
        <f t="shared" si="0"/>
        <v>JULIETA SANTIAGO - IVAN PETRINI</v>
      </c>
      <c r="C19" s="59">
        <v>45825</v>
      </c>
      <c r="D19" s="46" t="s">
        <v>212</v>
      </c>
      <c r="E19" s="60" t="s">
        <v>443</v>
      </c>
      <c r="F19" s="462" t="s">
        <v>447</v>
      </c>
      <c r="G19" s="23" t="s">
        <v>97</v>
      </c>
      <c r="H19" s="464" t="s">
        <v>270</v>
      </c>
      <c r="I19" s="204">
        <v>6305000</v>
      </c>
      <c r="J19" s="351"/>
      <c r="K19" s="63" t="s">
        <v>201</v>
      </c>
      <c r="L19" s="23" t="s">
        <v>209</v>
      </c>
      <c r="M19" s="150" t="s">
        <v>209</v>
      </c>
      <c r="N19" s="2" t="s">
        <v>305</v>
      </c>
      <c r="O19" s="23"/>
      <c r="P19" s="72"/>
      <c r="Q19" s="69"/>
    </row>
    <row r="20" spans="2:17" ht="23.45" customHeight="1">
      <c r="B20" s="152" t="str">
        <f t="shared" si="0"/>
        <v>JULIETA SANTIAGO - IVAN PETRINI</v>
      </c>
      <c r="C20" s="59">
        <v>45825</v>
      </c>
      <c r="D20" s="46" t="s">
        <v>212</v>
      </c>
      <c r="E20" s="60" t="s">
        <v>443</v>
      </c>
      <c r="F20" s="462" t="s">
        <v>448</v>
      </c>
      <c r="G20" s="23" t="s">
        <v>433</v>
      </c>
      <c r="H20" s="464" t="s">
        <v>270</v>
      </c>
      <c r="I20" s="204">
        <v>5900970</v>
      </c>
      <c r="J20" s="351"/>
      <c r="K20" s="63" t="s">
        <v>201</v>
      </c>
      <c r="L20" s="23" t="s">
        <v>209</v>
      </c>
      <c r="M20" s="150" t="s">
        <v>209</v>
      </c>
      <c r="N20" s="2" t="s">
        <v>305</v>
      </c>
      <c r="O20" s="23"/>
      <c r="P20" s="72"/>
      <c r="Q20" s="69"/>
    </row>
    <row r="21" spans="2:17" ht="23.1" customHeight="1">
      <c r="B21" s="152" t="str">
        <f t="shared" si="0"/>
        <v>JULIETA SANTIAGO - IVAN PETRINI</v>
      </c>
      <c r="C21" s="59">
        <v>45825</v>
      </c>
      <c r="D21" s="46" t="s">
        <v>212</v>
      </c>
      <c r="E21" s="60" t="s">
        <v>443</v>
      </c>
      <c r="F21" s="462" t="s">
        <v>449</v>
      </c>
      <c r="G21" s="23" t="s">
        <v>142</v>
      </c>
      <c r="H21" s="464" t="s">
        <v>450</v>
      </c>
      <c r="I21" s="204">
        <v>73000</v>
      </c>
      <c r="J21" s="351"/>
      <c r="K21" s="63" t="s">
        <v>201</v>
      </c>
      <c r="L21" s="23" t="s">
        <v>209</v>
      </c>
      <c r="M21" s="150" t="s">
        <v>209</v>
      </c>
      <c r="N21" s="2" t="s">
        <v>305</v>
      </c>
      <c r="O21" s="23"/>
      <c r="P21" s="72"/>
      <c r="Q21" s="69"/>
    </row>
    <row r="22" spans="2:17" ht="23.45" customHeight="1">
      <c r="B22" s="152" t="str">
        <f t="shared" si="0"/>
        <v>JULIETA SANTIAGO - IVAN PETRINI</v>
      </c>
      <c r="C22" s="59">
        <v>45831</v>
      </c>
      <c r="D22" s="46" t="s">
        <v>451</v>
      </c>
      <c r="E22" s="60" t="s">
        <v>431</v>
      </c>
      <c r="F22" s="462" t="s">
        <v>452</v>
      </c>
      <c r="G22" s="23" t="s">
        <v>5</v>
      </c>
      <c r="H22" s="464" t="s">
        <v>270</v>
      </c>
      <c r="I22" s="61">
        <v>907493.44</v>
      </c>
      <c r="J22" s="67"/>
      <c r="K22" s="67" t="s">
        <v>208</v>
      </c>
      <c r="L22" s="23" t="s">
        <v>209</v>
      </c>
      <c r="M22" s="150" t="s">
        <v>209</v>
      </c>
      <c r="N22" s="2" t="s">
        <v>305</v>
      </c>
      <c r="O22" s="23"/>
      <c r="P22" s="72"/>
      <c r="Q22" s="69"/>
    </row>
    <row r="23" spans="2:17" ht="26.1" customHeight="1">
      <c r="B23" s="152" t="str">
        <f t="shared" si="0"/>
        <v>JULIETA SANTIAGO - IVAN PETRINI</v>
      </c>
      <c r="C23" s="59">
        <v>45831</v>
      </c>
      <c r="D23" s="46" t="s">
        <v>453</v>
      </c>
      <c r="E23" s="60" t="s">
        <v>431</v>
      </c>
      <c r="F23" s="462" t="s">
        <v>454</v>
      </c>
      <c r="G23" s="23" t="s">
        <v>5</v>
      </c>
      <c r="H23" s="464" t="s">
        <v>270</v>
      </c>
      <c r="I23" s="61">
        <v>1327719.69</v>
      </c>
      <c r="J23" s="67"/>
      <c r="K23" s="67" t="s">
        <v>208</v>
      </c>
      <c r="L23" s="23" t="s">
        <v>209</v>
      </c>
      <c r="M23" s="150" t="s">
        <v>209</v>
      </c>
      <c r="N23" s="2" t="s">
        <v>305</v>
      </c>
      <c r="O23" s="23"/>
      <c r="P23" s="72"/>
      <c r="Q23" s="69"/>
    </row>
    <row r="24" spans="2:17" ht="23.1" customHeight="1">
      <c r="B24" s="152" t="str">
        <f t="shared" si="0"/>
        <v>JULIETA SANTIAGO - IVAN PETRINI</v>
      </c>
      <c r="C24" s="59">
        <v>45859</v>
      </c>
      <c r="D24" s="46" t="s">
        <v>455</v>
      </c>
      <c r="E24" s="60" t="s">
        <v>431</v>
      </c>
      <c r="F24" s="462" t="s">
        <v>456</v>
      </c>
      <c r="G24" s="23" t="s">
        <v>17</v>
      </c>
      <c r="H24" s="464" t="s">
        <v>270</v>
      </c>
      <c r="I24" s="64">
        <v>12500000</v>
      </c>
      <c r="J24" s="350"/>
      <c r="K24" s="67" t="s">
        <v>208</v>
      </c>
      <c r="L24" s="23" t="s">
        <v>209</v>
      </c>
      <c r="M24" s="150" t="s">
        <v>209</v>
      </c>
      <c r="N24" s="2" t="s">
        <v>305</v>
      </c>
      <c r="O24" s="23"/>
      <c r="P24" s="1"/>
      <c r="Q24" s="70"/>
    </row>
    <row r="25" spans="2:17" ht="21.6" customHeight="1">
      <c r="B25" s="152" t="str">
        <f t="shared" si="0"/>
        <v>JULIETA SANTIAGO - IVAN PETRINI</v>
      </c>
      <c r="C25" s="59">
        <v>45859</v>
      </c>
      <c r="D25" s="46" t="s">
        <v>212</v>
      </c>
      <c r="E25" s="60" t="s">
        <v>431</v>
      </c>
      <c r="F25" s="462" t="s">
        <v>457</v>
      </c>
      <c r="G25" s="23" t="s">
        <v>17</v>
      </c>
      <c r="H25" s="464" t="s">
        <v>270</v>
      </c>
      <c r="I25" s="64">
        <v>12598800</v>
      </c>
      <c r="J25" s="350"/>
      <c r="K25" s="67" t="s">
        <v>208</v>
      </c>
      <c r="L25" s="23" t="s">
        <v>209</v>
      </c>
      <c r="M25" s="150" t="s">
        <v>209</v>
      </c>
      <c r="N25" s="2" t="s">
        <v>305</v>
      </c>
      <c r="O25" s="23"/>
      <c r="P25" s="1"/>
      <c r="Q25" s="71"/>
    </row>
    <row r="26" spans="2:17" ht="23.1" customHeight="1">
      <c r="B26" s="152" t="str">
        <f t="shared" si="0"/>
        <v>JULIETA SANTIAGO - IVAN PETRINI</v>
      </c>
      <c r="C26" s="59">
        <v>45861</v>
      </c>
      <c r="D26" s="46" t="s">
        <v>458</v>
      </c>
      <c r="E26" s="60" t="s">
        <v>431</v>
      </c>
      <c r="F26" s="462" t="s">
        <v>459</v>
      </c>
      <c r="G26" s="23" t="s">
        <v>5</v>
      </c>
      <c r="H26" s="464" t="s">
        <v>270</v>
      </c>
      <c r="I26" s="64">
        <v>3471631.06</v>
      </c>
      <c r="J26" s="350"/>
      <c r="K26" s="67" t="s">
        <v>208</v>
      </c>
      <c r="L26" s="23" t="s">
        <v>209</v>
      </c>
      <c r="M26" s="150" t="s">
        <v>209</v>
      </c>
      <c r="N26" s="2" t="s">
        <v>305</v>
      </c>
      <c r="O26" s="23"/>
      <c r="P26" s="1"/>
      <c r="Q26" s="71"/>
    </row>
    <row r="27" spans="2:17" ht="23.1" customHeight="1">
      <c r="B27" s="152" t="str">
        <f t="shared" si="0"/>
        <v>JULIETA SANTIAGO - IVAN PETRINI</v>
      </c>
      <c r="C27" s="59">
        <v>45869</v>
      </c>
      <c r="D27" s="46" t="s">
        <v>212</v>
      </c>
      <c r="E27" s="60" t="s">
        <v>443</v>
      </c>
      <c r="F27" s="416" t="s">
        <v>460</v>
      </c>
      <c r="G27" s="42" t="s">
        <v>21</v>
      </c>
      <c r="H27" s="464" t="s">
        <v>270</v>
      </c>
      <c r="I27" s="205">
        <v>3200000</v>
      </c>
      <c r="J27" s="352"/>
      <c r="K27" s="63" t="s">
        <v>201</v>
      </c>
      <c r="L27" s="42" t="s">
        <v>209</v>
      </c>
      <c r="M27" s="150" t="s">
        <v>209</v>
      </c>
      <c r="N27" s="56" t="s">
        <v>461</v>
      </c>
      <c r="O27" s="23"/>
      <c r="P27" s="50"/>
      <c r="Q27" s="50"/>
    </row>
    <row r="28" spans="2:17" ht="22.35" customHeight="1">
      <c r="B28" s="152" t="str">
        <f t="shared" si="0"/>
        <v>JULIETA SANTIAGO - IVAN PETRINI</v>
      </c>
      <c r="C28" s="59">
        <v>45877</v>
      </c>
      <c r="D28" s="46" t="s">
        <v>462</v>
      </c>
      <c r="E28" s="60" t="s">
        <v>431</v>
      </c>
      <c r="F28" s="462" t="s">
        <v>463</v>
      </c>
      <c r="G28" s="23" t="s">
        <v>464</v>
      </c>
      <c r="H28" s="464" t="s">
        <v>270</v>
      </c>
      <c r="I28" s="61">
        <v>4862385</v>
      </c>
      <c r="J28" s="67"/>
      <c r="K28" s="67" t="s">
        <v>208</v>
      </c>
      <c r="L28" s="23" t="s">
        <v>209</v>
      </c>
      <c r="M28" s="150" t="s">
        <v>209</v>
      </c>
      <c r="N28" s="2" t="s">
        <v>305</v>
      </c>
      <c r="O28" s="23"/>
      <c r="P28" s="1"/>
      <c r="Q28" s="71"/>
    </row>
    <row r="29" spans="2:17" ht="21.6" customHeight="1">
      <c r="B29" s="152" t="str">
        <f t="shared" si="0"/>
        <v>JULIETA SANTIAGO - IVAN PETRINI</v>
      </c>
      <c r="C29" s="59">
        <v>45888</v>
      </c>
      <c r="D29" s="46" t="s">
        <v>212</v>
      </c>
      <c r="E29" s="60" t="s">
        <v>443</v>
      </c>
      <c r="F29" s="462" t="s">
        <v>465</v>
      </c>
      <c r="G29" s="23" t="s">
        <v>97</v>
      </c>
      <c r="H29" s="464" t="s">
        <v>270</v>
      </c>
      <c r="I29" s="204">
        <v>1158000</v>
      </c>
      <c r="J29" s="351"/>
      <c r="K29" s="63" t="s">
        <v>201</v>
      </c>
      <c r="L29" s="23" t="s">
        <v>209</v>
      </c>
      <c r="M29" s="150" t="s">
        <v>209</v>
      </c>
      <c r="N29" s="2" t="s">
        <v>305</v>
      </c>
      <c r="O29" s="23"/>
      <c r="P29" s="1"/>
      <c r="Q29" s="71"/>
    </row>
    <row r="30" spans="2:17" ht="21.6" customHeight="1">
      <c r="B30" s="152" t="str">
        <f t="shared" si="0"/>
        <v>JULIETA SANTIAGO - IVAN PETRINI</v>
      </c>
      <c r="C30" s="59">
        <v>45891</v>
      </c>
      <c r="D30" s="46" t="s">
        <v>212</v>
      </c>
      <c r="E30" s="60" t="s">
        <v>443</v>
      </c>
      <c r="F30" s="416" t="s">
        <v>466</v>
      </c>
      <c r="G30" s="23" t="s">
        <v>76</v>
      </c>
      <c r="H30" s="417" t="s">
        <v>52</v>
      </c>
      <c r="I30" s="132">
        <v>73500</v>
      </c>
      <c r="J30" s="353"/>
      <c r="K30" s="63" t="s">
        <v>201</v>
      </c>
      <c r="L30" s="42" t="s">
        <v>209</v>
      </c>
      <c r="M30" s="150" t="s">
        <v>209</v>
      </c>
      <c r="N30" s="56" t="s">
        <v>305</v>
      </c>
      <c r="O30" s="23"/>
      <c r="P30" s="50"/>
      <c r="Q30" s="50"/>
    </row>
    <row r="31" spans="2:17" ht="21.6" customHeight="1">
      <c r="B31" s="152" t="str">
        <f t="shared" si="0"/>
        <v>JULIETA SANTIAGO - IVAN PETRINI</v>
      </c>
      <c r="C31" s="484">
        <v>45916</v>
      </c>
      <c r="D31" s="46" t="s">
        <v>212</v>
      </c>
      <c r="E31" s="29" t="s">
        <v>443</v>
      </c>
      <c r="F31" s="462" t="s">
        <v>467</v>
      </c>
      <c r="G31" s="23" t="s">
        <v>433</v>
      </c>
      <c r="H31" s="464" t="s">
        <v>270</v>
      </c>
      <c r="I31" s="204">
        <v>2290647</v>
      </c>
      <c r="J31" s="351"/>
      <c r="K31" s="63" t="s">
        <v>201</v>
      </c>
      <c r="L31" s="23" t="s">
        <v>209</v>
      </c>
      <c r="M31" s="150" t="s">
        <v>209</v>
      </c>
      <c r="N31" s="2" t="s">
        <v>305</v>
      </c>
      <c r="O31" s="23"/>
      <c r="P31" s="1"/>
      <c r="Q31" s="71"/>
    </row>
    <row r="32" spans="2:17" ht="21.6" customHeight="1">
      <c r="B32" s="152" t="str">
        <f t="shared" si="0"/>
        <v>JULIETA SANTIAGO - IVAN PETRINI</v>
      </c>
      <c r="C32" s="484">
        <v>45918</v>
      </c>
      <c r="D32" s="46" t="s">
        <v>212</v>
      </c>
      <c r="E32" s="29" t="s">
        <v>443</v>
      </c>
      <c r="F32" s="416" t="s">
        <v>468</v>
      </c>
      <c r="G32" s="23" t="s">
        <v>76</v>
      </c>
      <c r="H32" s="417" t="s">
        <v>52</v>
      </c>
      <c r="I32" s="132">
        <v>77000</v>
      </c>
      <c r="J32" s="353"/>
      <c r="K32" s="63" t="s">
        <v>201</v>
      </c>
      <c r="L32" s="42" t="s">
        <v>209</v>
      </c>
      <c r="M32" s="150" t="s">
        <v>209</v>
      </c>
      <c r="N32" s="56" t="s">
        <v>305</v>
      </c>
      <c r="O32" s="23"/>
      <c r="P32" s="50"/>
      <c r="Q32" s="50"/>
    </row>
    <row r="33" spans="2:17" ht="21.6" customHeight="1">
      <c r="B33" s="152" t="str">
        <f t="shared" si="0"/>
        <v>JULIETA SANTIAGO - IVAN PETRINI</v>
      </c>
      <c r="C33" s="484">
        <v>45919</v>
      </c>
      <c r="D33" s="29" t="s">
        <v>469</v>
      </c>
      <c r="E33" s="29" t="s">
        <v>443</v>
      </c>
      <c r="F33" s="462" t="s">
        <v>470</v>
      </c>
      <c r="G33" s="23" t="s">
        <v>95</v>
      </c>
      <c r="H33" s="464" t="s">
        <v>270</v>
      </c>
      <c r="I33" s="61">
        <v>735262.65</v>
      </c>
      <c r="J33" s="67"/>
      <c r="K33" s="67" t="s">
        <v>208</v>
      </c>
      <c r="L33" s="23" t="s">
        <v>209</v>
      </c>
      <c r="M33" s="150" t="s">
        <v>209</v>
      </c>
      <c r="N33" s="2" t="s">
        <v>305</v>
      </c>
      <c r="O33" s="23"/>
      <c r="P33" s="1"/>
      <c r="Q33" s="71"/>
    </row>
    <row r="34" spans="2:17" ht="21.6" customHeight="1">
      <c r="B34" s="152" t="str">
        <f t="shared" si="0"/>
        <v>JULIETA SANTIAGO - IVAN PETRINI</v>
      </c>
      <c r="C34" s="484">
        <v>45930</v>
      </c>
      <c r="D34" s="29" t="s">
        <v>212</v>
      </c>
      <c r="E34" s="29" t="s">
        <v>443</v>
      </c>
      <c r="F34" s="462" t="s">
        <v>471</v>
      </c>
      <c r="G34" s="23" t="s">
        <v>135</v>
      </c>
      <c r="H34" s="464" t="s">
        <v>270</v>
      </c>
      <c r="I34" s="204">
        <v>8519290.3000000007</v>
      </c>
      <c r="J34" s="351"/>
      <c r="K34" s="63" t="s">
        <v>201</v>
      </c>
      <c r="L34" s="23" t="s">
        <v>209</v>
      </c>
      <c r="M34" s="150" t="s">
        <v>209</v>
      </c>
      <c r="N34" s="2" t="s">
        <v>305</v>
      </c>
      <c r="O34" s="23"/>
      <c r="P34" s="1"/>
      <c r="Q34" s="71"/>
    </row>
    <row r="35" spans="2:17" ht="21.6" customHeight="1">
      <c r="B35" s="152" t="str">
        <f t="shared" si="0"/>
        <v>JULIETA SANTIAGO - IVAN PETRINI</v>
      </c>
      <c r="C35" s="484">
        <v>45950</v>
      </c>
      <c r="D35" s="29" t="s">
        <v>212</v>
      </c>
      <c r="E35" s="29" t="s">
        <v>443</v>
      </c>
      <c r="F35" s="462" t="s">
        <v>472</v>
      </c>
      <c r="G35" s="23" t="s">
        <v>433</v>
      </c>
      <c r="H35" s="464" t="s">
        <v>270</v>
      </c>
      <c r="I35" s="207">
        <v>1335620</v>
      </c>
      <c r="J35" s="354"/>
      <c r="K35" s="63" t="s">
        <v>201</v>
      </c>
      <c r="L35" s="23" t="s">
        <v>209</v>
      </c>
      <c r="M35" s="150" t="s">
        <v>209</v>
      </c>
      <c r="N35" s="2" t="s">
        <v>305</v>
      </c>
      <c r="O35" s="23"/>
      <c r="P35" s="1"/>
      <c r="Q35" s="71"/>
    </row>
    <row r="36" spans="2:17" ht="21.6" customHeight="1">
      <c r="B36" s="152" t="str">
        <f t="shared" si="0"/>
        <v>JULIETA SANTIAGO - IVAN PETRINI</v>
      </c>
      <c r="C36" s="484">
        <v>45951</v>
      </c>
      <c r="D36" s="29" t="s">
        <v>473</v>
      </c>
      <c r="E36" s="60" t="s">
        <v>431</v>
      </c>
      <c r="F36" s="483" t="s">
        <v>474</v>
      </c>
      <c r="G36" s="23" t="s">
        <v>143</v>
      </c>
      <c r="H36" s="464" t="s">
        <v>55</v>
      </c>
      <c r="I36" s="61">
        <v>548433.93999999994</v>
      </c>
      <c r="J36" s="67"/>
      <c r="K36" s="67" t="s">
        <v>208</v>
      </c>
      <c r="L36" s="23" t="s">
        <v>209</v>
      </c>
      <c r="M36" s="150" t="s">
        <v>209</v>
      </c>
      <c r="N36" s="2" t="s">
        <v>305</v>
      </c>
      <c r="O36" s="23"/>
      <c r="P36" s="1"/>
      <c r="Q36" s="71"/>
    </row>
    <row r="37" spans="2:17" ht="21.6" customHeight="1">
      <c r="B37" s="27" t="str">
        <f>+$E$3</f>
        <v>JULIETA SANTIAGO - IVAN PETRINI</v>
      </c>
      <c r="C37" s="484">
        <v>45951</v>
      </c>
      <c r="D37" s="29" t="s">
        <v>475</v>
      </c>
      <c r="E37" s="60" t="s">
        <v>431</v>
      </c>
      <c r="F37" s="483" t="s">
        <v>476</v>
      </c>
      <c r="G37" s="23" t="s">
        <v>143</v>
      </c>
      <c r="H37" s="464" t="s">
        <v>55</v>
      </c>
      <c r="I37" s="40">
        <v>1828865.77</v>
      </c>
      <c r="J37" s="67"/>
      <c r="K37" s="67" t="s">
        <v>208</v>
      </c>
      <c r="L37" s="42" t="s">
        <v>209</v>
      </c>
      <c r="M37" s="150" t="s">
        <v>209</v>
      </c>
      <c r="N37" s="56" t="s">
        <v>305</v>
      </c>
      <c r="O37" s="23"/>
      <c r="P37" s="50"/>
      <c r="Q37" s="50"/>
    </row>
    <row r="38" spans="2:17" ht="21.6" customHeight="1">
      <c r="B38" s="27" t="str">
        <f>+$E$3</f>
        <v>JULIETA SANTIAGO - IVAN PETRINI</v>
      </c>
      <c r="C38" s="484">
        <v>45951</v>
      </c>
      <c r="D38" s="29" t="s">
        <v>477</v>
      </c>
      <c r="E38" s="60" t="s">
        <v>431</v>
      </c>
      <c r="F38" s="483" t="s">
        <v>478</v>
      </c>
      <c r="G38" s="23" t="s">
        <v>143</v>
      </c>
      <c r="H38" s="464" t="s">
        <v>55</v>
      </c>
      <c r="I38" s="40">
        <v>3804058.39</v>
      </c>
      <c r="J38" s="67"/>
      <c r="K38" s="67" t="s">
        <v>208</v>
      </c>
      <c r="L38" s="42" t="s">
        <v>209</v>
      </c>
      <c r="M38" s="150" t="s">
        <v>209</v>
      </c>
      <c r="N38" s="56" t="s">
        <v>305</v>
      </c>
      <c r="O38" s="23"/>
      <c r="P38" s="50"/>
      <c r="Q38" s="50"/>
    </row>
    <row r="39" spans="2:17" ht="21.6" customHeight="1">
      <c r="B39" s="152" t="str">
        <f t="shared" si="0"/>
        <v>JULIETA SANTIAGO - IVAN PETRINI</v>
      </c>
      <c r="C39" s="484">
        <v>45957</v>
      </c>
      <c r="D39" s="29" t="s">
        <v>212</v>
      </c>
      <c r="E39" s="29" t="s">
        <v>443</v>
      </c>
      <c r="F39" s="483" t="s">
        <v>444</v>
      </c>
      <c r="G39" s="23" t="s">
        <v>445</v>
      </c>
      <c r="H39" s="464" t="s">
        <v>270</v>
      </c>
      <c r="I39" s="204">
        <v>1420000</v>
      </c>
      <c r="J39" s="351"/>
      <c r="K39" s="63" t="s">
        <v>201</v>
      </c>
      <c r="L39" s="23" t="s">
        <v>209</v>
      </c>
      <c r="M39" s="150" t="s">
        <v>209</v>
      </c>
      <c r="N39" s="2" t="s">
        <v>305</v>
      </c>
      <c r="O39" s="23"/>
      <c r="P39" s="1"/>
      <c r="Q39" s="71"/>
    </row>
    <row r="40" spans="2:17" ht="21.6" customHeight="1">
      <c r="B40" s="152" t="str">
        <f t="shared" si="0"/>
        <v>JULIETA SANTIAGO - IVAN PETRINI</v>
      </c>
      <c r="C40" s="484">
        <v>45957</v>
      </c>
      <c r="D40" s="46" t="s">
        <v>479</v>
      </c>
      <c r="E40" s="60" t="s">
        <v>431</v>
      </c>
      <c r="F40" s="416" t="s">
        <v>480</v>
      </c>
      <c r="G40" s="42" t="s">
        <v>64</v>
      </c>
      <c r="H40" s="417" t="s">
        <v>481</v>
      </c>
      <c r="I40" s="40">
        <v>4465123.25</v>
      </c>
      <c r="J40" s="67"/>
      <c r="K40" s="67" t="s">
        <v>208</v>
      </c>
      <c r="L40" s="23" t="s">
        <v>209</v>
      </c>
      <c r="M40" s="150" t="s">
        <v>209</v>
      </c>
      <c r="N40" s="2" t="s">
        <v>305</v>
      </c>
      <c r="O40" s="23"/>
      <c r="P40" s="1"/>
      <c r="Q40" s="71"/>
    </row>
    <row r="41" spans="2:17" ht="21.6" customHeight="1">
      <c r="B41" s="152" t="str">
        <f t="shared" si="0"/>
        <v>JULIETA SANTIAGO - IVAN PETRINI</v>
      </c>
      <c r="C41" s="59">
        <v>45960</v>
      </c>
      <c r="D41" s="46" t="s">
        <v>482</v>
      </c>
      <c r="E41" s="60" t="s">
        <v>431</v>
      </c>
      <c r="F41" s="416" t="s">
        <v>483</v>
      </c>
      <c r="G41" s="42" t="s">
        <v>72</v>
      </c>
      <c r="H41" s="417" t="s">
        <v>63</v>
      </c>
      <c r="I41" s="40">
        <v>1402888.99</v>
      </c>
      <c r="J41" s="67"/>
      <c r="K41" s="67" t="s">
        <v>208</v>
      </c>
      <c r="L41" s="42" t="s">
        <v>209</v>
      </c>
      <c r="M41" s="150" t="s">
        <v>209</v>
      </c>
      <c r="N41" s="56" t="s">
        <v>353</v>
      </c>
      <c r="O41" s="23"/>
      <c r="P41" s="50"/>
      <c r="Q41" s="50"/>
    </row>
    <row r="42" spans="2:17" ht="21.6" customHeight="1">
      <c r="B42" s="152" t="str">
        <f t="shared" si="0"/>
        <v>JULIETA SANTIAGO - IVAN PETRINI</v>
      </c>
      <c r="C42" s="59">
        <v>45960</v>
      </c>
      <c r="D42" s="38" t="s">
        <v>212</v>
      </c>
      <c r="E42" s="29" t="s">
        <v>443</v>
      </c>
      <c r="F42" s="416" t="s">
        <v>484</v>
      </c>
      <c r="G42" s="42" t="s">
        <v>142</v>
      </c>
      <c r="H42" s="464" t="s">
        <v>270</v>
      </c>
      <c r="I42" s="205">
        <v>61000</v>
      </c>
      <c r="J42" s="352"/>
      <c r="K42" s="68" t="s">
        <v>201</v>
      </c>
      <c r="L42" s="42" t="s">
        <v>209</v>
      </c>
      <c r="M42" s="150" t="s">
        <v>209</v>
      </c>
      <c r="N42" s="56" t="s">
        <v>305</v>
      </c>
      <c r="O42" s="23"/>
      <c r="P42" s="50"/>
      <c r="Q42" s="50"/>
    </row>
    <row r="43" spans="2:17" ht="21.6" customHeight="1">
      <c r="B43" s="27" t="str">
        <f>+$E$3</f>
        <v>JULIETA SANTIAGO - IVAN PETRINI</v>
      </c>
      <c r="C43" s="59">
        <v>45965</v>
      </c>
      <c r="D43" s="46" t="s">
        <v>485</v>
      </c>
      <c r="E43" s="60" t="s">
        <v>431</v>
      </c>
      <c r="F43" s="416" t="s">
        <v>486</v>
      </c>
      <c r="G43" s="23" t="s">
        <v>143</v>
      </c>
      <c r="H43" s="464" t="s">
        <v>55</v>
      </c>
      <c r="I43" s="40">
        <v>523474.34</v>
      </c>
      <c r="J43" s="67"/>
      <c r="K43" s="67" t="s">
        <v>208</v>
      </c>
      <c r="L43" s="42" t="s">
        <v>209</v>
      </c>
      <c r="M43" s="150" t="s">
        <v>209</v>
      </c>
      <c r="N43" s="56" t="s">
        <v>305</v>
      </c>
      <c r="O43" s="23"/>
      <c r="P43" s="50"/>
      <c r="Q43" s="50"/>
    </row>
    <row r="44" spans="2:17" ht="21.6" customHeight="1">
      <c r="B44" s="152" t="str">
        <f t="shared" si="0"/>
        <v>JULIETA SANTIAGO - IVAN PETRINI</v>
      </c>
      <c r="C44" s="59">
        <v>45966</v>
      </c>
      <c r="D44" s="38" t="s">
        <v>212</v>
      </c>
      <c r="E44" s="29" t="s">
        <v>443</v>
      </c>
      <c r="F44" s="416" t="s">
        <v>487</v>
      </c>
      <c r="G44" s="42" t="s">
        <v>16</v>
      </c>
      <c r="H44" s="464" t="s">
        <v>270</v>
      </c>
      <c r="I44" s="205">
        <v>112300</v>
      </c>
      <c r="J44" s="352"/>
      <c r="K44" s="68" t="s">
        <v>201</v>
      </c>
      <c r="L44" s="42" t="s">
        <v>209</v>
      </c>
      <c r="M44" s="150" t="s">
        <v>209</v>
      </c>
      <c r="N44" s="56" t="s">
        <v>305</v>
      </c>
      <c r="O44" s="23"/>
      <c r="P44" s="50"/>
      <c r="Q44" s="50"/>
    </row>
    <row r="45" spans="2:17" ht="21.6" customHeight="1">
      <c r="B45" s="152" t="str">
        <f t="shared" si="0"/>
        <v>JULIETA SANTIAGO - IVAN PETRINI</v>
      </c>
      <c r="C45" s="59">
        <v>45966</v>
      </c>
      <c r="D45" s="38" t="s">
        <v>212</v>
      </c>
      <c r="E45" s="29" t="s">
        <v>443</v>
      </c>
      <c r="F45" s="416" t="s">
        <v>488</v>
      </c>
      <c r="G45" s="42" t="s">
        <v>489</v>
      </c>
      <c r="H45" s="464" t="s">
        <v>270</v>
      </c>
      <c r="I45" s="205">
        <v>50000</v>
      </c>
      <c r="J45" s="352"/>
      <c r="K45" s="68" t="s">
        <v>201</v>
      </c>
      <c r="L45" s="42" t="s">
        <v>209</v>
      </c>
      <c r="M45" s="150" t="s">
        <v>209</v>
      </c>
      <c r="N45" s="56" t="s">
        <v>305</v>
      </c>
      <c r="O45" s="23"/>
      <c r="P45" s="50"/>
      <c r="Q45" s="50"/>
    </row>
    <row r="46" spans="2:17" ht="21.6" customHeight="1">
      <c r="B46" s="152" t="str">
        <f t="shared" si="0"/>
        <v>JULIETA SANTIAGO - IVAN PETRINI</v>
      </c>
      <c r="C46" s="59">
        <v>45972</v>
      </c>
      <c r="D46" s="38" t="s">
        <v>212</v>
      </c>
      <c r="E46" s="29" t="s">
        <v>443</v>
      </c>
      <c r="F46" s="416" t="s">
        <v>468</v>
      </c>
      <c r="G46" s="23" t="s">
        <v>76</v>
      </c>
      <c r="H46" s="417" t="s">
        <v>52</v>
      </c>
      <c r="I46" s="205">
        <v>87500</v>
      </c>
      <c r="J46" s="352"/>
      <c r="K46" s="68" t="s">
        <v>201</v>
      </c>
      <c r="L46" s="42" t="s">
        <v>209</v>
      </c>
      <c r="M46" s="150" t="s">
        <v>209</v>
      </c>
      <c r="N46" s="56" t="s">
        <v>305</v>
      </c>
      <c r="O46" s="23"/>
      <c r="P46" s="50"/>
      <c r="Q46" s="50"/>
    </row>
    <row r="47" spans="2:17" ht="21.6" customHeight="1">
      <c r="B47" s="152" t="str">
        <f t="shared" ref="B47:B243" si="1">+$E$3</f>
        <v>JULIETA SANTIAGO - IVAN PETRINI</v>
      </c>
      <c r="C47" s="59">
        <v>45979</v>
      </c>
      <c r="D47" s="29" t="s">
        <v>212</v>
      </c>
      <c r="E47" s="29" t="s">
        <v>443</v>
      </c>
      <c r="F47" s="462" t="s">
        <v>490</v>
      </c>
      <c r="G47" s="23" t="s">
        <v>135</v>
      </c>
      <c r="H47" s="464" t="s">
        <v>270</v>
      </c>
      <c r="I47" s="206">
        <v>7724578</v>
      </c>
      <c r="J47" s="355"/>
      <c r="K47" s="68" t="s">
        <v>201</v>
      </c>
      <c r="L47" s="23" t="s">
        <v>209</v>
      </c>
      <c r="M47" s="150" t="s">
        <v>209</v>
      </c>
      <c r="N47" s="2" t="s">
        <v>305</v>
      </c>
      <c r="O47" s="23"/>
      <c r="P47" s="1"/>
      <c r="Q47" s="71"/>
    </row>
    <row r="48" spans="2:17" ht="21.6" customHeight="1">
      <c r="B48" s="152" t="str">
        <f t="shared" si="1"/>
        <v>JULIETA SANTIAGO - IVAN PETRINI</v>
      </c>
      <c r="C48" s="59">
        <v>45975</v>
      </c>
      <c r="D48" s="29" t="s">
        <v>212</v>
      </c>
      <c r="E48" s="29" t="s">
        <v>443</v>
      </c>
      <c r="F48" s="416" t="s">
        <v>491</v>
      </c>
      <c r="G48" s="42" t="s">
        <v>433</v>
      </c>
      <c r="H48" s="464" t="s">
        <v>270</v>
      </c>
      <c r="I48" s="66">
        <v>1140622.5</v>
      </c>
      <c r="J48" s="356"/>
      <c r="K48" s="68" t="s">
        <v>201</v>
      </c>
      <c r="L48" s="23" t="s">
        <v>209</v>
      </c>
      <c r="M48" s="150" t="s">
        <v>209</v>
      </c>
      <c r="N48" s="2" t="s">
        <v>305</v>
      </c>
      <c r="O48" s="23"/>
      <c r="P48" s="1"/>
      <c r="Q48" s="71"/>
    </row>
    <row r="49" spans="1:17" ht="21.6" customHeight="1">
      <c r="B49" s="152" t="str">
        <f t="shared" si="1"/>
        <v>JULIETA SANTIAGO - IVAN PETRINI</v>
      </c>
      <c r="C49" s="59">
        <v>45971</v>
      </c>
      <c r="D49" s="46" t="s">
        <v>492</v>
      </c>
      <c r="E49" s="60" t="s">
        <v>431</v>
      </c>
      <c r="F49" s="416" t="s">
        <v>493</v>
      </c>
      <c r="G49" s="42" t="s">
        <v>64</v>
      </c>
      <c r="H49" s="417" t="s">
        <v>481</v>
      </c>
      <c r="I49" s="40">
        <v>3909464.87</v>
      </c>
      <c r="J49" s="67"/>
      <c r="K49" s="67" t="s">
        <v>208</v>
      </c>
      <c r="L49" s="42" t="s">
        <v>209</v>
      </c>
      <c r="M49" s="150" t="s">
        <v>209</v>
      </c>
      <c r="N49" s="56" t="s">
        <v>305</v>
      </c>
      <c r="O49" s="23"/>
      <c r="P49" s="50"/>
      <c r="Q49" s="50"/>
    </row>
    <row r="50" spans="1:17" ht="21.6" customHeight="1">
      <c r="B50" s="152" t="str">
        <f t="shared" si="1"/>
        <v>JULIETA SANTIAGO - IVAN PETRINI</v>
      </c>
      <c r="C50" s="59">
        <v>45971</v>
      </c>
      <c r="D50" s="46" t="s">
        <v>494</v>
      </c>
      <c r="E50" s="60" t="s">
        <v>431</v>
      </c>
      <c r="F50" s="416" t="s">
        <v>470</v>
      </c>
      <c r="G50" s="23" t="s">
        <v>95</v>
      </c>
      <c r="H50" s="464" t="s">
        <v>270</v>
      </c>
      <c r="I50" s="66">
        <v>667677.59</v>
      </c>
      <c r="J50" s="356"/>
      <c r="K50" s="67" t="s">
        <v>208</v>
      </c>
      <c r="L50" s="23" t="s">
        <v>209</v>
      </c>
      <c r="M50" s="150" t="s">
        <v>209</v>
      </c>
      <c r="N50" s="2" t="s">
        <v>305</v>
      </c>
      <c r="O50" s="23"/>
      <c r="P50" s="1"/>
      <c r="Q50" s="71"/>
    </row>
    <row r="51" spans="1:17" ht="21.6" customHeight="1">
      <c r="B51" s="152" t="str">
        <f t="shared" si="1"/>
        <v>JULIETA SANTIAGO - IVAN PETRINI</v>
      </c>
      <c r="C51" s="59">
        <v>45972</v>
      </c>
      <c r="D51" s="46" t="s">
        <v>495</v>
      </c>
      <c r="E51" s="60" t="s">
        <v>431</v>
      </c>
      <c r="F51" s="416" t="s">
        <v>8</v>
      </c>
      <c r="G51" s="42" t="s">
        <v>5</v>
      </c>
      <c r="H51" s="464" t="s">
        <v>270</v>
      </c>
      <c r="I51" s="66">
        <v>6227635.54</v>
      </c>
      <c r="J51" s="356"/>
      <c r="K51" s="67" t="s">
        <v>208</v>
      </c>
      <c r="L51" s="23" t="s">
        <v>209</v>
      </c>
      <c r="M51" s="150" t="s">
        <v>209</v>
      </c>
      <c r="N51" s="2" t="s">
        <v>305</v>
      </c>
      <c r="O51" s="23"/>
      <c r="P51" s="1"/>
      <c r="Q51" s="71"/>
    </row>
    <row r="52" spans="1:17" ht="21.6" customHeight="1">
      <c r="B52" s="152" t="str">
        <f t="shared" si="1"/>
        <v>JULIETA SANTIAGO - IVAN PETRINI</v>
      </c>
      <c r="C52" s="59">
        <v>45972</v>
      </c>
      <c r="D52" s="46" t="s">
        <v>496</v>
      </c>
      <c r="E52" s="60" t="s">
        <v>431</v>
      </c>
      <c r="F52" s="416" t="s">
        <v>497</v>
      </c>
      <c r="G52" s="42" t="s">
        <v>5</v>
      </c>
      <c r="H52" s="464" t="s">
        <v>270</v>
      </c>
      <c r="I52" s="66">
        <v>1444109.54</v>
      </c>
      <c r="J52" s="356"/>
      <c r="K52" s="67" t="s">
        <v>208</v>
      </c>
      <c r="L52" s="23" t="s">
        <v>209</v>
      </c>
      <c r="M52" s="150" t="s">
        <v>209</v>
      </c>
      <c r="N52" s="2" t="s">
        <v>305</v>
      </c>
      <c r="O52" s="23"/>
      <c r="P52" s="1"/>
      <c r="Q52" s="71"/>
    </row>
    <row r="53" spans="1:17" ht="21.6" customHeight="1">
      <c r="B53" s="152" t="str">
        <f t="shared" si="1"/>
        <v>JULIETA SANTIAGO - IVAN PETRINI</v>
      </c>
      <c r="C53" s="59">
        <v>45972</v>
      </c>
      <c r="D53" s="46" t="s">
        <v>498</v>
      </c>
      <c r="E53" s="60" t="s">
        <v>431</v>
      </c>
      <c r="F53" s="416" t="s">
        <v>499</v>
      </c>
      <c r="G53" s="42" t="s">
        <v>96</v>
      </c>
      <c r="H53" s="464" t="s">
        <v>270</v>
      </c>
      <c r="I53" s="66">
        <v>919600</v>
      </c>
      <c r="J53" s="356"/>
      <c r="K53" s="67" t="s">
        <v>208</v>
      </c>
      <c r="L53" s="23" t="s">
        <v>209</v>
      </c>
      <c r="M53" s="150" t="s">
        <v>209</v>
      </c>
      <c r="N53" s="2" t="s">
        <v>305</v>
      </c>
      <c r="O53" s="23"/>
      <c r="P53" s="1"/>
      <c r="Q53" s="71"/>
    </row>
    <row r="54" spans="1:17" ht="21.6" customHeight="1">
      <c r="B54" s="152" t="str">
        <f t="shared" si="1"/>
        <v>JULIETA SANTIAGO - IVAN PETRINI</v>
      </c>
      <c r="C54" s="59">
        <v>45972</v>
      </c>
      <c r="D54" s="46" t="s">
        <v>500</v>
      </c>
      <c r="E54" s="60" t="s">
        <v>431</v>
      </c>
      <c r="F54" s="416" t="s">
        <v>501</v>
      </c>
      <c r="G54" s="42" t="s">
        <v>96</v>
      </c>
      <c r="H54" s="464" t="s">
        <v>270</v>
      </c>
      <c r="I54" s="65">
        <v>326700</v>
      </c>
      <c r="J54" s="356"/>
      <c r="K54" s="67" t="s">
        <v>208</v>
      </c>
      <c r="L54" s="23" t="s">
        <v>209</v>
      </c>
      <c r="M54" s="150" t="s">
        <v>209</v>
      </c>
      <c r="N54" s="2" t="s">
        <v>305</v>
      </c>
      <c r="O54" s="23"/>
      <c r="P54" s="1"/>
      <c r="Q54" s="71"/>
    </row>
    <row r="55" spans="1:17" ht="21.6" customHeight="1">
      <c r="B55" s="152" t="str">
        <f t="shared" si="1"/>
        <v>JULIETA SANTIAGO - IVAN PETRINI</v>
      </c>
      <c r="C55" s="59">
        <v>45972</v>
      </c>
      <c r="D55" s="46" t="s">
        <v>502</v>
      </c>
      <c r="E55" s="60" t="s">
        <v>431</v>
      </c>
      <c r="F55" s="416" t="s">
        <v>503</v>
      </c>
      <c r="G55" s="42" t="s">
        <v>96</v>
      </c>
      <c r="H55" s="464" t="s">
        <v>270</v>
      </c>
      <c r="I55" s="66">
        <v>5227200</v>
      </c>
      <c r="J55" s="356"/>
      <c r="K55" s="67" t="s">
        <v>208</v>
      </c>
      <c r="L55" s="23" t="s">
        <v>209</v>
      </c>
      <c r="M55" s="150" t="s">
        <v>209</v>
      </c>
      <c r="N55" s="2" t="s">
        <v>305</v>
      </c>
      <c r="O55" s="23"/>
      <c r="P55" s="1"/>
      <c r="Q55" s="71"/>
    </row>
    <row r="56" spans="1:17" ht="21.6" customHeight="1">
      <c r="B56" s="27" t="str">
        <f>+$E$3</f>
        <v>JULIETA SANTIAGO - IVAN PETRINI</v>
      </c>
      <c r="C56" s="59">
        <v>45986</v>
      </c>
      <c r="D56" s="38" t="s">
        <v>504</v>
      </c>
      <c r="E56" s="60" t="s">
        <v>431</v>
      </c>
      <c r="F56" s="416" t="s">
        <v>505</v>
      </c>
      <c r="G56" s="23" t="s">
        <v>143</v>
      </c>
      <c r="H56" s="464" t="s">
        <v>55</v>
      </c>
      <c r="I56" s="40">
        <v>-488080</v>
      </c>
      <c r="J56" s="67"/>
      <c r="K56" s="485" t="s">
        <v>506</v>
      </c>
      <c r="L56" s="42" t="s">
        <v>209</v>
      </c>
      <c r="M56" s="150" t="s">
        <v>209</v>
      </c>
      <c r="N56" s="472"/>
      <c r="O56" s="23"/>
      <c r="P56" s="50"/>
      <c r="Q56" s="50"/>
    </row>
    <row r="57" spans="1:17" ht="23.1" customHeight="1">
      <c r="A57" s="147"/>
      <c r="B57" s="152" t="str">
        <f t="shared" si="1"/>
        <v>JULIETA SANTIAGO - IVAN PETRINI</v>
      </c>
      <c r="C57" s="59">
        <v>45995</v>
      </c>
      <c r="D57" s="46" t="s">
        <v>507</v>
      </c>
      <c r="E57" s="60" t="s">
        <v>431</v>
      </c>
      <c r="F57" s="486" t="s">
        <v>508</v>
      </c>
      <c r="G57" s="23" t="s">
        <v>72</v>
      </c>
      <c r="H57" s="464" t="s">
        <v>63</v>
      </c>
      <c r="I57" s="66">
        <v>541000.71</v>
      </c>
      <c r="J57" s="356"/>
      <c r="K57" s="67" t="s">
        <v>208</v>
      </c>
      <c r="L57" s="161" t="s">
        <v>209</v>
      </c>
      <c r="M57" s="150" t="s">
        <v>209</v>
      </c>
      <c r="N57" s="2" t="s">
        <v>305</v>
      </c>
      <c r="O57" s="2"/>
      <c r="P57" s="1"/>
      <c r="Q57" s="71"/>
    </row>
    <row r="58" spans="1:17" s="138" customFormat="1" ht="28.9">
      <c r="A58" s="168" t="s">
        <v>218</v>
      </c>
      <c r="B58" s="170"/>
      <c r="C58" s="210">
        <v>45996</v>
      </c>
      <c r="D58" s="130"/>
      <c r="E58" s="130"/>
      <c r="F58" s="465"/>
      <c r="G58" s="131"/>
      <c r="H58" s="487"/>
      <c r="I58" s="132"/>
      <c r="J58" s="132"/>
      <c r="K58" s="133"/>
      <c r="L58" s="134"/>
      <c r="M58" s="285"/>
      <c r="N58" s="135"/>
      <c r="O58" s="136"/>
      <c r="P58" s="137"/>
      <c r="Q58" s="137"/>
    </row>
    <row r="59" spans="1:17" ht="21.6" customHeight="1">
      <c r="B59" s="152" t="str">
        <f t="shared" si="1"/>
        <v>JULIETA SANTIAGO - IVAN PETRINI</v>
      </c>
      <c r="C59" s="59">
        <v>46003</v>
      </c>
      <c r="D59" s="46" t="s">
        <v>509</v>
      </c>
      <c r="E59" s="60" t="s">
        <v>431</v>
      </c>
      <c r="F59" s="416" t="s">
        <v>510</v>
      </c>
      <c r="G59" s="42" t="s">
        <v>433</v>
      </c>
      <c r="H59" s="464" t="s">
        <v>270</v>
      </c>
      <c r="I59" s="66">
        <v>3751773.8</v>
      </c>
      <c r="J59" s="66"/>
      <c r="K59" s="4"/>
      <c r="L59" s="23" t="s">
        <v>209</v>
      </c>
      <c r="M59" s="150" t="s">
        <v>209</v>
      </c>
      <c r="N59" s="2" t="s">
        <v>305</v>
      </c>
      <c r="O59" s="2"/>
      <c r="P59" s="50"/>
      <c r="Q59" s="50"/>
    </row>
    <row r="60" spans="1:17" ht="21.6" customHeight="1">
      <c r="B60" s="152" t="str">
        <f t="shared" si="1"/>
        <v>JULIETA SANTIAGO - IVAN PETRINI</v>
      </c>
      <c r="C60" s="59">
        <v>46009</v>
      </c>
      <c r="D60" s="46" t="s">
        <v>511</v>
      </c>
      <c r="E60" s="60" t="s">
        <v>431</v>
      </c>
      <c r="F60" s="416" t="s">
        <v>512</v>
      </c>
      <c r="G60" s="42" t="s">
        <v>5</v>
      </c>
      <c r="H60" s="417" t="s">
        <v>513</v>
      </c>
      <c r="I60" s="66">
        <v>2612931.37</v>
      </c>
      <c r="J60" s="66"/>
      <c r="K60" s="4"/>
      <c r="L60" s="23" t="s">
        <v>209</v>
      </c>
      <c r="M60" s="150" t="s">
        <v>209</v>
      </c>
      <c r="N60" s="56" t="s">
        <v>305</v>
      </c>
      <c r="O60" s="2"/>
      <c r="P60" s="50"/>
      <c r="Q60" s="50"/>
    </row>
    <row r="61" spans="1:17" ht="21.6" customHeight="1">
      <c r="B61" s="152" t="str">
        <f t="shared" si="1"/>
        <v>JULIETA SANTIAGO - IVAN PETRINI</v>
      </c>
      <c r="C61" s="59"/>
      <c r="D61" s="29" t="s">
        <v>212</v>
      </c>
      <c r="E61" s="29" t="s">
        <v>443</v>
      </c>
      <c r="F61" s="416" t="s">
        <v>514</v>
      </c>
      <c r="G61" s="42" t="s">
        <v>142</v>
      </c>
      <c r="H61" s="417" t="s">
        <v>513</v>
      </c>
      <c r="I61" s="66">
        <v>29000</v>
      </c>
      <c r="J61" s="66"/>
      <c r="K61" s="4"/>
      <c r="L61" s="23" t="s">
        <v>209</v>
      </c>
      <c r="M61" s="150" t="s">
        <v>209</v>
      </c>
      <c r="N61" s="2" t="s">
        <v>305</v>
      </c>
      <c r="O61" s="2"/>
      <c r="P61" s="50"/>
      <c r="Q61" s="50"/>
    </row>
    <row r="62" spans="1:17" ht="21.6" customHeight="1">
      <c r="B62" s="152" t="str">
        <f t="shared" si="1"/>
        <v>JULIETA SANTIAGO - IVAN PETRINI</v>
      </c>
      <c r="C62" s="59">
        <v>46003</v>
      </c>
      <c r="D62" s="46" t="s">
        <v>515</v>
      </c>
      <c r="E62" s="60" t="s">
        <v>431</v>
      </c>
      <c r="F62" s="416" t="s">
        <v>516</v>
      </c>
      <c r="G62" s="42" t="s">
        <v>517</v>
      </c>
      <c r="H62" s="417" t="s">
        <v>270</v>
      </c>
      <c r="I62" s="66">
        <v>74954.850000000006</v>
      </c>
      <c r="J62" s="66"/>
      <c r="K62" s="4"/>
      <c r="L62" s="23" t="s">
        <v>209</v>
      </c>
      <c r="M62" s="150" t="s">
        <v>209</v>
      </c>
      <c r="N62" s="2" t="s">
        <v>305</v>
      </c>
      <c r="O62" s="2"/>
      <c r="P62" s="50"/>
      <c r="Q62" s="50"/>
    </row>
    <row r="63" spans="1:17" ht="21.6" customHeight="1">
      <c r="B63" s="152" t="str">
        <f t="shared" si="1"/>
        <v>JULIETA SANTIAGO - IVAN PETRINI</v>
      </c>
      <c r="C63" s="59">
        <v>46008</v>
      </c>
      <c r="D63" s="46" t="s">
        <v>518</v>
      </c>
      <c r="E63" s="60" t="s">
        <v>431</v>
      </c>
      <c r="F63" s="416" t="s">
        <v>519</v>
      </c>
      <c r="G63" s="42" t="s">
        <v>135</v>
      </c>
      <c r="H63" s="417" t="s">
        <v>29</v>
      </c>
      <c r="I63" s="40">
        <v>8224776.46</v>
      </c>
      <c r="J63" s="40"/>
      <c r="K63" s="4"/>
      <c r="L63" s="23" t="s">
        <v>209</v>
      </c>
      <c r="M63" s="150" t="s">
        <v>209</v>
      </c>
      <c r="N63" s="56" t="s">
        <v>353</v>
      </c>
      <c r="O63" s="2"/>
      <c r="P63" s="50"/>
      <c r="Q63" s="50"/>
    </row>
    <row r="64" spans="1:17" ht="21.6" customHeight="1">
      <c r="B64" s="152" t="str">
        <f t="shared" si="1"/>
        <v>JULIETA SANTIAGO - IVAN PETRINI</v>
      </c>
      <c r="C64" s="59">
        <v>46008</v>
      </c>
      <c r="D64" s="46" t="s">
        <v>520</v>
      </c>
      <c r="E64" s="60" t="s">
        <v>431</v>
      </c>
      <c r="F64" s="416" t="s">
        <v>521</v>
      </c>
      <c r="G64" s="42" t="s">
        <v>143</v>
      </c>
      <c r="H64" s="417" t="s">
        <v>344</v>
      </c>
      <c r="I64" s="40">
        <v>1846912.64</v>
      </c>
      <c r="J64" s="40"/>
      <c r="K64" s="4"/>
      <c r="L64" s="23" t="s">
        <v>209</v>
      </c>
      <c r="M64" s="150" t="s">
        <v>209</v>
      </c>
      <c r="N64" s="472" t="s">
        <v>305</v>
      </c>
      <c r="O64" s="2"/>
      <c r="P64" s="50"/>
      <c r="Q64" s="50"/>
    </row>
    <row r="65" spans="1:17" ht="21.6" customHeight="1">
      <c r="B65" s="152" t="str">
        <f t="shared" si="1"/>
        <v>JULIETA SANTIAGO - IVAN PETRINI</v>
      </c>
      <c r="C65" s="59">
        <v>46003</v>
      </c>
      <c r="D65" s="46" t="s">
        <v>522</v>
      </c>
      <c r="E65" s="60" t="s">
        <v>431</v>
      </c>
      <c r="F65" s="416" t="s">
        <v>523</v>
      </c>
      <c r="G65" s="42" t="s">
        <v>95</v>
      </c>
      <c r="H65" s="417" t="s">
        <v>270</v>
      </c>
      <c r="I65" s="40">
        <v>1273790.2</v>
      </c>
      <c r="J65" s="40"/>
      <c r="K65" s="4"/>
      <c r="L65" s="23" t="s">
        <v>209</v>
      </c>
      <c r="M65" s="150" t="s">
        <v>209</v>
      </c>
      <c r="N65" s="2" t="s">
        <v>305</v>
      </c>
      <c r="O65" s="2"/>
      <c r="P65" s="50"/>
      <c r="Q65" s="50"/>
    </row>
    <row r="66" spans="1:17" s="138" customFormat="1" ht="28.9">
      <c r="A66" s="168" t="s">
        <v>218</v>
      </c>
      <c r="B66" s="170"/>
      <c r="C66" s="210">
        <v>46022</v>
      </c>
      <c r="D66" s="130"/>
      <c r="E66" s="130"/>
      <c r="F66" s="465"/>
      <c r="G66" s="131"/>
      <c r="H66" s="487"/>
      <c r="I66" s="132"/>
      <c r="J66" s="132"/>
      <c r="K66" s="133"/>
      <c r="L66" s="134"/>
      <c r="M66" s="285"/>
      <c r="N66" s="135"/>
      <c r="O66" s="136"/>
      <c r="P66" s="137"/>
      <c r="Q66" s="137"/>
    </row>
    <row r="67" spans="1:17" ht="21.6" customHeight="1">
      <c r="B67" s="152" t="str">
        <f>+$E$3</f>
        <v>JULIETA SANTIAGO - IVAN PETRINI</v>
      </c>
      <c r="C67" s="59">
        <v>46035</v>
      </c>
      <c r="D67" s="38" t="s">
        <v>212</v>
      </c>
      <c r="E67" s="29" t="s">
        <v>443</v>
      </c>
      <c r="F67" s="416" t="s">
        <v>524</v>
      </c>
      <c r="G67" s="23" t="s">
        <v>76</v>
      </c>
      <c r="H67" s="417" t="s">
        <v>52</v>
      </c>
      <c r="I67" s="40">
        <v>95000</v>
      </c>
      <c r="J67" s="67"/>
      <c r="K67" s="62" t="s">
        <v>201</v>
      </c>
      <c r="L67" s="161" t="s">
        <v>209</v>
      </c>
      <c r="M67" s="150" t="s">
        <v>209</v>
      </c>
      <c r="N67" s="56" t="s">
        <v>305</v>
      </c>
      <c r="O67" s="2"/>
      <c r="P67" s="50"/>
      <c r="Q67" s="50"/>
    </row>
    <row r="68" spans="1:17" s="138" customFormat="1" ht="28.9">
      <c r="A68" s="168" t="s">
        <v>218</v>
      </c>
      <c r="B68" s="170"/>
      <c r="C68" s="171">
        <v>46037</v>
      </c>
      <c r="D68" s="130"/>
      <c r="E68" s="130"/>
      <c r="F68" s="465"/>
      <c r="G68" s="131"/>
      <c r="H68" s="487"/>
      <c r="I68" s="132"/>
      <c r="J68" s="132"/>
      <c r="K68" s="133"/>
      <c r="L68" s="134"/>
      <c r="M68" s="285"/>
      <c r="N68" s="135"/>
      <c r="O68" s="136"/>
      <c r="P68" s="137"/>
      <c r="Q68" s="137"/>
    </row>
    <row r="69" spans="1:17" ht="21.6" customHeight="1">
      <c r="B69" s="152" t="str">
        <f>+$E$3</f>
        <v>JULIETA SANTIAGO - IVAN PETRINI</v>
      </c>
      <c r="C69" s="59">
        <v>46041</v>
      </c>
      <c r="D69" s="209" t="s">
        <v>525</v>
      </c>
      <c r="E69" s="23" t="s">
        <v>443</v>
      </c>
      <c r="F69" s="416" t="s">
        <v>526</v>
      </c>
      <c r="G69" s="223" t="s">
        <v>50</v>
      </c>
      <c r="H69" s="417" t="s">
        <v>52</v>
      </c>
      <c r="I69" s="40">
        <v>60000</v>
      </c>
      <c r="J69" s="67"/>
      <c r="K69" s="62" t="s">
        <v>201</v>
      </c>
      <c r="L69" s="278" t="s">
        <v>209</v>
      </c>
      <c r="M69" s="150" t="s">
        <v>209</v>
      </c>
      <c r="N69" s="56" t="s">
        <v>305</v>
      </c>
      <c r="O69" s="2"/>
      <c r="P69" s="50"/>
      <c r="Q69" s="50"/>
    </row>
    <row r="70" spans="1:17" ht="21" customHeight="1">
      <c r="B70" s="152" t="str">
        <f>+$E$3</f>
        <v>JULIETA SANTIAGO - IVAN PETRINI</v>
      </c>
      <c r="C70" s="59">
        <v>46041</v>
      </c>
      <c r="D70" s="209" t="s">
        <v>525</v>
      </c>
      <c r="E70" s="209"/>
      <c r="F70" s="466" t="s">
        <v>527</v>
      </c>
      <c r="G70" s="192" t="s">
        <v>16</v>
      </c>
      <c r="H70" s="417" t="s">
        <v>216</v>
      </c>
      <c r="I70" s="40">
        <v>160000</v>
      </c>
      <c r="J70" s="67"/>
      <c r="K70" s="62" t="s">
        <v>201</v>
      </c>
      <c r="L70" s="278" t="s">
        <v>209</v>
      </c>
      <c r="M70" s="150" t="s">
        <v>209</v>
      </c>
      <c r="N70" s="56" t="s">
        <v>305</v>
      </c>
      <c r="O70" s="2"/>
      <c r="P70" s="50"/>
      <c r="Q70" s="50"/>
    </row>
    <row r="71" spans="1:17" ht="21.6" customHeight="1">
      <c r="B71" s="27" t="str">
        <f t="shared" ref="B71:B83" si="2">+$E$3</f>
        <v>JULIETA SANTIAGO - IVAN PETRINI</v>
      </c>
      <c r="C71" s="25">
        <v>46044</v>
      </c>
      <c r="D71" s="209" t="s">
        <v>525</v>
      </c>
      <c r="E71" s="38"/>
      <c r="F71" s="416" t="s">
        <v>528</v>
      </c>
      <c r="G71" s="192" t="s">
        <v>16</v>
      </c>
      <c r="H71" s="417" t="s">
        <v>216</v>
      </c>
      <c r="I71" s="40">
        <v>26000</v>
      </c>
      <c r="J71" s="67"/>
      <c r="K71" s="62" t="s">
        <v>201</v>
      </c>
      <c r="L71" s="278" t="s">
        <v>209</v>
      </c>
      <c r="M71" s="150" t="s">
        <v>209</v>
      </c>
      <c r="N71" s="56" t="s">
        <v>305</v>
      </c>
      <c r="O71" s="2"/>
      <c r="P71" s="50"/>
      <c r="Q71" s="50"/>
    </row>
    <row r="72" spans="1:17" ht="21.6" customHeight="1">
      <c r="B72" s="152" t="str">
        <f t="shared" si="2"/>
        <v>JULIETA SANTIAGO - IVAN PETRINI</v>
      </c>
      <c r="C72" s="25">
        <v>46044</v>
      </c>
      <c r="D72" s="209" t="s">
        <v>525</v>
      </c>
      <c r="E72" s="38"/>
      <c r="F72" s="416" t="s">
        <v>529</v>
      </c>
      <c r="G72" s="42" t="s">
        <v>530</v>
      </c>
      <c r="H72" s="417" t="s">
        <v>216</v>
      </c>
      <c r="I72" s="40">
        <v>26000</v>
      </c>
      <c r="J72" s="67"/>
      <c r="K72" s="62" t="s">
        <v>201</v>
      </c>
      <c r="L72" s="278" t="s">
        <v>209</v>
      </c>
      <c r="M72" s="150" t="s">
        <v>209</v>
      </c>
      <c r="N72" s="56" t="s">
        <v>305</v>
      </c>
      <c r="O72" s="2"/>
      <c r="P72" s="50"/>
      <c r="Q72" s="50"/>
    </row>
    <row r="73" spans="1:17" ht="21.6" customHeight="1">
      <c r="B73" s="27" t="str">
        <f>+$E$3</f>
        <v>JULIETA SANTIAGO - IVAN PETRINI</v>
      </c>
      <c r="C73" s="25">
        <v>46045</v>
      </c>
      <c r="D73" s="209" t="s">
        <v>525</v>
      </c>
      <c r="E73" s="23" t="s">
        <v>443</v>
      </c>
      <c r="F73" s="416" t="s">
        <v>531</v>
      </c>
      <c r="G73" s="223" t="s">
        <v>50</v>
      </c>
      <c r="H73" s="86" t="s">
        <v>52</v>
      </c>
      <c r="I73" s="40">
        <v>60000</v>
      </c>
      <c r="J73" s="67"/>
      <c r="K73" s="62" t="s">
        <v>201</v>
      </c>
      <c r="L73" s="277" t="s">
        <v>209</v>
      </c>
      <c r="M73" s="150" t="s">
        <v>209</v>
      </c>
      <c r="N73" s="56" t="s">
        <v>305</v>
      </c>
      <c r="O73" s="2"/>
      <c r="P73" s="50"/>
      <c r="Q73" s="50"/>
    </row>
    <row r="74" spans="1:17" ht="21.6" customHeight="1">
      <c r="B74" s="152" t="str">
        <f t="shared" si="2"/>
        <v>JULIETA SANTIAGO - IVAN PETRINI</v>
      </c>
      <c r="C74" s="27">
        <v>45975</v>
      </c>
      <c r="D74" s="46" t="s">
        <v>532</v>
      </c>
      <c r="E74" s="23" t="s">
        <v>533</v>
      </c>
      <c r="F74" s="85" t="s">
        <v>534</v>
      </c>
      <c r="G74" s="192" t="s">
        <v>22</v>
      </c>
      <c r="H74" s="86" t="s">
        <v>270</v>
      </c>
      <c r="I74" s="40">
        <v>73589.179999999993</v>
      </c>
      <c r="J74" s="67"/>
      <c r="K74" s="62" t="s">
        <v>201</v>
      </c>
      <c r="L74" s="150" t="s">
        <v>209</v>
      </c>
      <c r="M74" s="150" t="s">
        <v>209</v>
      </c>
      <c r="N74" s="56" t="s">
        <v>305</v>
      </c>
      <c r="O74" s="2"/>
      <c r="P74" s="50"/>
      <c r="Q74" s="50"/>
    </row>
    <row r="75" spans="1:17" s="138" customFormat="1" ht="28.9">
      <c r="A75" s="168" t="s">
        <v>218</v>
      </c>
      <c r="B75" s="170"/>
      <c r="C75" s="171">
        <v>46051</v>
      </c>
      <c r="D75" s="130"/>
      <c r="E75" s="130"/>
      <c r="F75" s="465"/>
      <c r="G75" s="131"/>
      <c r="H75" s="487"/>
      <c r="I75" s="132"/>
      <c r="J75" s="132"/>
      <c r="K75" s="133"/>
      <c r="L75" s="134"/>
      <c r="M75" s="285"/>
      <c r="N75" s="135"/>
      <c r="O75" s="136"/>
      <c r="P75" s="137"/>
      <c r="Q75" s="137"/>
    </row>
    <row r="76" spans="1:17" ht="21.6" customHeight="1">
      <c r="B76" s="152" t="str">
        <f t="shared" si="2"/>
        <v>JULIETA SANTIAGO - IVAN PETRINI</v>
      </c>
      <c r="C76" s="25">
        <v>46050</v>
      </c>
      <c r="D76" s="41" t="s">
        <v>535</v>
      </c>
      <c r="E76" s="271" t="s">
        <v>431</v>
      </c>
      <c r="F76" s="416" t="s">
        <v>536</v>
      </c>
      <c r="G76" s="42" t="s">
        <v>433</v>
      </c>
      <c r="H76" s="86" t="s">
        <v>270</v>
      </c>
      <c r="I76" s="40">
        <v>3445412.75</v>
      </c>
      <c r="J76" s="40"/>
      <c r="K76" s="48" t="s">
        <v>208</v>
      </c>
      <c r="L76" s="273" t="s">
        <v>209</v>
      </c>
      <c r="M76" s="150" t="s">
        <v>209</v>
      </c>
      <c r="N76" s="56" t="s">
        <v>305</v>
      </c>
      <c r="O76" s="2"/>
      <c r="P76" s="50"/>
      <c r="Q76" s="50"/>
    </row>
    <row r="77" spans="1:17" ht="21.6" customHeight="1">
      <c r="B77" s="152" t="str">
        <f t="shared" si="2"/>
        <v>JULIETA SANTIAGO - IVAN PETRINI</v>
      </c>
      <c r="C77" s="25">
        <v>46048</v>
      </c>
      <c r="D77" s="41" t="s">
        <v>537</v>
      </c>
      <c r="E77" s="271" t="s">
        <v>431</v>
      </c>
      <c r="F77" s="416" t="s">
        <v>538</v>
      </c>
      <c r="G77" s="42" t="s">
        <v>64</v>
      </c>
      <c r="H77" s="417" t="s">
        <v>481</v>
      </c>
      <c r="I77" s="40">
        <v>1117193</v>
      </c>
      <c r="J77" s="40"/>
      <c r="K77" s="48" t="s">
        <v>208</v>
      </c>
      <c r="L77" s="273" t="s">
        <v>209</v>
      </c>
      <c r="M77" s="150" t="s">
        <v>209</v>
      </c>
      <c r="N77" s="56" t="s">
        <v>305</v>
      </c>
      <c r="O77" s="2"/>
      <c r="P77" s="50"/>
      <c r="Q77" s="50"/>
    </row>
    <row r="78" spans="1:17" ht="21.6" customHeight="1">
      <c r="B78" s="152" t="str">
        <f t="shared" si="2"/>
        <v>JULIETA SANTIAGO - IVAN PETRINI</v>
      </c>
      <c r="C78" s="25">
        <v>46049</v>
      </c>
      <c r="D78" s="41" t="s">
        <v>539</v>
      </c>
      <c r="E78" s="271" t="s">
        <v>431</v>
      </c>
      <c r="F78" s="85" t="s">
        <v>540</v>
      </c>
      <c r="G78" s="42" t="s">
        <v>64</v>
      </c>
      <c r="H78" s="417" t="s">
        <v>481</v>
      </c>
      <c r="I78" s="40">
        <v>2909123.5</v>
      </c>
      <c r="J78" s="40"/>
      <c r="K78" s="48" t="s">
        <v>208</v>
      </c>
      <c r="L78" s="273" t="s">
        <v>209</v>
      </c>
      <c r="M78" s="150" t="s">
        <v>209</v>
      </c>
      <c r="N78" s="56" t="s">
        <v>305</v>
      </c>
      <c r="O78" s="2"/>
      <c r="P78" s="50"/>
      <c r="Q78" s="50"/>
    </row>
    <row r="79" spans="1:17" ht="21.6" customHeight="1">
      <c r="B79" s="152" t="str">
        <f t="shared" si="2"/>
        <v>JULIETA SANTIAGO - IVAN PETRINI</v>
      </c>
      <c r="C79" s="25">
        <v>46050</v>
      </c>
      <c r="D79" s="41" t="s">
        <v>541</v>
      </c>
      <c r="E79" s="271" t="s">
        <v>431</v>
      </c>
      <c r="F79" s="85" t="s">
        <v>538</v>
      </c>
      <c r="G79" s="42" t="s">
        <v>64</v>
      </c>
      <c r="H79" s="417" t="s">
        <v>481</v>
      </c>
      <c r="I79" s="40">
        <v>974291.4</v>
      </c>
      <c r="J79" s="40"/>
      <c r="K79" s="48" t="s">
        <v>208</v>
      </c>
      <c r="L79" s="273" t="s">
        <v>209</v>
      </c>
      <c r="M79" s="150" t="s">
        <v>209</v>
      </c>
      <c r="N79" s="56" t="s">
        <v>305</v>
      </c>
      <c r="O79" s="2"/>
      <c r="P79" s="50"/>
      <c r="Q79" s="50"/>
    </row>
    <row r="80" spans="1:17" ht="21.6" customHeight="1">
      <c r="B80" s="152" t="str">
        <f t="shared" si="2"/>
        <v>JULIETA SANTIAGO - IVAN PETRINI</v>
      </c>
      <c r="C80" s="25">
        <v>46052</v>
      </c>
      <c r="D80" s="41" t="s">
        <v>542</v>
      </c>
      <c r="E80" s="271" t="s">
        <v>431</v>
      </c>
      <c r="F80" s="416" t="s">
        <v>543</v>
      </c>
      <c r="G80" s="223" t="s">
        <v>5</v>
      </c>
      <c r="H80" s="417" t="s">
        <v>8</v>
      </c>
      <c r="I80" s="40">
        <v>12521394.59</v>
      </c>
      <c r="J80" s="40"/>
      <c r="K80" s="48" t="s">
        <v>208</v>
      </c>
      <c r="L80" s="273" t="s">
        <v>209</v>
      </c>
      <c r="M80" s="150" t="s">
        <v>209</v>
      </c>
      <c r="N80" s="56" t="s">
        <v>305</v>
      </c>
      <c r="O80" s="2"/>
      <c r="P80" s="50"/>
      <c r="Q80" s="50"/>
    </row>
    <row r="81" spans="1:17" ht="21.6" customHeight="1">
      <c r="B81" s="152" t="str">
        <f t="shared" si="2"/>
        <v>JULIETA SANTIAGO - IVAN PETRINI</v>
      </c>
      <c r="C81" s="25">
        <v>46052</v>
      </c>
      <c r="D81" s="41" t="s">
        <v>544</v>
      </c>
      <c r="E81" s="271" t="s">
        <v>431</v>
      </c>
      <c r="F81" s="416" t="s">
        <v>545</v>
      </c>
      <c r="G81" s="223" t="s">
        <v>5</v>
      </c>
      <c r="H81" s="417" t="s">
        <v>8</v>
      </c>
      <c r="I81" s="40">
        <v>1241964.53</v>
      </c>
      <c r="J81" s="40"/>
      <c r="K81" s="48" t="s">
        <v>208</v>
      </c>
      <c r="L81" s="273" t="s">
        <v>209</v>
      </c>
      <c r="M81" s="150" t="s">
        <v>209</v>
      </c>
      <c r="N81" s="56" t="s">
        <v>305</v>
      </c>
      <c r="O81" s="2"/>
      <c r="P81" s="50"/>
      <c r="Q81" s="50"/>
    </row>
    <row r="82" spans="1:17" s="138" customFormat="1" ht="28.9">
      <c r="A82" s="168" t="s">
        <v>218</v>
      </c>
      <c r="B82" s="170"/>
      <c r="C82" s="171">
        <v>46065</v>
      </c>
      <c r="D82" s="171"/>
      <c r="E82" s="130"/>
      <c r="F82" s="465"/>
      <c r="G82" s="131"/>
      <c r="H82" s="487"/>
      <c r="I82" s="132"/>
      <c r="J82" s="132"/>
      <c r="K82" s="133"/>
      <c r="L82" s="134"/>
      <c r="M82" s="285"/>
      <c r="N82" s="135"/>
      <c r="O82" s="136"/>
      <c r="P82" s="137"/>
      <c r="Q82" s="137"/>
    </row>
    <row r="83" spans="1:17" ht="21.6" customHeight="1">
      <c r="B83" s="152" t="str">
        <f t="shared" si="2"/>
        <v>JULIETA SANTIAGO - IVAN PETRINI</v>
      </c>
      <c r="C83" s="25">
        <v>46065</v>
      </c>
      <c r="D83" s="272" t="s">
        <v>11</v>
      </c>
      <c r="E83" s="272"/>
      <c r="F83" s="416" t="s">
        <v>546</v>
      </c>
      <c r="G83" s="42" t="s">
        <v>67</v>
      </c>
      <c r="H83" s="417" t="s">
        <v>547</v>
      </c>
      <c r="I83" s="40">
        <v>7332500</v>
      </c>
      <c r="J83" s="40"/>
      <c r="K83" s="488" t="s">
        <v>201</v>
      </c>
      <c r="L83" s="273" t="s">
        <v>209</v>
      </c>
      <c r="M83" s="284" t="s">
        <v>209</v>
      </c>
      <c r="N83" s="56" t="s">
        <v>305</v>
      </c>
      <c r="O83" s="2"/>
      <c r="P83" s="50"/>
      <c r="Q83" s="50"/>
    </row>
    <row r="84" spans="1:17" ht="21.6" customHeight="1">
      <c r="B84" s="27" t="str">
        <f>+$E$3</f>
        <v>JULIETA SANTIAGO - IVAN PETRINI</v>
      </c>
      <c r="C84" s="27">
        <v>46071</v>
      </c>
      <c r="D84" s="41" t="s">
        <v>548</v>
      </c>
      <c r="E84" s="271" t="s">
        <v>431</v>
      </c>
      <c r="F84" s="85" t="s">
        <v>540</v>
      </c>
      <c r="G84" s="42" t="s">
        <v>64</v>
      </c>
      <c r="H84" s="86" t="s">
        <v>481</v>
      </c>
      <c r="I84" s="40">
        <v>2952760.35</v>
      </c>
      <c r="J84" s="40"/>
      <c r="K84" s="48" t="s">
        <v>208</v>
      </c>
      <c r="L84" s="273" t="s">
        <v>209</v>
      </c>
      <c r="M84" s="150" t="s">
        <v>209</v>
      </c>
      <c r="N84" s="56" t="s">
        <v>305</v>
      </c>
      <c r="O84" s="2"/>
      <c r="P84" s="50"/>
      <c r="Q84" s="50"/>
    </row>
    <row r="85" spans="1:17" s="138" customFormat="1" ht="28.9">
      <c r="A85" s="168" t="s">
        <v>218</v>
      </c>
      <c r="B85" s="170"/>
      <c r="C85" s="171">
        <v>46079</v>
      </c>
      <c r="D85" s="171"/>
      <c r="E85" s="130"/>
      <c r="F85" s="465"/>
      <c r="G85" s="131"/>
      <c r="H85" s="487"/>
      <c r="I85" s="132"/>
      <c r="J85" s="132"/>
      <c r="K85" s="133"/>
      <c r="L85" s="134"/>
      <c r="M85" s="134"/>
      <c r="N85" s="135"/>
      <c r="O85" s="136"/>
      <c r="P85" s="137"/>
      <c r="Q85" s="137"/>
    </row>
    <row r="86" spans="1:17" ht="21.6" customHeight="1">
      <c r="B86" s="152" t="str">
        <f>+$E$3</f>
        <v>JULIETA SANTIAGO - IVAN PETRINI</v>
      </c>
      <c r="C86" s="59">
        <v>46080</v>
      </c>
      <c r="D86" s="41" t="s">
        <v>549</v>
      </c>
      <c r="E86" s="271" t="s">
        <v>431</v>
      </c>
      <c r="F86" s="416" t="s">
        <v>550</v>
      </c>
      <c r="G86" s="223" t="s">
        <v>5</v>
      </c>
      <c r="H86" s="417" t="s">
        <v>8</v>
      </c>
      <c r="I86" s="40">
        <v>2976583.99</v>
      </c>
      <c r="J86" s="40"/>
      <c r="K86" s="48" t="s">
        <v>208</v>
      </c>
      <c r="L86" s="273" t="s">
        <v>209</v>
      </c>
      <c r="M86" s="273" t="s">
        <v>209</v>
      </c>
      <c r="N86" s="56" t="s">
        <v>305</v>
      </c>
      <c r="O86" s="2"/>
      <c r="P86" s="50"/>
      <c r="Q86" s="50"/>
    </row>
    <row r="87" spans="1:17" ht="21.6" customHeight="1">
      <c r="B87" s="27" t="str">
        <f>+$E$3</f>
        <v>JULIETA SANTIAGO - IVAN PETRINI</v>
      </c>
      <c r="C87" s="27">
        <v>46083</v>
      </c>
      <c r="D87" s="41" t="s">
        <v>551</v>
      </c>
      <c r="E87" s="271" t="s">
        <v>431</v>
      </c>
      <c r="F87" s="416" t="s">
        <v>552</v>
      </c>
      <c r="G87" s="42" t="s">
        <v>119</v>
      </c>
      <c r="H87" s="417" t="s">
        <v>102</v>
      </c>
      <c r="I87" s="40">
        <v>13441242.050000001</v>
      </c>
      <c r="J87" s="40"/>
      <c r="K87" s="48" t="s">
        <v>208</v>
      </c>
      <c r="L87" s="273" t="s">
        <v>209</v>
      </c>
      <c r="M87" s="273" t="s">
        <v>209</v>
      </c>
      <c r="N87" s="56" t="s">
        <v>353</v>
      </c>
      <c r="O87" s="2"/>
      <c r="P87" s="346" t="s">
        <v>553</v>
      </c>
      <c r="Q87" s="50"/>
    </row>
    <row r="88" spans="1:17" ht="23.25" customHeight="1">
      <c r="B88" s="27" t="str">
        <f>+$E$3</f>
        <v>JULIETA SANTIAGO - IVAN PETRINI</v>
      </c>
      <c r="C88" s="27">
        <v>46083</v>
      </c>
      <c r="D88" s="41" t="s">
        <v>554</v>
      </c>
      <c r="E88" s="271" t="s">
        <v>431</v>
      </c>
      <c r="F88" s="416" t="s">
        <v>555</v>
      </c>
      <c r="G88" s="42" t="s">
        <v>135</v>
      </c>
      <c r="H88" s="417" t="s">
        <v>556</v>
      </c>
      <c r="I88" s="40">
        <v>2444608.6800000002</v>
      </c>
      <c r="J88" s="40"/>
      <c r="K88" s="48" t="s">
        <v>208</v>
      </c>
      <c r="L88" s="273" t="s">
        <v>209</v>
      </c>
      <c r="M88" s="273" t="s">
        <v>209</v>
      </c>
      <c r="N88" s="56" t="s">
        <v>305</v>
      </c>
      <c r="O88" s="2"/>
      <c r="P88" s="50"/>
      <c r="Q88" s="50"/>
    </row>
    <row r="89" spans="1:17" ht="30" customHeight="1">
      <c r="B89" s="27" t="str">
        <f>+$E$3</f>
        <v>JULIETA SANTIAGO - IVAN PETRINI</v>
      </c>
      <c r="C89" s="27">
        <v>46083</v>
      </c>
      <c r="D89" s="41" t="s">
        <v>557</v>
      </c>
      <c r="E89" s="271" t="s">
        <v>431</v>
      </c>
      <c r="F89" s="466" t="s">
        <v>558</v>
      </c>
      <c r="G89" s="42" t="s">
        <v>135</v>
      </c>
      <c r="H89" s="417" t="s">
        <v>556</v>
      </c>
      <c r="I89" s="40">
        <v>3152201.59</v>
      </c>
      <c r="J89" s="40"/>
      <c r="K89" s="48" t="s">
        <v>208</v>
      </c>
      <c r="L89" s="273" t="s">
        <v>209</v>
      </c>
      <c r="M89" s="273" t="s">
        <v>209</v>
      </c>
      <c r="N89" s="56" t="s">
        <v>305</v>
      </c>
      <c r="O89" s="2"/>
      <c r="P89" s="50"/>
      <c r="Q89" s="50"/>
    </row>
    <row r="90" spans="1:17" ht="21.6" customHeight="1">
      <c r="B90" s="27" t="str">
        <f t="shared" ref="B90:B104" si="3">+$E$3</f>
        <v>JULIETA SANTIAGO - IVAN PETRINI</v>
      </c>
      <c r="C90" s="25">
        <v>46077</v>
      </c>
      <c r="D90" s="272" t="s">
        <v>11</v>
      </c>
      <c r="E90" s="23" t="s">
        <v>443</v>
      </c>
      <c r="F90" s="416" t="s">
        <v>559</v>
      </c>
      <c r="G90" s="42" t="s">
        <v>12</v>
      </c>
      <c r="H90" s="417" t="s">
        <v>560</v>
      </c>
      <c r="I90" s="40">
        <v>64000</v>
      </c>
      <c r="J90" s="40"/>
      <c r="K90" s="48" t="s">
        <v>208</v>
      </c>
      <c r="L90" s="273" t="s">
        <v>209</v>
      </c>
      <c r="M90" s="273" t="s">
        <v>209</v>
      </c>
      <c r="N90" s="56" t="s">
        <v>305</v>
      </c>
      <c r="O90" s="2"/>
      <c r="P90" s="50"/>
      <c r="Q90" s="50"/>
    </row>
    <row r="91" spans="1:17" ht="21.6" customHeight="1">
      <c r="B91" s="27" t="str">
        <f>+$E$3</f>
        <v>JULIETA SANTIAGO - IVAN PETRINI</v>
      </c>
      <c r="C91" s="27">
        <v>46078</v>
      </c>
      <c r="D91" s="41" t="s">
        <v>561</v>
      </c>
      <c r="E91" s="271" t="s">
        <v>431</v>
      </c>
      <c r="F91" s="416" t="s">
        <v>562</v>
      </c>
      <c r="G91" s="42" t="s">
        <v>64</v>
      </c>
      <c r="H91" s="86" t="s">
        <v>481</v>
      </c>
      <c r="I91" s="40">
        <v>986957.18</v>
      </c>
      <c r="J91" s="40"/>
      <c r="K91" s="48" t="s">
        <v>208</v>
      </c>
      <c r="L91" s="273" t="s">
        <v>209</v>
      </c>
      <c r="M91" s="273" t="s">
        <v>209</v>
      </c>
      <c r="N91" s="56" t="s">
        <v>305</v>
      </c>
      <c r="O91" s="2"/>
      <c r="P91" s="50"/>
      <c r="Q91" s="50"/>
    </row>
    <row r="92" spans="1:17">
      <c r="B92" s="27" t="str">
        <f>+$E$3</f>
        <v>JULIETA SANTIAGO - IVAN PETRINI</v>
      </c>
      <c r="C92" s="27">
        <v>46089</v>
      </c>
      <c r="D92" s="41" t="s">
        <v>563</v>
      </c>
      <c r="E92" s="271" t="s">
        <v>431</v>
      </c>
      <c r="F92" s="466" t="s">
        <v>564</v>
      </c>
      <c r="G92" s="42" t="s">
        <v>64</v>
      </c>
      <c r="H92" s="86" t="s">
        <v>481</v>
      </c>
      <c r="I92" s="40">
        <v>2310480.86</v>
      </c>
      <c r="J92" s="40"/>
      <c r="K92" s="48" t="s">
        <v>208</v>
      </c>
      <c r="L92" s="273" t="s">
        <v>209</v>
      </c>
      <c r="M92" s="273" t="s">
        <v>209</v>
      </c>
      <c r="N92" s="56" t="s">
        <v>305</v>
      </c>
      <c r="O92" s="2"/>
      <c r="P92" s="50"/>
      <c r="Q92" s="50"/>
    </row>
    <row r="93" spans="1:17" ht="21.6" customHeight="1">
      <c r="B93" s="27" t="str">
        <f>+$E$3</f>
        <v>JULIETA SANTIAGO - IVAN PETRINI</v>
      </c>
      <c r="C93" s="27"/>
      <c r="D93" s="42" t="s">
        <v>212</v>
      </c>
      <c r="E93" s="42" t="s">
        <v>443</v>
      </c>
      <c r="F93" s="416" t="s">
        <v>565</v>
      </c>
      <c r="G93" s="42" t="s">
        <v>124</v>
      </c>
      <c r="H93" s="417" t="s">
        <v>10</v>
      </c>
      <c r="I93" s="40">
        <v>980000</v>
      </c>
      <c r="J93" s="40"/>
      <c r="K93" s="48" t="s">
        <v>201</v>
      </c>
      <c r="L93" s="273" t="s">
        <v>209</v>
      </c>
      <c r="M93" s="273" t="s">
        <v>209</v>
      </c>
      <c r="N93" s="56" t="s">
        <v>305</v>
      </c>
      <c r="O93" s="2"/>
      <c r="P93" s="50"/>
      <c r="Q93" s="50"/>
    </row>
    <row r="94" spans="1:17" ht="21.6" customHeight="1">
      <c r="B94" s="27" t="str">
        <f>+$E$3</f>
        <v>JULIETA SANTIAGO - IVAN PETRINI</v>
      </c>
      <c r="C94" s="27"/>
      <c r="D94" s="42" t="s">
        <v>212</v>
      </c>
      <c r="E94" s="42" t="s">
        <v>443</v>
      </c>
      <c r="F94" s="416" t="s">
        <v>566</v>
      </c>
      <c r="G94" s="42" t="s">
        <v>12</v>
      </c>
      <c r="H94" s="417" t="s">
        <v>567</v>
      </c>
      <c r="I94" s="40">
        <v>312085</v>
      </c>
      <c r="J94" s="40"/>
      <c r="K94" s="48" t="s">
        <v>201</v>
      </c>
      <c r="L94" s="273" t="s">
        <v>209</v>
      </c>
      <c r="M94" s="273" t="s">
        <v>209</v>
      </c>
      <c r="N94" s="56" t="s">
        <v>305</v>
      </c>
      <c r="O94" s="2"/>
      <c r="P94" s="346" t="s">
        <v>568</v>
      </c>
      <c r="Q94" s="50"/>
    </row>
    <row r="95" spans="1:17" ht="21.6" customHeight="1">
      <c r="B95" s="152" t="str">
        <f t="shared" si="3"/>
        <v>JULIETA SANTIAGO - IVAN PETRINI</v>
      </c>
      <c r="C95" s="25">
        <v>46094</v>
      </c>
      <c r="D95" s="272" t="s">
        <v>364</v>
      </c>
      <c r="E95" s="42" t="s">
        <v>443</v>
      </c>
      <c r="F95" s="416" t="s">
        <v>569</v>
      </c>
      <c r="G95" s="42" t="s">
        <v>76</v>
      </c>
      <c r="H95" s="417"/>
      <c r="I95" s="40">
        <v>110000</v>
      </c>
      <c r="J95" s="40"/>
      <c r="K95" s="48" t="s">
        <v>201</v>
      </c>
      <c r="L95" s="273" t="s">
        <v>209</v>
      </c>
      <c r="M95" s="273" t="s">
        <v>209</v>
      </c>
      <c r="N95" s="56" t="s">
        <v>305</v>
      </c>
      <c r="O95" s="2"/>
      <c r="P95" s="50"/>
      <c r="Q95" s="50"/>
    </row>
    <row r="96" spans="1:17" s="138" customFormat="1" ht="28.9">
      <c r="A96" s="168" t="s">
        <v>218</v>
      </c>
      <c r="B96" s="170"/>
      <c r="C96" s="171">
        <v>46093</v>
      </c>
      <c r="D96" s="171"/>
      <c r="E96" s="130"/>
      <c r="F96" s="465"/>
      <c r="G96" s="131"/>
      <c r="H96" s="487"/>
      <c r="I96" s="132"/>
      <c r="J96" s="132"/>
      <c r="K96" s="133"/>
      <c r="L96" s="134"/>
      <c r="M96" s="134"/>
      <c r="N96" s="135"/>
      <c r="O96" s="136"/>
      <c r="P96" s="137"/>
      <c r="Q96" s="137"/>
    </row>
    <row r="97" spans="1:20" ht="21.6" customHeight="1">
      <c r="B97" s="152" t="str">
        <f t="shared" si="3"/>
        <v>JULIETA SANTIAGO - IVAN PETRINI</v>
      </c>
      <c r="C97" s="25">
        <v>46107</v>
      </c>
      <c r="D97" s="272" t="s">
        <v>364</v>
      </c>
      <c r="E97" s="42" t="s">
        <v>443</v>
      </c>
      <c r="F97" s="416" t="s">
        <v>570</v>
      </c>
      <c r="G97" s="42" t="s">
        <v>12</v>
      </c>
      <c r="H97" s="417"/>
      <c r="I97" s="40">
        <v>42000</v>
      </c>
      <c r="J97" s="40"/>
      <c r="K97" s="48" t="s">
        <v>201</v>
      </c>
      <c r="L97" s="273" t="s">
        <v>209</v>
      </c>
      <c r="M97" s="273" t="s">
        <v>209</v>
      </c>
      <c r="N97" s="56"/>
      <c r="O97" s="2"/>
      <c r="P97" s="50"/>
      <c r="Q97" s="50"/>
    </row>
    <row r="98" spans="1:20" ht="21.6" customHeight="1">
      <c r="B98" s="152" t="str">
        <f t="shared" si="3"/>
        <v>JULIETA SANTIAGO - IVAN PETRINI</v>
      </c>
      <c r="C98" s="25">
        <v>46107</v>
      </c>
      <c r="D98" s="272" t="s">
        <v>364</v>
      </c>
      <c r="E98" s="42" t="s">
        <v>443</v>
      </c>
      <c r="F98" s="416" t="s">
        <v>528</v>
      </c>
      <c r="G98" s="42" t="s">
        <v>12</v>
      </c>
      <c r="H98" s="417"/>
      <c r="I98" s="40">
        <v>42000</v>
      </c>
      <c r="J98" s="40"/>
      <c r="K98" s="48" t="s">
        <v>201</v>
      </c>
      <c r="L98" s="273" t="s">
        <v>209</v>
      </c>
      <c r="M98" s="273" t="s">
        <v>209</v>
      </c>
      <c r="N98" s="56"/>
      <c r="O98" s="2"/>
      <c r="P98" s="50"/>
      <c r="Q98" s="50"/>
    </row>
    <row r="99" spans="1:20" s="138" customFormat="1" ht="28.9">
      <c r="A99" s="168" t="s">
        <v>218</v>
      </c>
      <c r="B99" s="170"/>
      <c r="C99" s="171">
        <v>46107</v>
      </c>
      <c r="D99" s="171"/>
      <c r="E99" s="130"/>
      <c r="F99" s="465"/>
      <c r="G99" s="131"/>
      <c r="H99" s="487"/>
      <c r="I99" s="132"/>
      <c r="J99" s="132"/>
      <c r="K99" s="133"/>
      <c r="L99" s="134"/>
      <c r="M99" s="134"/>
      <c r="N99" s="135"/>
      <c r="O99" s="136"/>
      <c r="P99" s="137"/>
      <c r="Q99" s="137"/>
    </row>
    <row r="100" spans="1:20" ht="21.6" customHeight="1">
      <c r="B100" s="152" t="str">
        <f t="shared" si="3"/>
        <v>JULIETA SANTIAGO - IVAN PETRINI</v>
      </c>
      <c r="C100" s="27">
        <v>46108</v>
      </c>
      <c r="D100" s="41" t="s">
        <v>571</v>
      </c>
      <c r="E100" s="271" t="s">
        <v>431</v>
      </c>
      <c r="F100" s="416" t="s">
        <v>572</v>
      </c>
      <c r="G100" s="42" t="s">
        <v>17</v>
      </c>
      <c r="H100" s="417" t="s">
        <v>10</v>
      </c>
      <c r="I100" s="40">
        <v>7462743</v>
      </c>
      <c r="J100" s="40"/>
      <c r="K100" s="48" t="s">
        <v>208</v>
      </c>
      <c r="L100" s="273" t="s">
        <v>209</v>
      </c>
      <c r="M100" s="56"/>
      <c r="N100" s="56" t="s">
        <v>461</v>
      </c>
      <c r="O100" s="2"/>
      <c r="P100" s="50"/>
      <c r="Q100" s="50"/>
    </row>
    <row r="101" spans="1:20" ht="21.6" customHeight="1">
      <c r="B101" s="152" t="str">
        <f t="shared" si="3"/>
        <v>JULIETA SANTIAGO - IVAN PETRINI</v>
      </c>
      <c r="C101" s="27">
        <v>46108</v>
      </c>
      <c r="D101" s="41" t="s">
        <v>573</v>
      </c>
      <c r="E101" s="271" t="s">
        <v>431</v>
      </c>
      <c r="F101" s="416" t="s">
        <v>574</v>
      </c>
      <c r="G101" s="42" t="s">
        <v>64</v>
      </c>
      <c r="H101" s="417" t="s">
        <v>481</v>
      </c>
      <c r="I101" s="40">
        <v>1383937.5</v>
      </c>
      <c r="J101" s="40"/>
      <c r="K101" s="48" t="s">
        <v>208</v>
      </c>
      <c r="L101" s="273" t="s">
        <v>209</v>
      </c>
      <c r="M101" s="56"/>
      <c r="N101" s="56"/>
      <c r="O101" s="2"/>
      <c r="P101" s="50"/>
      <c r="Q101" s="50"/>
    </row>
    <row r="102" spans="1:20" ht="21.6" customHeight="1">
      <c r="B102" s="152" t="str">
        <f t="shared" si="3"/>
        <v>JULIETA SANTIAGO - IVAN PETRINI</v>
      </c>
      <c r="C102" s="25">
        <v>46111</v>
      </c>
      <c r="D102" s="41" t="s">
        <v>575</v>
      </c>
      <c r="E102" s="271" t="s">
        <v>431</v>
      </c>
      <c r="F102" s="416" t="s">
        <v>576</v>
      </c>
      <c r="G102" s="42" t="s">
        <v>142</v>
      </c>
      <c r="H102" s="417" t="s">
        <v>106</v>
      </c>
      <c r="I102" s="40">
        <v>867000</v>
      </c>
      <c r="J102" s="40"/>
      <c r="K102" s="48" t="s">
        <v>208</v>
      </c>
      <c r="L102" s="273" t="s">
        <v>209</v>
      </c>
      <c r="M102" s="56"/>
      <c r="N102" s="56"/>
      <c r="O102" s="2"/>
      <c r="P102" s="50"/>
      <c r="Q102" s="50"/>
    </row>
    <row r="103" spans="1:20" s="138" customFormat="1" ht="28.9">
      <c r="A103" s="168" t="s">
        <v>218</v>
      </c>
      <c r="B103" s="156" t="str">
        <f t="shared" si="3"/>
        <v>JULIETA SANTIAGO - IVAN PETRINI</v>
      </c>
      <c r="C103" s="171">
        <v>46121</v>
      </c>
      <c r="D103" s="130"/>
      <c r="E103" s="317"/>
      <c r="F103" s="465"/>
      <c r="G103" s="131"/>
      <c r="H103" s="487"/>
      <c r="I103" s="132"/>
      <c r="J103" s="132"/>
      <c r="K103" s="368"/>
      <c r="L103" s="369"/>
      <c r="M103" s="135"/>
      <c r="N103" s="135"/>
      <c r="O103" s="140"/>
      <c r="P103" s="370"/>
      <c r="Q103" s="370"/>
      <c r="T103" s="371"/>
    </row>
    <row r="104" spans="1:20" ht="21.6" customHeight="1">
      <c r="B104" s="152" t="str">
        <f t="shared" si="3"/>
        <v>JULIETA SANTIAGO - IVAN PETRINI</v>
      </c>
      <c r="C104" s="25">
        <v>46127</v>
      </c>
      <c r="D104" s="41" t="s">
        <v>577</v>
      </c>
      <c r="E104" s="271" t="s">
        <v>431</v>
      </c>
      <c r="F104" s="416" t="s">
        <v>578</v>
      </c>
      <c r="G104" s="42" t="s">
        <v>142</v>
      </c>
      <c r="H104" s="417" t="s">
        <v>106</v>
      </c>
      <c r="I104" s="40">
        <v>255000</v>
      </c>
      <c r="J104" s="40"/>
      <c r="K104" s="48" t="s">
        <v>208</v>
      </c>
      <c r="L104" s="273" t="s">
        <v>209</v>
      </c>
      <c r="M104" s="56"/>
      <c r="N104" s="56" t="s">
        <v>305</v>
      </c>
      <c r="O104" s="2"/>
      <c r="P104" s="50"/>
      <c r="Q104" s="50"/>
    </row>
    <row r="105" spans="1:20" ht="21.6" customHeight="1">
      <c r="B105" s="27" t="str">
        <f t="shared" ref="B105:B109" si="4">+$E$3</f>
        <v>JULIETA SANTIAGO - IVAN PETRINI</v>
      </c>
      <c r="C105" s="25">
        <v>46128</v>
      </c>
      <c r="D105" s="41" t="s">
        <v>579</v>
      </c>
      <c r="E105" s="271" t="s">
        <v>431</v>
      </c>
      <c r="F105" s="416" t="s">
        <v>580</v>
      </c>
      <c r="G105" s="42" t="s">
        <v>65</v>
      </c>
      <c r="H105" s="417" t="s">
        <v>66</v>
      </c>
      <c r="I105" s="40">
        <v>180774</v>
      </c>
      <c r="J105" s="40"/>
      <c r="K105" s="48" t="s">
        <v>208</v>
      </c>
      <c r="L105" s="273" t="s">
        <v>209</v>
      </c>
      <c r="M105" s="56"/>
      <c r="N105" s="56" t="s">
        <v>305</v>
      </c>
      <c r="O105" s="2"/>
      <c r="P105" s="50"/>
      <c r="Q105" s="50"/>
    </row>
    <row r="106" spans="1:20" ht="21.6" customHeight="1">
      <c r="B106" s="152" t="str">
        <f t="shared" si="4"/>
        <v>JULIETA SANTIAGO - IVAN PETRINI</v>
      </c>
      <c r="C106" s="27">
        <v>46136</v>
      </c>
      <c r="D106" s="41" t="s">
        <v>581</v>
      </c>
      <c r="E106" s="271" t="s">
        <v>431</v>
      </c>
      <c r="F106" s="416" t="s">
        <v>582</v>
      </c>
      <c r="G106" s="42" t="s">
        <v>5</v>
      </c>
      <c r="H106" s="417" t="s">
        <v>106</v>
      </c>
      <c r="I106" s="40">
        <v>4055259.27</v>
      </c>
      <c r="J106" s="40"/>
      <c r="K106" s="48" t="s">
        <v>208</v>
      </c>
      <c r="L106" s="273" t="s">
        <v>209</v>
      </c>
      <c r="M106" s="56"/>
      <c r="N106" s="56" t="s">
        <v>305</v>
      </c>
      <c r="O106" s="2"/>
      <c r="P106" s="50"/>
      <c r="Q106" s="50"/>
    </row>
    <row r="107" spans="1:20" ht="21.6" customHeight="1">
      <c r="B107" s="152" t="str">
        <f t="shared" si="4"/>
        <v>JULIETA SANTIAGO - IVAN PETRINI</v>
      </c>
      <c r="C107" s="27">
        <v>46132</v>
      </c>
      <c r="D107" s="41" t="s">
        <v>583</v>
      </c>
      <c r="E107" s="271" t="s">
        <v>431</v>
      </c>
      <c r="F107" s="416" t="s">
        <v>584</v>
      </c>
      <c r="G107" s="42" t="s">
        <v>35</v>
      </c>
      <c r="H107" s="417" t="s">
        <v>585</v>
      </c>
      <c r="I107" s="40">
        <v>643921.79</v>
      </c>
      <c r="J107" s="40"/>
      <c r="K107" s="48" t="s">
        <v>208</v>
      </c>
      <c r="L107" s="273" t="s">
        <v>209</v>
      </c>
      <c r="M107" s="56"/>
      <c r="N107" s="56" t="s">
        <v>353</v>
      </c>
      <c r="O107" s="2"/>
      <c r="P107" s="50"/>
      <c r="Q107" s="50"/>
    </row>
    <row r="108" spans="1:20" ht="21.6" customHeight="1">
      <c r="B108" s="152" t="str">
        <f t="shared" si="4"/>
        <v>JULIETA SANTIAGO - IVAN PETRINI</v>
      </c>
      <c r="C108" s="27">
        <v>46134</v>
      </c>
      <c r="D108" s="41" t="s">
        <v>586</v>
      </c>
      <c r="E108" s="271" t="s">
        <v>431</v>
      </c>
      <c r="F108" s="416" t="s">
        <v>587</v>
      </c>
      <c r="G108" s="42" t="s">
        <v>122</v>
      </c>
      <c r="H108" s="417" t="s">
        <v>243</v>
      </c>
      <c r="I108" s="40">
        <v>199228.92</v>
      </c>
      <c r="J108" s="40"/>
      <c r="K108" s="48" t="s">
        <v>208</v>
      </c>
      <c r="L108" s="273" t="s">
        <v>209</v>
      </c>
      <c r="M108" s="56"/>
      <c r="N108" s="56" t="s">
        <v>353</v>
      </c>
      <c r="O108" s="2"/>
      <c r="P108" s="50"/>
      <c r="Q108" s="50"/>
    </row>
    <row r="109" spans="1:20" ht="21.6" customHeight="1">
      <c r="B109" s="152" t="str">
        <f t="shared" si="4"/>
        <v>JULIETA SANTIAGO - IVAN PETRINI</v>
      </c>
      <c r="C109" s="27">
        <v>46132</v>
      </c>
      <c r="D109" s="41" t="s">
        <v>588</v>
      </c>
      <c r="E109" s="271" t="s">
        <v>431</v>
      </c>
      <c r="F109" s="416" t="s">
        <v>589</v>
      </c>
      <c r="G109" s="42" t="s">
        <v>83</v>
      </c>
      <c r="H109" s="417" t="s">
        <v>207</v>
      </c>
      <c r="I109" s="40">
        <v>528124.88</v>
      </c>
      <c r="J109" s="40"/>
      <c r="K109" s="48" t="s">
        <v>208</v>
      </c>
      <c r="L109" s="273" t="s">
        <v>209</v>
      </c>
      <c r="M109" s="56"/>
      <c r="N109" s="56" t="s">
        <v>353</v>
      </c>
      <c r="O109" s="2"/>
      <c r="P109" s="50"/>
      <c r="Q109" s="50"/>
    </row>
    <row r="110" spans="1:20" ht="21.6" customHeight="1">
      <c r="B110" s="27" t="str">
        <f t="shared" ref="B110:B138" si="5">+$E$3</f>
        <v>JULIETA SANTIAGO - IVAN PETRINI</v>
      </c>
      <c r="C110" s="27">
        <v>46134</v>
      </c>
      <c r="D110" s="41" t="s">
        <v>590</v>
      </c>
      <c r="E110" s="271" t="s">
        <v>431</v>
      </c>
      <c r="F110" s="416" t="s">
        <v>591</v>
      </c>
      <c r="G110" s="42" t="s">
        <v>135</v>
      </c>
      <c r="H110" s="417" t="s">
        <v>556</v>
      </c>
      <c r="I110" s="40">
        <v>5854088.6600000001</v>
      </c>
      <c r="J110" s="40"/>
      <c r="K110" s="48" t="s">
        <v>208</v>
      </c>
      <c r="L110" s="273" t="s">
        <v>209</v>
      </c>
      <c r="M110" s="56"/>
      <c r="N110" s="56" t="s">
        <v>305</v>
      </c>
      <c r="O110" s="2"/>
      <c r="P110" s="50"/>
      <c r="Q110" s="50"/>
    </row>
    <row r="111" spans="1:20" ht="21.6" customHeight="1">
      <c r="B111" s="27" t="str">
        <f t="shared" si="5"/>
        <v>JULIETA SANTIAGO - IVAN PETRINI</v>
      </c>
      <c r="C111" s="27">
        <v>46136</v>
      </c>
      <c r="D111" s="41"/>
      <c r="E111" s="271" t="s">
        <v>431</v>
      </c>
      <c r="F111" s="416" t="s">
        <v>592</v>
      </c>
      <c r="G111" s="42" t="s">
        <v>95</v>
      </c>
      <c r="H111" s="417" t="s">
        <v>567</v>
      </c>
      <c r="I111" s="40">
        <v>310405.25</v>
      </c>
      <c r="J111" s="40"/>
      <c r="K111" s="48" t="s">
        <v>208</v>
      </c>
      <c r="L111" s="345" t="s">
        <v>209</v>
      </c>
      <c r="M111" s="56"/>
      <c r="N111" s="56" t="s">
        <v>353</v>
      </c>
      <c r="O111" s="2"/>
      <c r="P111" s="50"/>
      <c r="Q111" s="50"/>
    </row>
    <row r="112" spans="1:20" ht="21.6" customHeight="1">
      <c r="B112" s="27" t="str">
        <f t="shared" si="5"/>
        <v>JULIETA SANTIAGO - IVAN PETRINI</v>
      </c>
      <c r="C112" s="27">
        <v>46136</v>
      </c>
      <c r="D112" s="41"/>
      <c r="E112" s="271" t="s">
        <v>431</v>
      </c>
      <c r="F112" s="416" t="s">
        <v>593</v>
      </c>
      <c r="G112" s="42" t="s">
        <v>143</v>
      </c>
      <c r="H112" s="417" t="s">
        <v>344</v>
      </c>
      <c r="I112" s="40">
        <v>53450.25</v>
      </c>
      <c r="J112" s="40"/>
      <c r="K112" s="48" t="s">
        <v>208</v>
      </c>
      <c r="L112" s="345" t="s">
        <v>209</v>
      </c>
      <c r="M112" s="56"/>
      <c r="N112" s="56" t="s">
        <v>353</v>
      </c>
      <c r="O112" s="2"/>
      <c r="P112" s="50"/>
      <c r="Q112" s="50"/>
    </row>
    <row r="113" spans="1:20" ht="21.6" customHeight="1">
      <c r="B113" s="27" t="str">
        <f t="shared" si="5"/>
        <v>JULIETA SANTIAGO - IVAN PETRINI</v>
      </c>
      <c r="C113" s="27">
        <v>46141</v>
      </c>
      <c r="D113" s="272" t="s">
        <v>364</v>
      </c>
      <c r="E113" s="42" t="s">
        <v>443</v>
      </c>
      <c r="F113" s="416" t="s">
        <v>594</v>
      </c>
      <c r="G113" s="42" t="s">
        <v>79</v>
      </c>
      <c r="H113" s="417" t="s">
        <v>52</v>
      </c>
      <c r="I113" s="40">
        <v>170000</v>
      </c>
      <c r="J113" s="40"/>
      <c r="K113" s="48" t="s">
        <v>201</v>
      </c>
      <c r="L113" s="345" t="s">
        <v>209</v>
      </c>
      <c r="M113" s="345" t="s">
        <v>209</v>
      </c>
      <c r="N113" s="56" t="s">
        <v>353</v>
      </c>
      <c r="O113" s="2"/>
      <c r="P113" s="50"/>
      <c r="Q113" s="50"/>
    </row>
    <row r="114" spans="1:20" ht="21.6" customHeight="1">
      <c r="B114" s="27" t="str">
        <f t="shared" si="5"/>
        <v>JULIETA SANTIAGO - IVAN PETRINI</v>
      </c>
      <c r="C114" s="27">
        <v>46079</v>
      </c>
      <c r="D114" s="41" t="s">
        <v>595</v>
      </c>
      <c r="E114" s="271" t="s">
        <v>431</v>
      </c>
      <c r="F114" s="416" t="s">
        <v>562</v>
      </c>
      <c r="G114" s="42" t="s">
        <v>64</v>
      </c>
      <c r="H114" s="417" t="s">
        <v>481</v>
      </c>
      <c r="I114" s="40">
        <v>1007683.28</v>
      </c>
      <c r="J114" s="40"/>
      <c r="K114" s="48" t="s">
        <v>208</v>
      </c>
      <c r="L114" s="345" t="s">
        <v>209</v>
      </c>
      <c r="M114" s="56"/>
      <c r="N114" s="56" t="s">
        <v>305</v>
      </c>
      <c r="O114" s="2"/>
      <c r="P114" s="50"/>
      <c r="Q114" s="50"/>
    </row>
    <row r="115" spans="1:20" ht="21.6" customHeight="1">
      <c r="B115" s="27" t="str">
        <f>+$E$3</f>
        <v>JULIETA SANTIAGO - IVAN PETRINI</v>
      </c>
      <c r="C115" s="27">
        <v>46093</v>
      </c>
      <c r="D115" s="41" t="s">
        <v>596</v>
      </c>
      <c r="E115" s="271" t="s">
        <v>431</v>
      </c>
      <c r="F115" s="416" t="s">
        <v>597</v>
      </c>
      <c r="G115" s="42" t="s">
        <v>64</v>
      </c>
      <c r="H115" s="417" t="s">
        <v>481</v>
      </c>
      <c r="I115" s="40">
        <v>2359000.9500000002</v>
      </c>
      <c r="J115" s="40"/>
      <c r="K115" s="48" t="s">
        <v>208</v>
      </c>
      <c r="L115" s="345" t="s">
        <v>209</v>
      </c>
      <c r="M115" s="56"/>
      <c r="N115" s="56" t="s">
        <v>305</v>
      </c>
      <c r="O115" s="2"/>
      <c r="P115" s="50"/>
      <c r="Q115" s="50"/>
    </row>
    <row r="116" spans="1:20" ht="21.6" customHeight="1">
      <c r="B116" s="27" t="str">
        <f>+$E$3</f>
        <v>JULIETA SANTIAGO - IVAN PETRINI</v>
      </c>
      <c r="C116" s="27">
        <v>46111</v>
      </c>
      <c r="D116" s="41" t="s">
        <v>598</v>
      </c>
      <c r="E116" s="271" t="s">
        <v>431</v>
      </c>
      <c r="F116" s="416" t="s">
        <v>562</v>
      </c>
      <c r="G116" s="42" t="s">
        <v>64</v>
      </c>
      <c r="H116" s="417" t="s">
        <v>481</v>
      </c>
      <c r="I116" s="40">
        <v>1018767.8</v>
      </c>
      <c r="J116" s="40"/>
      <c r="K116" s="48" t="s">
        <v>208</v>
      </c>
      <c r="L116" s="345" t="s">
        <v>209</v>
      </c>
      <c r="M116" s="56"/>
      <c r="N116" s="56" t="s">
        <v>305</v>
      </c>
      <c r="O116" s="2"/>
      <c r="P116" s="50"/>
      <c r="Q116" s="50"/>
    </row>
    <row r="117" spans="1:20" ht="21.6" customHeight="1">
      <c r="B117" s="27" t="str">
        <f t="shared" si="5"/>
        <v>JULIETA SANTIAGO - IVAN PETRINI</v>
      </c>
      <c r="C117" s="27">
        <v>46142</v>
      </c>
      <c r="D117" s="272" t="s">
        <v>364</v>
      </c>
      <c r="E117" s="42" t="s">
        <v>443</v>
      </c>
      <c r="F117" s="416" t="s">
        <v>599</v>
      </c>
      <c r="G117" s="42" t="s">
        <v>76</v>
      </c>
      <c r="H117" s="417" t="s">
        <v>52</v>
      </c>
      <c r="I117" s="40">
        <v>176000</v>
      </c>
      <c r="J117" s="40"/>
      <c r="K117" s="48" t="s">
        <v>201</v>
      </c>
      <c r="L117" s="345" t="s">
        <v>209</v>
      </c>
      <c r="M117" s="345" t="s">
        <v>209</v>
      </c>
      <c r="N117" s="56" t="s">
        <v>305</v>
      </c>
      <c r="O117" s="2"/>
      <c r="P117" s="50"/>
      <c r="Q117" s="50"/>
    </row>
    <row r="118" spans="1:20" ht="21.6" customHeight="1">
      <c r="B118" s="27" t="str">
        <f>+$E$3</f>
        <v>JULIETA SANTIAGO - IVAN PETRINI</v>
      </c>
      <c r="C118" s="27">
        <v>46140</v>
      </c>
      <c r="D118" s="41" t="s">
        <v>600</v>
      </c>
      <c r="E118" s="271" t="s">
        <v>431</v>
      </c>
      <c r="F118" s="416" t="s">
        <v>601</v>
      </c>
      <c r="G118" s="39" t="s">
        <v>87</v>
      </c>
      <c r="H118" s="417" t="s">
        <v>55</v>
      </c>
      <c r="I118" s="40">
        <v>923351</v>
      </c>
      <c r="J118" s="40"/>
      <c r="K118" s="48" t="s">
        <v>208</v>
      </c>
      <c r="L118" s="345" t="s">
        <v>209</v>
      </c>
      <c r="M118" s="56"/>
      <c r="N118" s="56" t="s">
        <v>353</v>
      </c>
      <c r="O118" s="2"/>
      <c r="P118" s="50"/>
      <c r="Q118" s="50"/>
    </row>
    <row r="119" spans="1:20" ht="21.6" customHeight="1">
      <c r="B119" s="27" t="str">
        <f>+$E$3</f>
        <v>JULIETA SANTIAGO - IVAN PETRINI</v>
      </c>
      <c r="C119" s="27">
        <v>46148</v>
      </c>
      <c r="D119" s="272" t="s">
        <v>364</v>
      </c>
      <c r="E119" s="42" t="s">
        <v>443</v>
      </c>
      <c r="F119" s="416" t="s">
        <v>602</v>
      </c>
      <c r="G119" s="42" t="s">
        <v>127</v>
      </c>
      <c r="H119" s="417" t="s">
        <v>128</v>
      </c>
      <c r="I119" s="40">
        <v>3600000</v>
      </c>
      <c r="J119" s="40"/>
      <c r="K119" s="6" t="s">
        <v>201</v>
      </c>
      <c r="L119" s="345" t="s">
        <v>209</v>
      </c>
      <c r="M119" s="56"/>
      <c r="N119" s="56" t="s">
        <v>353</v>
      </c>
      <c r="O119" s="2"/>
      <c r="P119" s="50"/>
      <c r="Q119" s="50"/>
    </row>
    <row r="120" spans="1:20" s="138" customFormat="1" ht="28.9">
      <c r="A120" s="168" t="s">
        <v>218</v>
      </c>
      <c r="B120" s="156" t="str">
        <f t="shared" ref="B120" si="6">+$E$3</f>
        <v>JULIETA SANTIAGO - IVAN PETRINI</v>
      </c>
      <c r="C120" s="171">
        <v>46149</v>
      </c>
      <c r="D120" s="130"/>
      <c r="E120" s="317"/>
      <c r="F120" s="465"/>
      <c r="G120" s="131"/>
      <c r="H120" s="487"/>
      <c r="I120" s="132"/>
      <c r="J120" s="132"/>
      <c r="K120" s="368"/>
      <c r="L120" s="369"/>
      <c r="M120" s="135"/>
      <c r="N120" s="135"/>
      <c r="O120" s="140"/>
      <c r="P120" s="370"/>
      <c r="Q120" s="370"/>
      <c r="T120" s="371"/>
    </row>
    <row r="121" spans="1:20" ht="21.6" customHeight="1">
      <c r="B121" s="27" t="str">
        <f>+$E$3</f>
        <v>JULIETA SANTIAGO - IVAN PETRINI</v>
      </c>
      <c r="C121" s="27">
        <v>46150</v>
      </c>
      <c r="D121" s="41" t="s">
        <v>603</v>
      </c>
      <c r="E121" s="271" t="s">
        <v>431</v>
      </c>
      <c r="F121" s="416" t="s">
        <v>604</v>
      </c>
      <c r="G121" s="42" t="s">
        <v>5</v>
      </c>
      <c r="H121" s="417" t="s">
        <v>8</v>
      </c>
      <c r="I121" s="40">
        <v>9095997.4000000004</v>
      </c>
      <c r="J121" s="40"/>
      <c r="K121" s="48" t="s">
        <v>208</v>
      </c>
      <c r="L121" s="345" t="s">
        <v>209</v>
      </c>
      <c r="M121" s="56"/>
      <c r="N121" s="56" t="s">
        <v>305</v>
      </c>
      <c r="O121" s="2"/>
      <c r="P121" s="50"/>
      <c r="Q121" s="50"/>
    </row>
    <row r="122" spans="1:20" ht="21.6" customHeight="1">
      <c r="B122" s="27" t="str">
        <f t="shared" ref="B122:B137" si="7">+$E$3</f>
        <v>JULIETA SANTIAGO - IVAN PETRINI</v>
      </c>
      <c r="C122" s="27">
        <v>46150</v>
      </c>
      <c r="D122" s="41" t="s">
        <v>605</v>
      </c>
      <c r="E122" s="271" t="s">
        <v>431</v>
      </c>
      <c r="F122" s="416" t="s">
        <v>606</v>
      </c>
      <c r="G122" s="42" t="s">
        <v>5</v>
      </c>
      <c r="H122" s="417" t="s">
        <v>8</v>
      </c>
      <c r="I122" s="40">
        <v>2256770.67</v>
      </c>
      <c r="J122" s="40"/>
      <c r="K122" s="48" t="s">
        <v>208</v>
      </c>
      <c r="L122" s="345" t="s">
        <v>209</v>
      </c>
      <c r="M122" s="56"/>
      <c r="N122" s="56" t="s">
        <v>305</v>
      </c>
      <c r="O122" s="2"/>
      <c r="P122" s="50"/>
      <c r="Q122" s="50"/>
    </row>
    <row r="123" spans="1:20" ht="21.6" customHeight="1">
      <c r="B123" s="27" t="str">
        <f t="shared" si="7"/>
        <v>JULIETA SANTIAGO - IVAN PETRINI</v>
      </c>
      <c r="C123" s="27">
        <v>46153</v>
      </c>
      <c r="D123" s="41" t="s">
        <v>607</v>
      </c>
      <c r="E123" s="271" t="s">
        <v>431</v>
      </c>
      <c r="F123" s="416" t="s">
        <v>608</v>
      </c>
      <c r="G123" s="42" t="s">
        <v>22</v>
      </c>
      <c r="H123" s="417" t="s">
        <v>270</v>
      </c>
      <c r="I123" s="40">
        <v>162660</v>
      </c>
      <c r="J123" s="40"/>
      <c r="K123" s="48" t="s">
        <v>208</v>
      </c>
      <c r="L123" s="345" t="s">
        <v>209</v>
      </c>
      <c r="M123" s="56"/>
      <c r="N123" s="56" t="s">
        <v>305</v>
      </c>
      <c r="O123" s="2"/>
      <c r="P123" s="50"/>
      <c r="Q123" s="50"/>
    </row>
    <row r="124" spans="1:20" ht="21.6" customHeight="1">
      <c r="B124" s="27" t="str">
        <f t="shared" ref="B124:B129" si="8">+$E$3</f>
        <v>JULIETA SANTIAGO - IVAN PETRINI</v>
      </c>
      <c r="C124" s="27">
        <v>46154</v>
      </c>
      <c r="D124" s="41" t="s">
        <v>609</v>
      </c>
      <c r="E124" s="271" t="s">
        <v>431</v>
      </c>
      <c r="F124" s="416" t="s">
        <v>610</v>
      </c>
      <c r="G124" s="42" t="s">
        <v>143</v>
      </c>
      <c r="H124" s="417" t="s">
        <v>344</v>
      </c>
      <c r="I124" s="40">
        <v>3822328.43</v>
      </c>
      <c r="J124" s="40"/>
      <c r="K124" s="48" t="s">
        <v>208</v>
      </c>
      <c r="L124" s="345" t="s">
        <v>209</v>
      </c>
      <c r="M124" s="56"/>
      <c r="N124" s="56" t="s">
        <v>305</v>
      </c>
      <c r="O124" s="2"/>
      <c r="P124" s="50"/>
      <c r="Q124" s="50"/>
    </row>
    <row r="125" spans="1:20" ht="21.6" customHeight="1">
      <c r="B125" s="27" t="str">
        <f t="shared" si="8"/>
        <v>JULIETA SANTIAGO - IVAN PETRINI</v>
      </c>
      <c r="C125" s="27">
        <v>46154</v>
      </c>
      <c r="D125" s="41" t="s">
        <v>611</v>
      </c>
      <c r="E125" s="271" t="s">
        <v>431</v>
      </c>
      <c r="F125" s="416" t="s">
        <v>612</v>
      </c>
      <c r="G125" s="42" t="s">
        <v>143</v>
      </c>
      <c r="H125" s="417" t="s">
        <v>344</v>
      </c>
      <c r="I125" s="40">
        <v>1650601.41</v>
      </c>
      <c r="J125" s="40"/>
      <c r="K125" s="48" t="s">
        <v>208</v>
      </c>
      <c r="L125" s="345" t="s">
        <v>209</v>
      </c>
      <c r="M125" s="56"/>
      <c r="N125" s="56" t="s">
        <v>305</v>
      </c>
      <c r="O125" s="2"/>
      <c r="P125" s="50"/>
      <c r="Q125" s="50"/>
    </row>
    <row r="126" spans="1:20" ht="21.6" customHeight="1">
      <c r="B126" s="27" t="str">
        <f t="shared" si="8"/>
        <v>JULIETA SANTIAGO - IVAN PETRINI</v>
      </c>
      <c r="C126" s="27">
        <v>46128</v>
      </c>
      <c r="D126" s="272" t="s">
        <v>364</v>
      </c>
      <c r="E126" s="42" t="s">
        <v>443</v>
      </c>
      <c r="F126" s="416" t="s">
        <v>613</v>
      </c>
      <c r="G126" s="42" t="s">
        <v>105</v>
      </c>
      <c r="H126" s="417" t="s">
        <v>106</v>
      </c>
      <c r="I126" s="40">
        <v>1156320.5</v>
      </c>
      <c r="J126" s="40"/>
      <c r="K126" s="6" t="s">
        <v>201</v>
      </c>
      <c r="L126" s="345" t="s">
        <v>209</v>
      </c>
      <c r="M126" s="56"/>
      <c r="N126" s="56" t="s">
        <v>305</v>
      </c>
      <c r="O126" s="2"/>
      <c r="P126" s="50"/>
      <c r="Q126" s="50"/>
    </row>
    <row r="127" spans="1:20" ht="21.6" customHeight="1">
      <c r="B127" s="27" t="str">
        <f t="shared" si="8"/>
        <v>JULIETA SANTIAGO - IVAN PETRINI</v>
      </c>
      <c r="C127" s="27">
        <v>46150</v>
      </c>
      <c r="D127" s="272" t="s">
        <v>364</v>
      </c>
      <c r="E127" s="42" t="s">
        <v>443</v>
      </c>
      <c r="F127" s="416" t="s">
        <v>614</v>
      </c>
      <c r="G127" s="39" t="s">
        <v>151</v>
      </c>
      <c r="H127" s="86" t="s">
        <v>106</v>
      </c>
      <c r="I127" s="40">
        <v>234000</v>
      </c>
      <c r="J127" s="40"/>
      <c r="K127" s="6" t="s">
        <v>201</v>
      </c>
      <c r="L127" s="345" t="s">
        <v>209</v>
      </c>
      <c r="M127" s="56"/>
      <c r="N127" s="56" t="s">
        <v>305</v>
      </c>
      <c r="O127" s="2"/>
      <c r="P127" s="50"/>
      <c r="Q127" s="50"/>
    </row>
    <row r="128" spans="1:20" ht="21.6" customHeight="1">
      <c r="B128" s="27" t="str">
        <f t="shared" si="8"/>
        <v>JULIETA SANTIAGO - IVAN PETRINI</v>
      </c>
      <c r="C128" s="27">
        <v>46149</v>
      </c>
      <c r="D128" s="41" t="s">
        <v>615</v>
      </c>
      <c r="E128" s="271" t="s">
        <v>431</v>
      </c>
      <c r="F128" s="416" t="s">
        <v>597</v>
      </c>
      <c r="G128" s="42" t="s">
        <v>64</v>
      </c>
      <c r="H128" s="417" t="s">
        <v>481</v>
      </c>
      <c r="I128" s="40">
        <v>2384949.9500000002</v>
      </c>
      <c r="J128" s="40"/>
      <c r="K128" s="48" t="s">
        <v>208</v>
      </c>
      <c r="L128" s="345" t="s">
        <v>209</v>
      </c>
      <c r="M128" s="56"/>
      <c r="N128" s="56" t="s">
        <v>305</v>
      </c>
      <c r="O128" s="2"/>
      <c r="P128" s="50"/>
      <c r="Q128" s="50"/>
    </row>
    <row r="129" spans="1:20" ht="21.6" customHeight="1">
      <c r="B129" s="27" t="str">
        <f t="shared" si="8"/>
        <v>JULIETA SANTIAGO - IVAN PETRINI</v>
      </c>
      <c r="C129" s="27">
        <v>46156</v>
      </c>
      <c r="D129" s="272" t="s">
        <v>364</v>
      </c>
      <c r="E129" s="42" t="s">
        <v>443</v>
      </c>
      <c r="F129" s="416" t="s">
        <v>616</v>
      </c>
      <c r="G129" s="42" t="s">
        <v>76</v>
      </c>
      <c r="H129" s="417" t="s">
        <v>52</v>
      </c>
      <c r="I129" s="40">
        <v>124000</v>
      </c>
      <c r="J129" s="40"/>
      <c r="K129" s="6" t="s">
        <v>201</v>
      </c>
      <c r="L129" s="345" t="s">
        <v>209</v>
      </c>
      <c r="M129" s="56"/>
      <c r="N129" s="56" t="s">
        <v>305</v>
      </c>
      <c r="O129" s="2"/>
      <c r="P129" s="50"/>
      <c r="Q129" s="50"/>
    </row>
    <row r="130" spans="1:20" ht="21.6" customHeight="1">
      <c r="B130" s="27" t="str">
        <f t="shared" ref="B130:B135" si="9">+$E$3</f>
        <v>JULIETA SANTIAGO - IVAN PETRINI</v>
      </c>
      <c r="C130" s="27">
        <v>46169</v>
      </c>
      <c r="D130" s="41" t="s">
        <v>617</v>
      </c>
      <c r="E130" s="271" t="s">
        <v>431</v>
      </c>
      <c r="F130" s="416" t="s">
        <v>618</v>
      </c>
      <c r="G130" s="42" t="s">
        <v>135</v>
      </c>
      <c r="H130" s="417" t="s">
        <v>556</v>
      </c>
      <c r="I130" s="40">
        <v>16199908.68</v>
      </c>
      <c r="J130" s="40"/>
      <c r="K130" s="48" t="s">
        <v>208</v>
      </c>
      <c r="L130" s="345" t="s">
        <v>209</v>
      </c>
      <c r="M130" s="56"/>
      <c r="N130" s="56" t="s">
        <v>305</v>
      </c>
      <c r="O130" s="2"/>
      <c r="P130" s="50"/>
      <c r="Q130" s="50"/>
    </row>
    <row r="131" spans="1:20" ht="21.6" customHeight="1">
      <c r="B131" s="27" t="str">
        <f t="shared" si="9"/>
        <v>JULIETA SANTIAGO - IVAN PETRINI</v>
      </c>
      <c r="C131" s="27">
        <v>46164</v>
      </c>
      <c r="D131" s="41" t="s">
        <v>619</v>
      </c>
      <c r="E131" s="271" t="s">
        <v>431</v>
      </c>
      <c r="F131" s="416" t="s">
        <v>620</v>
      </c>
      <c r="G131" s="42" t="s">
        <v>143</v>
      </c>
      <c r="H131" s="417" t="s">
        <v>344</v>
      </c>
      <c r="I131" s="40">
        <v>392143.04</v>
      </c>
      <c r="J131" s="40"/>
      <c r="K131" s="48" t="s">
        <v>208</v>
      </c>
      <c r="L131" s="345" t="s">
        <v>209</v>
      </c>
      <c r="M131" s="56"/>
      <c r="N131" s="56" t="s">
        <v>305</v>
      </c>
      <c r="O131" s="2"/>
      <c r="P131" s="50"/>
      <c r="Q131" s="50"/>
    </row>
    <row r="132" spans="1:20" ht="21.6" customHeight="1">
      <c r="B132" s="27" t="str">
        <f t="shared" si="9"/>
        <v>JULIETA SANTIAGO - IVAN PETRINI</v>
      </c>
      <c r="C132" s="27">
        <v>46164</v>
      </c>
      <c r="D132" s="41" t="s">
        <v>621</v>
      </c>
      <c r="E132" s="271" t="s">
        <v>431</v>
      </c>
      <c r="F132" s="416" t="s">
        <v>521</v>
      </c>
      <c r="G132" s="42" t="s">
        <v>143</v>
      </c>
      <c r="H132" s="417" t="s">
        <v>344</v>
      </c>
      <c r="I132" s="40">
        <v>2211258.11</v>
      </c>
      <c r="J132" s="40"/>
      <c r="K132" s="48" t="s">
        <v>208</v>
      </c>
      <c r="L132" s="345" t="s">
        <v>209</v>
      </c>
      <c r="M132" s="56"/>
      <c r="N132" s="56" t="s">
        <v>305</v>
      </c>
      <c r="O132" s="2"/>
      <c r="P132" s="50"/>
      <c r="Q132" s="50"/>
    </row>
    <row r="133" spans="1:20" ht="21.6" customHeight="1">
      <c r="B133" s="27" t="str">
        <f t="shared" si="9"/>
        <v>JULIETA SANTIAGO - IVAN PETRINI</v>
      </c>
      <c r="C133" s="27">
        <v>46164</v>
      </c>
      <c r="D133" s="41" t="s">
        <v>622</v>
      </c>
      <c r="E133" s="271" t="s">
        <v>431</v>
      </c>
      <c r="F133" s="416" t="s">
        <v>623</v>
      </c>
      <c r="G133" s="42" t="s">
        <v>119</v>
      </c>
      <c r="H133" s="417" t="s">
        <v>624</v>
      </c>
      <c r="I133" s="40">
        <v>3562878.98</v>
      </c>
      <c r="J133" s="40"/>
      <c r="K133" s="48" t="s">
        <v>208</v>
      </c>
      <c r="L133" s="345" t="s">
        <v>209</v>
      </c>
      <c r="M133" s="56"/>
      <c r="N133" s="56"/>
      <c r="O133" s="2"/>
      <c r="P133" s="50"/>
      <c r="Q133" s="50"/>
    </row>
    <row r="134" spans="1:20" ht="21.6" customHeight="1">
      <c r="B134" s="27" t="str">
        <f t="shared" si="9"/>
        <v>JULIETA SANTIAGO - IVAN PETRINI</v>
      </c>
      <c r="C134" s="27">
        <v>46164</v>
      </c>
      <c r="D134" s="38"/>
      <c r="E134" s="271" t="s">
        <v>431</v>
      </c>
      <c r="F134" s="416" t="s">
        <v>592</v>
      </c>
      <c r="G134" s="42" t="s">
        <v>95</v>
      </c>
      <c r="H134" s="417" t="s">
        <v>567</v>
      </c>
      <c r="I134" s="40">
        <v>310405.25</v>
      </c>
      <c r="J134" s="40"/>
      <c r="K134" s="48" t="s">
        <v>208</v>
      </c>
      <c r="L134" s="345" t="s">
        <v>209</v>
      </c>
      <c r="M134" s="56"/>
      <c r="N134" s="56" t="s">
        <v>305</v>
      </c>
      <c r="O134" s="2"/>
      <c r="P134" s="50"/>
      <c r="Q134" s="50"/>
    </row>
    <row r="135" spans="1:20" ht="21.6" customHeight="1">
      <c r="B135" s="27" t="str">
        <f t="shared" si="9"/>
        <v>JULIETA SANTIAGO - IVAN PETRINI</v>
      </c>
      <c r="C135" s="27">
        <v>46168</v>
      </c>
      <c r="D135" s="272" t="s">
        <v>364</v>
      </c>
      <c r="E135" s="42" t="s">
        <v>443</v>
      </c>
      <c r="F135" s="416" t="s">
        <v>625</v>
      </c>
      <c r="G135" s="42" t="s">
        <v>76</v>
      </c>
      <c r="H135" s="417" t="s">
        <v>52</v>
      </c>
      <c r="I135" s="40">
        <v>155000</v>
      </c>
      <c r="J135" s="40"/>
      <c r="K135" s="6" t="s">
        <v>201</v>
      </c>
      <c r="L135" s="345" t="s">
        <v>209</v>
      </c>
      <c r="M135" s="56"/>
      <c r="N135" s="56" t="s">
        <v>305</v>
      </c>
      <c r="O135" s="2"/>
      <c r="P135" s="50"/>
      <c r="Q135" s="50"/>
    </row>
    <row r="136" spans="1:20" ht="21.6" customHeight="1">
      <c r="B136" s="27" t="str">
        <f>+$E$3</f>
        <v>JULIETA SANTIAGO - IVAN PETRINI</v>
      </c>
      <c r="C136" s="27">
        <v>46139</v>
      </c>
      <c r="D136" s="41" t="s">
        <v>626</v>
      </c>
      <c r="E136" s="271" t="s">
        <v>431</v>
      </c>
      <c r="F136" s="416" t="s">
        <v>562</v>
      </c>
      <c r="G136" s="42" t="s">
        <v>64</v>
      </c>
      <c r="H136" s="417" t="s">
        <v>481</v>
      </c>
      <c r="I136" s="40">
        <v>1027936.71</v>
      </c>
      <c r="J136" s="40"/>
      <c r="K136" s="48" t="s">
        <v>208</v>
      </c>
      <c r="L136" s="345" t="s">
        <v>209</v>
      </c>
      <c r="M136" s="56"/>
      <c r="N136" s="56" t="s">
        <v>305</v>
      </c>
      <c r="O136" s="2"/>
      <c r="P136" s="50"/>
      <c r="Q136" s="50"/>
    </row>
    <row r="137" spans="1:20" s="138" customFormat="1" ht="28.9">
      <c r="A137" s="168" t="s">
        <v>218</v>
      </c>
      <c r="B137" s="156" t="str">
        <f t="shared" si="7"/>
        <v>JULIETA SANTIAGO - IVAN PETRINI</v>
      </c>
      <c r="C137" s="171">
        <v>46163</v>
      </c>
      <c r="D137" s="130"/>
      <c r="E137" s="317"/>
      <c r="F137" s="465"/>
      <c r="G137" s="131"/>
      <c r="H137" s="487"/>
      <c r="I137" s="132"/>
      <c r="J137" s="132"/>
      <c r="K137" s="368"/>
      <c r="L137" s="369"/>
      <c r="M137" s="135"/>
      <c r="N137" s="135"/>
      <c r="O137" s="140"/>
      <c r="P137" s="370"/>
      <c r="Q137" s="370"/>
      <c r="T137" s="371"/>
    </row>
    <row r="138" spans="1:20" ht="20.45" customHeight="1">
      <c r="B138" s="27" t="str">
        <f t="shared" si="5"/>
        <v>JULIETA SANTIAGO - IVAN PETRINI</v>
      </c>
      <c r="C138" s="27">
        <v>46178</v>
      </c>
      <c r="D138" s="272" t="s">
        <v>364</v>
      </c>
      <c r="E138" s="42" t="s">
        <v>443</v>
      </c>
      <c r="F138" s="416" t="s">
        <v>627</v>
      </c>
      <c r="G138" s="42" t="s">
        <v>124</v>
      </c>
      <c r="H138" s="417" t="s">
        <v>628</v>
      </c>
      <c r="I138" s="40">
        <v>1780000</v>
      </c>
      <c r="J138" s="40"/>
      <c r="K138" s="48" t="s">
        <v>629</v>
      </c>
      <c r="L138" s="345" t="s">
        <v>209</v>
      </c>
      <c r="M138" s="56"/>
      <c r="N138" s="56" t="s">
        <v>305</v>
      </c>
      <c r="O138" s="2"/>
      <c r="P138" s="50"/>
      <c r="Q138" s="50"/>
    </row>
    <row r="139" spans="1:20" ht="19.149999999999999" customHeight="1">
      <c r="B139" s="27" t="str">
        <f t="shared" ref="B139:B154" si="10">+$E$3</f>
        <v>JULIETA SANTIAGO - IVAN PETRINI</v>
      </c>
      <c r="C139" s="27">
        <v>46181</v>
      </c>
      <c r="D139" s="272" t="s">
        <v>364</v>
      </c>
      <c r="E139" s="42" t="s">
        <v>443</v>
      </c>
      <c r="F139" s="416" t="s">
        <v>630</v>
      </c>
      <c r="G139" s="42" t="s">
        <v>21</v>
      </c>
      <c r="H139" s="417" t="s">
        <v>321</v>
      </c>
      <c r="I139" s="40">
        <v>115000</v>
      </c>
      <c r="J139" s="40"/>
      <c r="K139" s="48" t="s">
        <v>629</v>
      </c>
      <c r="L139" s="345" t="s">
        <v>209</v>
      </c>
      <c r="M139" s="56"/>
      <c r="N139" s="56" t="s">
        <v>305</v>
      </c>
      <c r="O139" s="2"/>
      <c r="P139" s="50"/>
      <c r="Q139" s="50"/>
    </row>
    <row r="140" spans="1:20" ht="21.6" customHeight="1">
      <c r="B140" s="27" t="str">
        <f t="shared" si="10"/>
        <v>JULIETA SANTIAGO - IVAN PETRINI</v>
      </c>
      <c r="C140" s="27">
        <v>46183</v>
      </c>
      <c r="D140" s="272" t="s">
        <v>364</v>
      </c>
      <c r="E140" s="42" t="s">
        <v>443</v>
      </c>
      <c r="F140" s="416" t="s">
        <v>631</v>
      </c>
      <c r="G140" s="42" t="s">
        <v>2</v>
      </c>
      <c r="H140" s="417" t="s">
        <v>632</v>
      </c>
      <c r="I140" s="40">
        <v>1275000</v>
      </c>
      <c r="J140" s="40"/>
      <c r="K140" s="48" t="s">
        <v>201</v>
      </c>
      <c r="L140" s="345" t="s">
        <v>209</v>
      </c>
      <c r="M140" s="56"/>
      <c r="N140" s="56" t="s">
        <v>305</v>
      </c>
      <c r="O140" s="2"/>
      <c r="P140" s="50"/>
      <c r="Q140" s="50"/>
    </row>
    <row r="141" spans="1:20" ht="17.45" customHeight="1">
      <c r="B141" s="27" t="str">
        <f t="shared" si="10"/>
        <v>JULIETA SANTIAGO - IVAN PETRINI</v>
      </c>
      <c r="C141" s="27">
        <v>46185</v>
      </c>
      <c r="D141" s="272" t="s">
        <v>364</v>
      </c>
      <c r="E141" s="42" t="s">
        <v>443</v>
      </c>
      <c r="F141" s="416" t="s">
        <v>633</v>
      </c>
      <c r="G141" s="42" t="s">
        <v>21</v>
      </c>
      <c r="H141" s="417" t="s">
        <v>321</v>
      </c>
      <c r="I141" s="40">
        <v>230000</v>
      </c>
      <c r="J141" s="40"/>
      <c r="K141" s="48" t="s">
        <v>629</v>
      </c>
      <c r="L141" s="345" t="s">
        <v>209</v>
      </c>
      <c r="M141" s="56"/>
      <c r="N141" s="56" t="s">
        <v>305</v>
      </c>
      <c r="O141" s="2"/>
      <c r="P141" s="50"/>
      <c r="Q141" s="50"/>
    </row>
    <row r="142" spans="1:20" ht="19.149999999999999" customHeight="1">
      <c r="B142" s="27" t="str">
        <f t="shared" si="10"/>
        <v>JULIETA SANTIAGO - IVAN PETRINI</v>
      </c>
      <c r="C142" s="27">
        <v>46182</v>
      </c>
      <c r="D142" s="272" t="s">
        <v>364</v>
      </c>
      <c r="E142" s="42" t="s">
        <v>443</v>
      </c>
      <c r="F142" s="85" t="s">
        <v>634</v>
      </c>
      <c r="G142" s="42" t="s">
        <v>79</v>
      </c>
      <c r="H142" s="86" t="s">
        <v>52</v>
      </c>
      <c r="I142" s="40">
        <v>60000</v>
      </c>
      <c r="J142" s="40"/>
      <c r="K142" s="48" t="s">
        <v>629</v>
      </c>
      <c r="L142" s="345" t="s">
        <v>209</v>
      </c>
      <c r="M142" s="56"/>
      <c r="N142" s="56" t="s">
        <v>305</v>
      </c>
      <c r="O142" s="2"/>
      <c r="P142" s="50"/>
      <c r="Q142" s="50"/>
    </row>
    <row r="143" spans="1:20" ht="18.600000000000001" customHeight="1">
      <c r="B143" s="27" t="str">
        <f t="shared" si="10"/>
        <v>JULIETA SANTIAGO - IVAN PETRINI</v>
      </c>
      <c r="C143" s="27">
        <v>46119</v>
      </c>
      <c r="D143" s="41" t="s">
        <v>615</v>
      </c>
      <c r="E143" s="271" t="s">
        <v>431</v>
      </c>
      <c r="F143" s="416" t="s">
        <v>597</v>
      </c>
      <c r="G143" s="42" t="s">
        <v>64</v>
      </c>
      <c r="H143" s="417" t="s">
        <v>481</v>
      </c>
      <c r="I143" s="40">
        <v>2384949.9500000002</v>
      </c>
      <c r="J143" s="40"/>
      <c r="K143" s="48" t="s">
        <v>208</v>
      </c>
      <c r="L143" s="345" t="s">
        <v>209</v>
      </c>
      <c r="M143" s="56"/>
      <c r="N143" s="56" t="s">
        <v>305</v>
      </c>
      <c r="O143" s="2"/>
      <c r="P143" s="50"/>
      <c r="Q143" s="50"/>
    </row>
    <row r="144" spans="1:20" ht="19.149999999999999" customHeight="1">
      <c r="B144" s="27" t="str">
        <f t="shared" si="10"/>
        <v>JULIETA SANTIAGO - IVAN PETRINI</v>
      </c>
      <c r="C144" s="27">
        <v>46181</v>
      </c>
      <c r="D144" s="41" t="s">
        <v>635</v>
      </c>
      <c r="E144" s="271" t="s">
        <v>431</v>
      </c>
      <c r="F144" s="416" t="s">
        <v>636</v>
      </c>
      <c r="G144" s="42" t="s">
        <v>17</v>
      </c>
      <c r="H144" s="417" t="s">
        <v>270</v>
      </c>
      <c r="I144" s="40">
        <v>7589806.4000000004</v>
      </c>
      <c r="J144" s="40"/>
      <c r="K144" s="48" t="s">
        <v>208</v>
      </c>
      <c r="L144" s="345" t="s">
        <v>209</v>
      </c>
      <c r="M144" s="56"/>
      <c r="N144" s="56" t="s">
        <v>461</v>
      </c>
      <c r="O144" s="2"/>
      <c r="P144" s="50"/>
      <c r="Q144" s="50"/>
    </row>
    <row r="145" spans="1:20" ht="17.45" customHeight="1">
      <c r="B145" s="27" t="str">
        <f t="shared" si="10"/>
        <v>JULIETA SANTIAGO - IVAN PETRINI</v>
      </c>
      <c r="C145" s="27">
        <v>46184</v>
      </c>
      <c r="D145" s="41" t="s">
        <v>637</v>
      </c>
      <c r="E145" s="271" t="s">
        <v>431</v>
      </c>
      <c r="F145" s="416" t="s">
        <v>638</v>
      </c>
      <c r="G145" s="42" t="s">
        <v>17</v>
      </c>
      <c r="H145" s="417" t="s">
        <v>270</v>
      </c>
      <c r="I145" s="40">
        <v>3521695</v>
      </c>
      <c r="J145" s="40"/>
      <c r="K145" s="48" t="s">
        <v>208</v>
      </c>
      <c r="L145" s="345" t="s">
        <v>209</v>
      </c>
      <c r="M145" s="56"/>
      <c r="N145" s="56" t="s">
        <v>461</v>
      </c>
      <c r="O145" s="2"/>
      <c r="P145" s="50"/>
      <c r="Q145" s="50"/>
    </row>
    <row r="146" spans="1:20" ht="18.600000000000001" customHeight="1">
      <c r="B146" s="27" t="str">
        <f t="shared" si="10"/>
        <v>JULIETA SANTIAGO - IVAN PETRINI</v>
      </c>
      <c r="C146" s="27">
        <v>46184</v>
      </c>
      <c r="D146" s="41" t="s">
        <v>639</v>
      </c>
      <c r="E146" s="271" t="s">
        <v>431</v>
      </c>
      <c r="F146" s="416" t="s">
        <v>640</v>
      </c>
      <c r="G146" s="42" t="s">
        <v>81</v>
      </c>
      <c r="H146" s="417" t="s">
        <v>641</v>
      </c>
      <c r="I146" s="40">
        <v>22134303.609999999</v>
      </c>
      <c r="J146" s="40"/>
      <c r="K146" s="48" t="s">
        <v>208</v>
      </c>
      <c r="L146" s="345" t="s">
        <v>209</v>
      </c>
      <c r="M146" s="56"/>
      <c r="N146" s="56" t="s">
        <v>353</v>
      </c>
      <c r="O146" s="2"/>
      <c r="P146" s="50"/>
      <c r="Q146" s="50"/>
    </row>
    <row r="147" spans="1:20" ht="18" customHeight="1">
      <c r="B147" s="27" t="str">
        <f t="shared" si="10"/>
        <v>JULIETA SANTIAGO - IVAN PETRINI</v>
      </c>
      <c r="C147" s="27">
        <v>46189</v>
      </c>
      <c r="D147" s="272" t="s">
        <v>364</v>
      </c>
      <c r="E147" s="42" t="s">
        <v>443</v>
      </c>
      <c r="F147" s="416" t="s">
        <v>602</v>
      </c>
      <c r="G147" s="42" t="s">
        <v>127</v>
      </c>
      <c r="H147" s="417" t="s">
        <v>128</v>
      </c>
      <c r="I147" s="40">
        <v>3600000</v>
      </c>
      <c r="J147" s="40"/>
      <c r="K147" s="48" t="s">
        <v>629</v>
      </c>
      <c r="L147" s="345" t="s">
        <v>209</v>
      </c>
      <c r="M147" s="56"/>
      <c r="N147" s="56"/>
      <c r="O147" s="2"/>
      <c r="P147" s="50"/>
      <c r="Q147" s="50"/>
    </row>
    <row r="148" spans="1:20" ht="19.899999999999999" customHeight="1">
      <c r="B148" s="27" t="str">
        <f t="shared" ref="B148:B153" si="11">+$E$3</f>
        <v>JULIETA SANTIAGO - IVAN PETRINI</v>
      </c>
      <c r="C148" s="27">
        <v>46183</v>
      </c>
      <c r="D148" s="41" t="s">
        <v>642</v>
      </c>
      <c r="E148" s="271" t="s">
        <v>431</v>
      </c>
      <c r="F148" s="416" t="s">
        <v>521</v>
      </c>
      <c r="G148" s="42" t="s">
        <v>143</v>
      </c>
      <c r="H148" s="417" t="s">
        <v>344</v>
      </c>
      <c r="I148" s="40">
        <v>-394508.5</v>
      </c>
      <c r="J148" s="40"/>
      <c r="K148" s="48" t="s">
        <v>208</v>
      </c>
      <c r="L148" s="345" t="s">
        <v>209</v>
      </c>
      <c r="M148" s="56"/>
      <c r="N148" s="56" t="s">
        <v>305</v>
      </c>
      <c r="O148" s="2"/>
      <c r="P148" s="50"/>
      <c r="Q148" s="50"/>
    </row>
    <row r="149" spans="1:20" ht="19.899999999999999" customHeight="1">
      <c r="B149" s="27" t="str">
        <f t="shared" si="11"/>
        <v>JULIETA SANTIAGO - IVAN PETRINI</v>
      </c>
      <c r="C149" s="27">
        <v>46189</v>
      </c>
      <c r="D149" s="41" t="s">
        <v>643</v>
      </c>
      <c r="E149" s="271" t="s">
        <v>431</v>
      </c>
      <c r="F149" s="416" t="s">
        <v>521</v>
      </c>
      <c r="G149" s="42" t="s">
        <v>143</v>
      </c>
      <c r="H149" s="417" t="s">
        <v>344</v>
      </c>
      <c r="I149" s="40">
        <v>-435525.71</v>
      </c>
      <c r="J149" s="40"/>
      <c r="K149" s="48" t="s">
        <v>208</v>
      </c>
      <c r="L149" s="345" t="s">
        <v>209</v>
      </c>
      <c r="M149" s="56"/>
      <c r="N149" s="56" t="s">
        <v>305</v>
      </c>
      <c r="O149" s="2"/>
      <c r="P149" s="50"/>
      <c r="Q149" s="50"/>
    </row>
    <row r="150" spans="1:20" ht="19.899999999999999" customHeight="1">
      <c r="B150" s="27" t="str">
        <f t="shared" si="11"/>
        <v>JULIETA SANTIAGO - IVAN PETRINI</v>
      </c>
      <c r="C150" s="27">
        <v>46189</v>
      </c>
      <c r="D150" s="41" t="s">
        <v>644</v>
      </c>
      <c r="E150" s="271" t="s">
        <v>431</v>
      </c>
      <c r="F150" s="416" t="s">
        <v>521</v>
      </c>
      <c r="G150" s="42" t="s">
        <v>143</v>
      </c>
      <c r="H150" s="417" t="s">
        <v>344</v>
      </c>
      <c r="I150" s="40">
        <v>-531675.63</v>
      </c>
      <c r="J150" s="40"/>
      <c r="K150" s="48" t="s">
        <v>208</v>
      </c>
      <c r="L150" s="345" t="s">
        <v>209</v>
      </c>
      <c r="M150" s="56"/>
      <c r="N150" s="56" t="s">
        <v>305</v>
      </c>
      <c r="O150" s="2"/>
      <c r="P150" s="50"/>
      <c r="Q150" s="50"/>
    </row>
    <row r="151" spans="1:20" ht="19.899999999999999" customHeight="1">
      <c r="B151" s="27" t="str">
        <f t="shared" si="11"/>
        <v>JULIETA SANTIAGO - IVAN PETRINI</v>
      </c>
      <c r="C151" s="27">
        <v>46171</v>
      </c>
      <c r="D151" s="41" t="s">
        <v>645</v>
      </c>
      <c r="E151" s="271" t="s">
        <v>431</v>
      </c>
      <c r="F151" s="416" t="s">
        <v>646</v>
      </c>
      <c r="G151" s="42" t="s">
        <v>5</v>
      </c>
      <c r="H151" s="417" t="s">
        <v>106</v>
      </c>
      <c r="I151" s="40">
        <v>4260254.43</v>
      </c>
      <c r="J151" s="40"/>
      <c r="K151" s="48" t="s">
        <v>208</v>
      </c>
      <c r="L151" s="345" t="s">
        <v>209</v>
      </c>
      <c r="M151" s="56"/>
      <c r="N151" s="56" t="s">
        <v>305</v>
      </c>
      <c r="O151" s="2"/>
      <c r="P151" s="50"/>
      <c r="Q151" s="50"/>
    </row>
    <row r="152" spans="1:20" ht="19.899999999999999" customHeight="1">
      <c r="B152" s="27" t="str">
        <f t="shared" si="11"/>
        <v>JULIETA SANTIAGO - IVAN PETRINI</v>
      </c>
      <c r="C152" s="27">
        <v>46171</v>
      </c>
      <c r="D152" s="41" t="s">
        <v>647</v>
      </c>
      <c r="E152" s="271" t="s">
        <v>431</v>
      </c>
      <c r="F152" s="416" t="s">
        <v>648</v>
      </c>
      <c r="G152" s="42" t="s">
        <v>5</v>
      </c>
      <c r="H152" s="417" t="s">
        <v>106</v>
      </c>
      <c r="I152" s="40">
        <v>1320456.3700000001</v>
      </c>
      <c r="J152" s="40"/>
      <c r="K152" s="48" t="s">
        <v>208</v>
      </c>
      <c r="L152" s="345" t="s">
        <v>209</v>
      </c>
      <c r="M152" s="56"/>
      <c r="N152" s="56" t="s">
        <v>305</v>
      </c>
      <c r="O152" s="2"/>
      <c r="P152" s="50"/>
      <c r="Q152" s="50"/>
    </row>
    <row r="153" spans="1:20" ht="19.899999999999999" customHeight="1">
      <c r="B153" s="27" t="str">
        <f t="shared" si="11"/>
        <v>JULIETA SANTIAGO - IVAN PETRINI</v>
      </c>
      <c r="C153" s="27">
        <v>46184</v>
      </c>
      <c r="D153" s="41" t="s">
        <v>649</v>
      </c>
      <c r="E153" s="271" t="s">
        <v>431</v>
      </c>
      <c r="F153" s="416" t="s">
        <v>650</v>
      </c>
      <c r="G153" s="42" t="s">
        <v>5</v>
      </c>
      <c r="H153" s="417" t="s">
        <v>106</v>
      </c>
      <c r="I153" s="40">
        <v>2423187.62</v>
      </c>
      <c r="J153" s="40"/>
      <c r="K153" s="48" t="s">
        <v>208</v>
      </c>
      <c r="L153" s="345" t="s">
        <v>209</v>
      </c>
      <c r="M153" s="56"/>
      <c r="N153" s="56" t="s">
        <v>305</v>
      </c>
      <c r="O153" s="2"/>
      <c r="P153" s="50"/>
      <c r="Q153" s="50"/>
    </row>
    <row r="154" spans="1:20" ht="19.149999999999999" customHeight="1">
      <c r="B154" s="392" t="str">
        <f t="shared" si="10"/>
        <v>JULIETA SANTIAGO - IVAN PETRINI</v>
      </c>
      <c r="C154" s="187">
        <v>46191</v>
      </c>
      <c r="D154" s="393" t="s">
        <v>651</v>
      </c>
      <c r="E154" s="271" t="s">
        <v>431</v>
      </c>
      <c r="F154" s="486" t="s">
        <v>652</v>
      </c>
      <c r="G154" s="23" t="s">
        <v>72</v>
      </c>
      <c r="H154" s="464" t="s">
        <v>63</v>
      </c>
      <c r="I154" s="66">
        <v>410000.07</v>
      </c>
      <c r="J154" s="356"/>
      <c r="K154" s="148" t="s">
        <v>208</v>
      </c>
      <c r="L154" s="161" t="s">
        <v>209</v>
      </c>
      <c r="M154" s="56"/>
      <c r="N154" s="56" t="s">
        <v>353</v>
      </c>
      <c r="O154" s="2"/>
      <c r="P154" s="50"/>
      <c r="Q154" s="50"/>
    </row>
    <row r="155" spans="1:20" s="138" customFormat="1" ht="28.9">
      <c r="A155" s="168" t="s">
        <v>218</v>
      </c>
      <c r="B155" s="156" t="str">
        <f t="shared" ref="B155" si="12">+$E$3</f>
        <v>JULIETA SANTIAGO - IVAN PETRINI</v>
      </c>
      <c r="C155" s="171">
        <v>46191</v>
      </c>
      <c r="D155" s="130"/>
      <c r="E155" s="317"/>
      <c r="F155" s="465"/>
      <c r="G155" s="131"/>
      <c r="H155" s="487"/>
      <c r="I155" s="132"/>
      <c r="J155" s="132"/>
      <c r="K155" s="368"/>
      <c r="L155" s="369"/>
      <c r="M155" s="135"/>
      <c r="N155" s="135"/>
      <c r="O155" s="140"/>
      <c r="P155" s="370"/>
      <c r="Q155" s="370"/>
      <c r="T155" s="371"/>
    </row>
    <row r="156" spans="1:20" ht="19.899999999999999" customHeight="1">
      <c r="B156" s="27" t="str">
        <f t="shared" ref="B156:B184" si="13">+$E$3</f>
        <v>JULIETA SANTIAGO - IVAN PETRINI</v>
      </c>
      <c r="C156" s="27">
        <v>46148</v>
      </c>
      <c r="D156" s="41" t="s">
        <v>653</v>
      </c>
      <c r="E156" s="271" t="s">
        <v>431</v>
      </c>
      <c r="F156" s="416" t="s">
        <v>597</v>
      </c>
      <c r="G156" s="42" t="s">
        <v>64</v>
      </c>
      <c r="H156" s="417" t="s">
        <v>481</v>
      </c>
      <c r="I156" s="40">
        <v>2406414.5099999998</v>
      </c>
      <c r="J156" s="40"/>
      <c r="K156" s="48" t="s">
        <v>208</v>
      </c>
      <c r="L156" s="345" t="s">
        <v>209</v>
      </c>
      <c r="M156" s="56"/>
      <c r="N156" s="56" t="s">
        <v>305</v>
      </c>
      <c r="O156" s="2"/>
      <c r="P156" s="50"/>
      <c r="Q156" s="50"/>
    </row>
    <row r="157" spans="1:20" ht="16.149999999999999" customHeight="1">
      <c r="B157" s="27" t="str">
        <f t="shared" si="13"/>
        <v>JULIETA SANTIAGO - IVAN PETRINI</v>
      </c>
      <c r="C157" s="27">
        <v>46153</v>
      </c>
      <c r="D157" s="41" t="s">
        <v>654</v>
      </c>
      <c r="E157" s="271" t="s">
        <v>431</v>
      </c>
      <c r="F157" s="416" t="s">
        <v>655</v>
      </c>
      <c r="G157" s="42" t="s">
        <v>64</v>
      </c>
      <c r="H157" s="417" t="s">
        <v>481</v>
      </c>
      <c r="I157" s="40">
        <v>1237677.24</v>
      </c>
      <c r="J157" s="40"/>
      <c r="K157" s="48" t="s">
        <v>208</v>
      </c>
      <c r="L157" s="345" t="s">
        <v>209</v>
      </c>
      <c r="M157" s="56"/>
      <c r="N157" s="56" t="s">
        <v>305</v>
      </c>
      <c r="O157" s="2"/>
      <c r="P157" s="50"/>
      <c r="Q157" s="50"/>
    </row>
    <row r="158" spans="1:20" ht="19.149999999999999" customHeight="1">
      <c r="B158" s="27" t="str">
        <f t="shared" si="13"/>
        <v>JULIETA SANTIAGO - IVAN PETRINI</v>
      </c>
      <c r="C158" s="27">
        <v>46155</v>
      </c>
      <c r="D158" s="41" t="s">
        <v>656</v>
      </c>
      <c r="E158" s="271" t="s">
        <v>431</v>
      </c>
      <c r="F158" s="416" t="s">
        <v>657</v>
      </c>
      <c r="G158" s="42" t="s">
        <v>64</v>
      </c>
      <c r="H158" s="417" t="s">
        <v>481</v>
      </c>
      <c r="I158" s="40">
        <v>329725</v>
      </c>
      <c r="J158" s="40"/>
      <c r="K158" s="48" t="s">
        <v>208</v>
      </c>
      <c r="L158" s="345" t="s">
        <v>209</v>
      </c>
      <c r="M158" s="56"/>
      <c r="N158" s="56" t="s">
        <v>305</v>
      </c>
      <c r="O158" s="2"/>
      <c r="P158" s="50"/>
      <c r="Q158" s="50"/>
    </row>
    <row r="159" spans="1:20" ht="15.6" customHeight="1">
      <c r="B159" s="27" t="str">
        <f t="shared" si="13"/>
        <v>JULIETA SANTIAGO - IVAN PETRINI</v>
      </c>
      <c r="C159" s="27">
        <v>46168</v>
      </c>
      <c r="D159" s="41" t="s">
        <v>658</v>
      </c>
      <c r="E159" s="271" t="s">
        <v>431</v>
      </c>
      <c r="F159" s="416" t="s">
        <v>562</v>
      </c>
      <c r="G159" s="42" t="s">
        <v>64</v>
      </c>
      <c r="H159" s="417" t="s">
        <v>481</v>
      </c>
      <c r="I159" s="40">
        <v>1058774.81</v>
      </c>
      <c r="J159" s="40"/>
      <c r="K159" s="48" t="s">
        <v>208</v>
      </c>
      <c r="L159" s="345" t="s">
        <v>209</v>
      </c>
      <c r="M159" s="56"/>
      <c r="N159" s="56" t="s">
        <v>305</v>
      </c>
      <c r="O159" s="2"/>
      <c r="P159" s="50"/>
      <c r="Q159" s="50"/>
    </row>
    <row r="160" spans="1:20" ht="16.149999999999999" customHeight="1">
      <c r="B160" s="27" t="str">
        <f t="shared" si="13"/>
        <v>JULIETA SANTIAGO - IVAN PETRINI</v>
      </c>
      <c r="C160" s="27">
        <v>46190</v>
      </c>
      <c r="D160" s="42" t="s">
        <v>659</v>
      </c>
      <c r="E160" s="42" t="s">
        <v>533</v>
      </c>
      <c r="F160" s="416" t="s">
        <v>660</v>
      </c>
      <c r="G160" s="42" t="s">
        <v>89</v>
      </c>
      <c r="H160" s="417" t="s">
        <v>661</v>
      </c>
      <c r="I160" s="40">
        <v>289150</v>
      </c>
      <c r="J160" s="40"/>
      <c r="K160" s="48" t="s">
        <v>629</v>
      </c>
      <c r="L160" s="345" t="s">
        <v>209</v>
      </c>
      <c r="M160" s="56"/>
      <c r="N160" s="56" t="s">
        <v>305</v>
      </c>
      <c r="O160" s="2"/>
      <c r="P160" s="50"/>
      <c r="Q160" s="50"/>
    </row>
    <row r="161" spans="1:20" ht="16.149999999999999" customHeight="1">
      <c r="B161" s="27" t="str">
        <f t="shared" si="13"/>
        <v>JULIETA SANTIAGO - IVAN PETRINI</v>
      </c>
      <c r="C161" s="27">
        <v>46190</v>
      </c>
      <c r="D161" s="272" t="s">
        <v>364</v>
      </c>
      <c r="E161" s="42" t="s">
        <v>443</v>
      </c>
      <c r="F161" s="416" t="s">
        <v>662</v>
      </c>
      <c r="G161" s="42" t="s">
        <v>76</v>
      </c>
      <c r="H161" s="417" t="s">
        <v>52</v>
      </c>
      <c r="I161" s="40" t="s">
        <v>663</v>
      </c>
      <c r="J161" s="40"/>
      <c r="K161" s="48" t="s">
        <v>629</v>
      </c>
      <c r="L161" s="345" t="s">
        <v>209</v>
      </c>
      <c r="M161" s="56"/>
      <c r="N161" s="56" t="s">
        <v>305</v>
      </c>
      <c r="O161" s="2"/>
      <c r="P161" s="50"/>
      <c r="Q161" s="50"/>
    </row>
    <row r="162" spans="1:20" ht="16.149999999999999" customHeight="1">
      <c r="B162" s="27" t="str">
        <f>+$E$3</f>
        <v>JULIETA SANTIAGO - IVAN PETRINI</v>
      </c>
      <c r="C162" s="27">
        <v>46203</v>
      </c>
      <c r="D162" s="272" t="s">
        <v>364</v>
      </c>
      <c r="E162" s="42" t="s">
        <v>443</v>
      </c>
      <c r="F162" s="416" t="s">
        <v>633</v>
      </c>
      <c r="G162" s="42" t="s">
        <v>21</v>
      </c>
      <c r="H162" s="417" t="s">
        <v>321</v>
      </c>
      <c r="I162" s="40">
        <f>2*115000</f>
        <v>230000</v>
      </c>
      <c r="J162" s="40"/>
      <c r="K162" s="48" t="s">
        <v>629</v>
      </c>
      <c r="L162" s="345" t="s">
        <v>209</v>
      </c>
      <c r="M162" s="56"/>
      <c r="N162" s="56" t="s">
        <v>353</v>
      </c>
      <c r="O162" s="2"/>
      <c r="P162" s="50"/>
      <c r="Q162" s="50"/>
    </row>
    <row r="163" spans="1:20" ht="19.899999999999999" customHeight="1">
      <c r="B163" s="27" t="str">
        <f t="shared" si="13"/>
        <v>JULIETA SANTIAGO - IVAN PETRINI</v>
      </c>
      <c r="C163" s="27">
        <v>46198</v>
      </c>
      <c r="D163" s="41" t="s">
        <v>664</v>
      </c>
      <c r="E163" s="271" t="s">
        <v>431</v>
      </c>
      <c r="F163" s="416" t="s">
        <v>665</v>
      </c>
      <c r="G163" s="42" t="s">
        <v>135</v>
      </c>
      <c r="H163" s="417" t="s">
        <v>556</v>
      </c>
      <c r="I163" s="40">
        <v>7205685.6399999997</v>
      </c>
      <c r="J163" s="40"/>
      <c r="K163" s="48" t="s">
        <v>208</v>
      </c>
      <c r="L163" s="345" t="s">
        <v>209</v>
      </c>
      <c r="M163" s="56"/>
      <c r="N163" s="56" t="s">
        <v>305</v>
      </c>
      <c r="O163" s="2"/>
      <c r="P163" s="50"/>
      <c r="Q163" s="50"/>
    </row>
    <row r="164" spans="1:20" ht="19.899999999999999" customHeight="1">
      <c r="B164" s="27" t="str">
        <f t="shared" ref="B164:B168" si="14">+$E$3</f>
        <v>JULIETA SANTIAGO - IVAN PETRINI</v>
      </c>
      <c r="C164" s="27">
        <v>46203</v>
      </c>
      <c r="D164" s="41" t="s">
        <v>666</v>
      </c>
      <c r="E164" s="271" t="s">
        <v>431</v>
      </c>
      <c r="F164" s="416" t="s">
        <v>667</v>
      </c>
      <c r="G164" s="42" t="s">
        <v>17</v>
      </c>
      <c r="H164" s="417" t="s">
        <v>270</v>
      </c>
      <c r="I164" s="40">
        <v>528840</v>
      </c>
      <c r="J164" s="40"/>
      <c r="K164" s="48" t="s">
        <v>208</v>
      </c>
      <c r="L164" s="345" t="s">
        <v>209</v>
      </c>
      <c r="M164" s="56"/>
      <c r="N164" s="56" t="s">
        <v>353</v>
      </c>
      <c r="O164" s="2"/>
      <c r="P164" s="50"/>
      <c r="Q164" s="50"/>
    </row>
    <row r="165" spans="1:20" ht="19.899999999999999" customHeight="1">
      <c r="B165" s="27" t="str">
        <f t="shared" si="14"/>
        <v>JULIETA SANTIAGO - IVAN PETRINI</v>
      </c>
      <c r="C165" s="27">
        <v>46204</v>
      </c>
      <c r="D165" s="41" t="s">
        <v>668</v>
      </c>
      <c r="E165" s="271" t="s">
        <v>431</v>
      </c>
      <c r="F165" s="416" t="s">
        <v>669</v>
      </c>
      <c r="G165" s="42" t="s">
        <v>119</v>
      </c>
      <c r="H165" s="417" t="s">
        <v>270</v>
      </c>
      <c r="I165" s="40">
        <v>122042.42</v>
      </c>
      <c r="J165" s="40"/>
      <c r="K165" s="48" t="s">
        <v>208</v>
      </c>
      <c r="L165" s="345" t="s">
        <v>209</v>
      </c>
      <c r="M165" s="56"/>
      <c r="N165" s="56" t="s">
        <v>353</v>
      </c>
      <c r="O165" s="2"/>
      <c r="P165" s="50"/>
      <c r="Q165" s="50"/>
    </row>
    <row r="166" spans="1:20" ht="19.899999999999999" customHeight="1">
      <c r="B166" s="27" t="str">
        <f t="shared" si="14"/>
        <v>JULIETA SANTIAGO - IVAN PETRINI</v>
      </c>
      <c r="C166" s="27">
        <v>46204</v>
      </c>
      <c r="D166" s="272" t="s">
        <v>364</v>
      </c>
      <c r="E166" s="42" t="s">
        <v>443</v>
      </c>
      <c r="F166" s="416" t="s">
        <v>670</v>
      </c>
      <c r="G166" s="42" t="s">
        <v>131</v>
      </c>
      <c r="H166" s="417" t="s">
        <v>270</v>
      </c>
      <c r="I166" s="40">
        <v>2550000</v>
      </c>
      <c r="J166" s="40"/>
      <c r="K166" s="48" t="s">
        <v>629</v>
      </c>
      <c r="L166" s="345" t="s">
        <v>209</v>
      </c>
      <c r="M166" s="56"/>
      <c r="N166" s="56" t="s">
        <v>305</v>
      </c>
      <c r="O166" s="2"/>
      <c r="P166" s="50"/>
      <c r="Q166" s="50"/>
    </row>
    <row r="167" spans="1:20" ht="34.5" customHeight="1">
      <c r="B167" s="27" t="str">
        <f t="shared" si="14"/>
        <v>JULIETA SANTIAGO - IVAN PETRINI</v>
      </c>
      <c r="C167" s="27">
        <v>46204</v>
      </c>
      <c r="D167" s="272" t="s">
        <v>364</v>
      </c>
      <c r="E167" s="42" t="s">
        <v>443</v>
      </c>
      <c r="F167" s="466" t="s">
        <v>671</v>
      </c>
      <c r="G167" s="42" t="s">
        <v>127</v>
      </c>
      <c r="H167" s="417" t="s">
        <v>672</v>
      </c>
      <c r="I167" s="40">
        <v>1800000</v>
      </c>
      <c r="J167" s="40"/>
      <c r="K167" s="48" t="s">
        <v>629</v>
      </c>
      <c r="L167" s="345" t="s">
        <v>209</v>
      </c>
      <c r="M167" s="56"/>
      <c r="N167" s="56" t="s">
        <v>353</v>
      </c>
      <c r="O167" s="2"/>
      <c r="P167" s="50"/>
      <c r="Q167" s="50"/>
    </row>
    <row r="168" spans="1:20" ht="35.25" customHeight="1">
      <c r="B168" s="27" t="str">
        <f t="shared" si="14"/>
        <v>JULIETA SANTIAGO - IVAN PETRINI</v>
      </c>
      <c r="C168" s="27">
        <v>46204</v>
      </c>
      <c r="D168" s="272" t="s">
        <v>364</v>
      </c>
      <c r="E168" s="42" t="s">
        <v>443</v>
      </c>
      <c r="F168" s="220" t="s">
        <v>673</v>
      </c>
      <c r="G168" s="42" t="s">
        <v>127</v>
      </c>
      <c r="H168" s="417" t="s">
        <v>672</v>
      </c>
      <c r="I168" s="40">
        <v>1800000</v>
      </c>
      <c r="J168" s="40"/>
      <c r="K168" s="48" t="s">
        <v>629</v>
      </c>
      <c r="L168" s="345" t="s">
        <v>209</v>
      </c>
      <c r="M168" s="56"/>
      <c r="N168" s="56" t="s">
        <v>353</v>
      </c>
      <c r="O168" s="2"/>
      <c r="P168" s="50"/>
      <c r="Q168" s="50"/>
    </row>
    <row r="169" spans="1:20" s="138" customFormat="1" ht="28.9">
      <c r="A169" s="168" t="s">
        <v>218</v>
      </c>
      <c r="B169" s="156" t="str">
        <f t="shared" si="13"/>
        <v>JULIETA SANTIAGO - IVAN PETRINI</v>
      </c>
      <c r="C169" s="171">
        <v>46205</v>
      </c>
      <c r="D169" s="130"/>
      <c r="E169" s="317"/>
      <c r="F169" s="465"/>
      <c r="G169" s="131"/>
      <c r="H169" s="487"/>
      <c r="I169" s="132"/>
      <c r="J169" s="132"/>
      <c r="K169" s="368"/>
      <c r="L169" s="369"/>
      <c r="M169" s="135"/>
      <c r="N169" s="135"/>
      <c r="O169" s="140"/>
      <c r="P169" s="370"/>
      <c r="Q169" s="370"/>
      <c r="T169" s="371"/>
    </row>
    <row r="170" spans="1:20" ht="16.899999999999999" customHeight="1">
      <c r="B170" s="27" t="str">
        <f t="shared" si="13"/>
        <v>JULIETA SANTIAGO - IVAN PETRINI</v>
      </c>
      <c r="C170" s="27">
        <v>46210</v>
      </c>
      <c r="D170" s="41" t="s">
        <v>674</v>
      </c>
      <c r="E170" s="271" t="s">
        <v>431</v>
      </c>
      <c r="F170" s="416" t="s">
        <v>675</v>
      </c>
      <c r="G170" s="42" t="s">
        <v>83</v>
      </c>
      <c r="H170" s="417" t="s">
        <v>207</v>
      </c>
      <c r="I170" s="40">
        <v>265168.90000000002</v>
      </c>
      <c r="J170" s="40"/>
      <c r="K170" s="48" t="s">
        <v>208</v>
      </c>
      <c r="L170" s="345" t="s">
        <v>209</v>
      </c>
      <c r="M170" s="56"/>
      <c r="N170" s="56" t="s">
        <v>353</v>
      </c>
      <c r="O170" s="2"/>
      <c r="P170" s="50"/>
      <c r="Q170" s="50"/>
    </row>
    <row r="171" spans="1:20" ht="17.45" customHeight="1">
      <c r="B171" s="27" t="str">
        <f t="shared" si="13"/>
        <v>JULIETA SANTIAGO - IVAN PETRINI</v>
      </c>
      <c r="C171" s="27">
        <v>46209</v>
      </c>
      <c r="D171" s="41" t="s">
        <v>676</v>
      </c>
      <c r="E171" s="271" t="s">
        <v>431</v>
      </c>
      <c r="F171" s="416" t="s">
        <v>677</v>
      </c>
      <c r="G171" s="42" t="s">
        <v>85</v>
      </c>
      <c r="H171" s="417" t="s">
        <v>33</v>
      </c>
      <c r="I171" s="40">
        <v>1650000</v>
      </c>
      <c r="J171" s="40"/>
      <c r="K171" s="48" t="s">
        <v>208</v>
      </c>
      <c r="L171" s="345" t="s">
        <v>209</v>
      </c>
      <c r="M171" s="56"/>
      <c r="N171" s="56" t="s">
        <v>353</v>
      </c>
      <c r="O171" s="2"/>
      <c r="P171" s="50"/>
      <c r="Q171" s="50"/>
    </row>
    <row r="172" spans="1:20" ht="20.45" customHeight="1">
      <c r="B172" s="27" t="str">
        <f t="shared" si="13"/>
        <v>JULIETA SANTIAGO - IVAN PETRINI</v>
      </c>
      <c r="C172" s="27">
        <v>46210</v>
      </c>
      <c r="D172" s="272" t="s">
        <v>364</v>
      </c>
      <c r="E172" s="42" t="s">
        <v>443</v>
      </c>
      <c r="F172" s="416" t="s">
        <v>678</v>
      </c>
      <c r="G172" s="42" t="s">
        <v>79</v>
      </c>
      <c r="H172" s="417" t="s">
        <v>52</v>
      </c>
      <c r="I172" s="40">
        <v>240000</v>
      </c>
      <c r="J172" s="40"/>
      <c r="K172" s="48" t="s">
        <v>629</v>
      </c>
      <c r="L172" s="345" t="s">
        <v>209</v>
      </c>
      <c r="M172" s="56"/>
      <c r="N172" s="56" t="s">
        <v>305</v>
      </c>
      <c r="O172" s="2"/>
      <c r="P172" s="50"/>
      <c r="Q172" s="50"/>
    </row>
    <row r="173" spans="1:20" ht="19.149999999999999" customHeight="1">
      <c r="B173" s="27" t="str">
        <f t="shared" si="13"/>
        <v>JULIETA SANTIAGO - IVAN PETRINI</v>
      </c>
      <c r="C173" s="27">
        <v>46213</v>
      </c>
      <c r="D173" s="41" t="s">
        <v>679</v>
      </c>
      <c r="E173" s="271" t="s">
        <v>431</v>
      </c>
      <c r="F173" s="416" t="s">
        <v>680</v>
      </c>
      <c r="G173" s="42" t="s">
        <v>17</v>
      </c>
      <c r="H173" s="417" t="s">
        <v>270</v>
      </c>
      <c r="I173" s="40">
        <v>963090</v>
      </c>
      <c r="J173" s="40"/>
      <c r="K173" s="48" t="s">
        <v>208</v>
      </c>
      <c r="L173" s="345" t="s">
        <v>209</v>
      </c>
      <c r="M173" s="56"/>
      <c r="N173" s="56" t="s">
        <v>353</v>
      </c>
      <c r="O173" s="2"/>
      <c r="P173" s="50"/>
      <c r="Q173" s="50"/>
    </row>
    <row r="174" spans="1:20" ht="19.149999999999999" customHeight="1">
      <c r="B174" s="27" t="str">
        <f t="shared" ref="B174:B181" si="15">+$E$3</f>
        <v>JULIETA SANTIAGO - IVAN PETRINI</v>
      </c>
      <c r="C174" s="27">
        <v>46213</v>
      </c>
      <c r="D174" s="41" t="s">
        <v>681</v>
      </c>
      <c r="E174" s="271" t="s">
        <v>431</v>
      </c>
      <c r="F174" s="416" t="s">
        <v>682</v>
      </c>
      <c r="G174" s="42" t="s">
        <v>2</v>
      </c>
      <c r="H174" s="417" t="s">
        <v>270</v>
      </c>
      <c r="I174" s="40">
        <v>246644.2</v>
      </c>
      <c r="J174" s="40"/>
      <c r="K174" s="48" t="s">
        <v>208</v>
      </c>
      <c r="L174" s="345" t="s">
        <v>209</v>
      </c>
      <c r="M174" s="56"/>
      <c r="N174" s="56" t="s">
        <v>305</v>
      </c>
      <c r="O174" s="2"/>
      <c r="P174" s="50"/>
      <c r="Q174" s="50"/>
    </row>
    <row r="175" spans="1:20" ht="19.149999999999999" customHeight="1">
      <c r="B175" s="27" t="str">
        <f t="shared" si="15"/>
        <v>JULIETA SANTIAGO - IVAN PETRINI</v>
      </c>
      <c r="C175" s="27">
        <v>46216</v>
      </c>
      <c r="D175" s="41" t="s">
        <v>683</v>
      </c>
      <c r="E175" s="271" t="s">
        <v>431</v>
      </c>
      <c r="F175" s="416" t="s">
        <v>684</v>
      </c>
      <c r="G175" s="42" t="s">
        <v>83</v>
      </c>
      <c r="H175" s="417" t="s">
        <v>207</v>
      </c>
      <c r="I175" s="40">
        <v>121256.54</v>
      </c>
      <c r="J175" s="40"/>
      <c r="K175" s="48" t="s">
        <v>208</v>
      </c>
      <c r="L175" s="345" t="s">
        <v>209</v>
      </c>
      <c r="M175" s="56"/>
      <c r="N175" s="56" t="s">
        <v>305</v>
      </c>
      <c r="O175" s="2"/>
      <c r="P175" s="50"/>
      <c r="Q175" s="50"/>
    </row>
    <row r="176" spans="1:20" ht="19.149999999999999" customHeight="1">
      <c r="B176" s="27" t="str">
        <f t="shared" si="15"/>
        <v>JULIETA SANTIAGO - IVAN PETRINI</v>
      </c>
      <c r="C176" s="27">
        <v>46213</v>
      </c>
      <c r="D176" s="41" t="s">
        <v>685</v>
      </c>
      <c r="E176" s="271" t="s">
        <v>431</v>
      </c>
      <c r="F176" s="416" t="s">
        <v>686</v>
      </c>
      <c r="G176" s="42" t="s">
        <v>83</v>
      </c>
      <c r="H176" s="417" t="s">
        <v>207</v>
      </c>
      <c r="I176" s="40">
        <v>-50418.49</v>
      </c>
      <c r="J176" s="40"/>
      <c r="K176" s="48" t="s">
        <v>208</v>
      </c>
      <c r="L176" s="345" t="s">
        <v>209</v>
      </c>
      <c r="M176" s="56"/>
      <c r="N176" s="56" t="s">
        <v>305</v>
      </c>
      <c r="O176" s="2"/>
      <c r="P176" s="50"/>
      <c r="Q176" s="50"/>
    </row>
    <row r="177" spans="1:20" ht="19.149999999999999" customHeight="1">
      <c r="B177" s="27" t="str">
        <f t="shared" si="15"/>
        <v>JULIETA SANTIAGO - IVAN PETRINI</v>
      </c>
      <c r="C177" s="27">
        <v>46216</v>
      </c>
      <c r="D177" s="41" t="s">
        <v>664</v>
      </c>
      <c r="E177" s="271" t="s">
        <v>431</v>
      </c>
      <c r="F177" s="416" t="s">
        <v>687</v>
      </c>
      <c r="G177" s="42" t="s">
        <v>135</v>
      </c>
      <c r="H177" s="417" t="s">
        <v>556</v>
      </c>
      <c r="I177" s="40">
        <v>5354967.6900000004</v>
      </c>
      <c r="J177" s="40"/>
      <c r="K177" s="48" t="s">
        <v>208</v>
      </c>
      <c r="L177" s="345" t="s">
        <v>209</v>
      </c>
      <c r="M177" s="56"/>
      <c r="N177" s="56" t="s">
        <v>305</v>
      </c>
      <c r="O177" s="2"/>
      <c r="P177" s="50"/>
      <c r="Q177" s="50"/>
    </row>
    <row r="178" spans="1:20" ht="19.149999999999999" customHeight="1">
      <c r="B178" s="27" t="str">
        <f t="shared" si="15"/>
        <v>JULIETA SANTIAGO - IVAN PETRINI</v>
      </c>
      <c r="C178" s="27">
        <v>46207</v>
      </c>
      <c r="D178" s="41" t="s">
        <v>688</v>
      </c>
      <c r="E178" s="271" t="s">
        <v>431</v>
      </c>
      <c r="F178" s="416" t="s">
        <v>597</v>
      </c>
      <c r="G178" s="42" t="s">
        <v>64</v>
      </c>
      <c r="H178" s="417" t="s">
        <v>481</v>
      </c>
      <c r="I178" s="40">
        <v>2478606.94</v>
      </c>
      <c r="J178" s="40"/>
      <c r="K178" s="48" t="s">
        <v>208</v>
      </c>
      <c r="L178" s="345" t="s">
        <v>209</v>
      </c>
      <c r="M178" s="56"/>
      <c r="N178" s="56" t="s">
        <v>305</v>
      </c>
      <c r="O178" s="2"/>
      <c r="P178" s="50"/>
      <c r="Q178" s="50"/>
    </row>
    <row r="179" spans="1:20" ht="19.149999999999999" customHeight="1">
      <c r="B179" s="27" t="str">
        <f t="shared" si="15"/>
        <v>JULIETA SANTIAGO - IVAN PETRINI</v>
      </c>
      <c r="C179" s="27">
        <v>46212</v>
      </c>
      <c r="D179" s="41" t="s">
        <v>689</v>
      </c>
      <c r="E179" s="271" t="s">
        <v>431</v>
      </c>
      <c r="F179" s="416" t="s">
        <v>655</v>
      </c>
      <c r="G179" s="42" t="s">
        <v>64</v>
      </c>
      <c r="H179" s="417" t="s">
        <v>481</v>
      </c>
      <c r="I179" s="40">
        <v>1274807.55</v>
      </c>
      <c r="J179" s="40"/>
      <c r="K179" s="48" t="s">
        <v>208</v>
      </c>
      <c r="L179" s="345" t="s">
        <v>209</v>
      </c>
      <c r="M179" s="56"/>
      <c r="N179" s="56" t="s">
        <v>305</v>
      </c>
      <c r="O179" s="2"/>
      <c r="P179" s="50"/>
      <c r="Q179" s="50"/>
    </row>
    <row r="180" spans="1:20" ht="19.149999999999999" customHeight="1">
      <c r="B180" s="27" t="str">
        <f t="shared" si="15"/>
        <v>JULIETA SANTIAGO - IVAN PETRINI</v>
      </c>
      <c r="C180" s="27">
        <v>46212</v>
      </c>
      <c r="D180" s="41" t="s">
        <v>690</v>
      </c>
      <c r="E180" s="271" t="s">
        <v>431</v>
      </c>
      <c r="F180" s="416" t="s">
        <v>657</v>
      </c>
      <c r="G180" s="42" t="s">
        <v>64</v>
      </c>
      <c r="H180" s="417" t="s">
        <v>481</v>
      </c>
      <c r="I180" s="40">
        <v>339616.75</v>
      </c>
      <c r="J180" s="40"/>
      <c r="K180" s="48" t="s">
        <v>208</v>
      </c>
      <c r="L180" s="345" t="s">
        <v>209</v>
      </c>
      <c r="M180" s="56"/>
      <c r="N180" s="56" t="s">
        <v>305</v>
      </c>
      <c r="O180" s="2"/>
      <c r="P180" s="50"/>
      <c r="Q180" s="50"/>
    </row>
    <row r="181" spans="1:20" ht="19.149999999999999" customHeight="1">
      <c r="B181" s="27" t="str">
        <f t="shared" si="15"/>
        <v>JULIETA SANTIAGO - IVAN PETRINI</v>
      </c>
      <c r="C181" s="27">
        <v>46217</v>
      </c>
      <c r="D181" s="272" t="s">
        <v>364</v>
      </c>
      <c r="E181" s="42" t="s">
        <v>443</v>
      </c>
      <c r="F181" s="416" t="s">
        <v>630</v>
      </c>
      <c r="G181" s="42" t="s">
        <v>21</v>
      </c>
      <c r="H181" s="417" t="s">
        <v>321</v>
      </c>
      <c r="I181" s="40">
        <v>115000</v>
      </c>
      <c r="J181" s="40"/>
      <c r="K181" s="48" t="s">
        <v>629</v>
      </c>
      <c r="L181" s="345" t="s">
        <v>209</v>
      </c>
      <c r="M181" s="56"/>
      <c r="N181" s="56" t="s">
        <v>305</v>
      </c>
      <c r="O181" s="2"/>
      <c r="P181" s="50"/>
      <c r="Q181" s="50"/>
    </row>
    <row r="182" spans="1:20" ht="19.149999999999999" customHeight="1">
      <c r="B182" s="27" t="str">
        <f>+$E$3</f>
        <v>JULIETA SANTIAGO - IVAN PETRINI</v>
      </c>
      <c r="C182" s="27">
        <v>46217</v>
      </c>
      <c r="D182" s="272" t="s">
        <v>364</v>
      </c>
      <c r="E182" s="42" t="s">
        <v>443</v>
      </c>
      <c r="F182" s="416" t="s">
        <v>691</v>
      </c>
      <c r="G182" s="42" t="s">
        <v>76</v>
      </c>
      <c r="H182" s="417" t="s">
        <v>52</v>
      </c>
      <c r="I182" s="40">
        <v>87500</v>
      </c>
      <c r="J182" s="40"/>
      <c r="K182" s="48" t="s">
        <v>629</v>
      </c>
      <c r="L182" s="345" t="s">
        <v>209</v>
      </c>
      <c r="M182" s="56"/>
      <c r="N182" s="56" t="s">
        <v>305</v>
      </c>
      <c r="O182" s="2"/>
      <c r="P182" s="50"/>
      <c r="Q182" s="50"/>
    </row>
    <row r="183" spans="1:20" ht="19.149999999999999" customHeight="1">
      <c r="B183" s="27" t="str">
        <f>+$E$3</f>
        <v>JULIETA SANTIAGO - IVAN PETRINI</v>
      </c>
      <c r="C183" s="27">
        <v>46219</v>
      </c>
      <c r="D183" s="272" t="s">
        <v>364</v>
      </c>
      <c r="E183" s="42" t="s">
        <v>443</v>
      </c>
      <c r="F183" s="416" t="s">
        <v>692</v>
      </c>
      <c r="G183" s="42" t="s">
        <v>93</v>
      </c>
      <c r="H183" s="417" t="s">
        <v>693</v>
      </c>
      <c r="I183" s="40">
        <v>1140000</v>
      </c>
      <c r="J183" s="40"/>
      <c r="K183" s="48" t="s">
        <v>208</v>
      </c>
      <c r="L183" s="345" t="s">
        <v>209</v>
      </c>
      <c r="M183" s="56"/>
      <c r="N183" s="56" t="s">
        <v>305</v>
      </c>
      <c r="O183" s="2"/>
      <c r="P183" s="50"/>
      <c r="Q183" s="50"/>
    </row>
    <row r="184" spans="1:20" s="138" customFormat="1" ht="28.9">
      <c r="A184" s="168" t="s">
        <v>218</v>
      </c>
      <c r="B184" s="156" t="str">
        <f t="shared" si="13"/>
        <v>JULIETA SANTIAGO - IVAN PETRINI</v>
      </c>
      <c r="C184" s="171">
        <v>46219</v>
      </c>
      <c r="D184" s="130"/>
      <c r="E184" s="317"/>
      <c r="F184" s="465"/>
      <c r="G184" s="131"/>
      <c r="H184" s="487"/>
      <c r="I184" s="132"/>
      <c r="J184" s="132"/>
      <c r="K184" s="368"/>
      <c r="L184" s="369"/>
      <c r="M184" s="135"/>
      <c r="N184" s="135"/>
      <c r="O184" s="140"/>
      <c r="P184" s="370"/>
      <c r="Q184" s="370"/>
      <c r="T184" s="371"/>
    </row>
    <row r="185" spans="1:20" ht="19.899999999999999" customHeight="1">
      <c r="B185" s="27" t="str">
        <f t="shared" ref="B185:B192" si="16">+$E$3</f>
        <v>JULIETA SANTIAGO - IVAN PETRINI</v>
      </c>
      <c r="C185" s="27">
        <v>46225</v>
      </c>
      <c r="D185" s="41" t="s">
        <v>694</v>
      </c>
      <c r="E185" s="271" t="s">
        <v>431</v>
      </c>
      <c r="F185" s="416" t="s">
        <v>695</v>
      </c>
      <c r="G185" s="42" t="s">
        <v>83</v>
      </c>
      <c r="H185" s="417" t="s">
        <v>207</v>
      </c>
      <c r="I185" s="40">
        <v>29524.14</v>
      </c>
      <c r="J185" s="40"/>
      <c r="K185" s="48" t="s">
        <v>208</v>
      </c>
      <c r="L185" s="345" t="s">
        <v>209</v>
      </c>
      <c r="M185" s="56"/>
      <c r="N185" s="56" t="s">
        <v>353</v>
      </c>
      <c r="O185" s="2"/>
      <c r="P185" s="50"/>
      <c r="Q185" s="50"/>
    </row>
    <row r="186" spans="1:20" ht="16.899999999999999" customHeight="1">
      <c r="B186" s="27" t="str">
        <f t="shared" si="16"/>
        <v>JULIETA SANTIAGO - IVAN PETRINI</v>
      </c>
      <c r="C186" s="27">
        <v>46225</v>
      </c>
      <c r="D186" s="41" t="s">
        <v>696</v>
      </c>
      <c r="E186" s="271" t="s">
        <v>431</v>
      </c>
      <c r="F186" s="416" t="s">
        <v>697</v>
      </c>
      <c r="G186" s="42" t="s">
        <v>17</v>
      </c>
      <c r="H186" s="417" t="s">
        <v>270</v>
      </c>
      <c r="I186" s="40">
        <v>2723712.5</v>
      </c>
      <c r="J186" s="40"/>
      <c r="K186" s="48" t="s">
        <v>208</v>
      </c>
      <c r="L186" s="345" t="s">
        <v>209</v>
      </c>
      <c r="M186" s="56"/>
      <c r="N186" s="56" t="s">
        <v>353</v>
      </c>
      <c r="O186" s="2"/>
      <c r="P186" s="50"/>
      <c r="Q186" s="50"/>
    </row>
    <row r="187" spans="1:20" ht="16.899999999999999" customHeight="1">
      <c r="B187" s="27" t="str">
        <f t="shared" si="16"/>
        <v>JULIETA SANTIAGO - IVAN PETRINI</v>
      </c>
      <c r="C187" s="27">
        <v>46227</v>
      </c>
      <c r="D187" s="41" t="s">
        <v>698</v>
      </c>
      <c r="E187" s="271" t="s">
        <v>431</v>
      </c>
      <c r="F187" s="416" t="s">
        <v>699</v>
      </c>
      <c r="G187" s="42" t="s">
        <v>135</v>
      </c>
      <c r="H187" s="417" t="s">
        <v>556</v>
      </c>
      <c r="I187" s="40">
        <v>7155577.2400000002</v>
      </c>
      <c r="J187" s="40"/>
      <c r="K187" s="48" t="s">
        <v>208</v>
      </c>
      <c r="L187" s="345" t="s">
        <v>209</v>
      </c>
      <c r="M187" s="56"/>
      <c r="N187" s="56" t="s">
        <v>305</v>
      </c>
      <c r="O187" s="2"/>
      <c r="P187" s="50"/>
      <c r="Q187" s="50"/>
    </row>
    <row r="188" spans="1:20" ht="16.899999999999999" customHeight="1">
      <c r="B188" s="27" t="str">
        <f t="shared" si="16"/>
        <v>JULIETA SANTIAGO - IVAN PETRINI</v>
      </c>
      <c r="C188" s="27">
        <v>46218</v>
      </c>
      <c r="D188" s="41" t="s">
        <v>700</v>
      </c>
      <c r="E188" s="271" t="s">
        <v>431</v>
      </c>
      <c r="F188" s="416" t="s">
        <v>701</v>
      </c>
      <c r="G188" s="42" t="s">
        <v>17</v>
      </c>
      <c r="H188" s="417" t="s">
        <v>270</v>
      </c>
      <c r="I188" s="40">
        <v>800599.8</v>
      </c>
      <c r="J188" s="40"/>
      <c r="K188" s="48" t="s">
        <v>208</v>
      </c>
      <c r="L188" s="345" t="s">
        <v>209</v>
      </c>
      <c r="M188" s="56"/>
      <c r="N188" s="56" t="s">
        <v>305</v>
      </c>
      <c r="O188" s="2"/>
      <c r="P188" s="50"/>
      <c r="Q188" s="50"/>
    </row>
    <row r="189" spans="1:20" ht="16.899999999999999" customHeight="1">
      <c r="B189" s="27" t="str">
        <f t="shared" si="16"/>
        <v>JULIETA SANTIAGO - IVAN PETRINI</v>
      </c>
      <c r="C189" s="27">
        <v>46128</v>
      </c>
      <c r="D189" s="41" t="s">
        <v>702</v>
      </c>
      <c r="E189" s="271" t="s">
        <v>431</v>
      </c>
      <c r="F189" s="416" t="s">
        <v>703</v>
      </c>
      <c r="G189" s="42" t="s">
        <v>17</v>
      </c>
      <c r="H189" s="417" t="s">
        <v>270</v>
      </c>
      <c r="I189" s="40">
        <v>615807</v>
      </c>
      <c r="J189" s="40"/>
      <c r="K189" s="48" t="s">
        <v>208</v>
      </c>
      <c r="L189" s="345" t="s">
        <v>209</v>
      </c>
      <c r="M189" s="56"/>
      <c r="N189" s="56" t="s">
        <v>305</v>
      </c>
      <c r="O189" s="2"/>
      <c r="P189" s="50"/>
      <c r="Q189" s="50"/>
    </row>
    <row r="190" spans="1:20" ht="16.899999999999999" customHeight="1">
      <c r="B190" s="27" t="str">
        <f t="shared" si="16"/>
        <v>JULIETA SANTIAGO - IVAN PETRINI</v>
      </c>
      <c r="C190" s="27">
        <v>46184</v>
      </c>
      <c r="D190" s="41" t="s">
        <v>704</v>
      </c>
      <c r="E190" s="271" t="s">
        <v>431</v>
      </c>
      <c r="F190" s="416" t="s">
        <v>705</v>
      </c>
      <c r="G190" s="42" t="s">
        <v>5</v>
      </c>
      <c r="H190" s="417" t="s">
        <v>106</v>
      </c>
      <c r="I190" s="40">
        <v>1265135.68</v>
      </c>
      <c r="J190" s="40"/>
      <c r="K190" s="48" t="s">
        <v>208</v>
      </c>
      <c r="L190" s="345" t="s">
        <v>209</v>
      </c>
      <c r="M190" s="56"/>
      <c r="N190" s="56" t="s">
        <v>305</v>
      </c>
      <c r="O190" s="2"/>
      <c r="P190" s="50"/>
      <c r="Q190" s="50"/>
    </row>
    <row r="191" spans="1:20" ht="16.899999999999999" customHeight="1">
      <c r="B191" s="27" t="str">
        <f t="shared" si="16"/>
        <v>JULIETA SANTIAGO - IVAN PETRINI</v>
      </c>
      <c r="C191" s="27">
        <v>46210</v>
      </c>
      <c r="D191" s="41" t="s">
        <v>706</v>
      </c>
      <c r="E191" s="271" t="s">
        <v>431</v>
      </c>
      <c r="F191" s="416" t="s">
        <v>707</v>
      </c>
      <c r="G191" s="42" t="s">
        <v>5</v>
      </c>
      <c r="H191" s="417" t="s">
        <v>106</v>
      </c>
      <c r="I191" s="40">
        <v>143782.96</v>
      </c>
      <c r="J191" s="40"/>
      <c r="K191" s="48" t="s">
        <v>208</v>
      </c>
      <c r="L191" s="345" t="s">
        <v>209</v>
      </c>
      <c r="M191" s="56"/>
      <c r="N191" s="56" t="s">
        <v>305</v>
      </c>
      <c r="O191" s="2"/>
      <c r="P191" s="50"/>
      <c r="Q191" s="50"/>
    </row>
    <row r="192" spans="1:20" ht="18" customHeight="1">
      <c r="A192" s="447" t="s">
        <v>708</v>
      </c>
      <c r="B192" s="27" t="str">
        <f t="shared" si="16"/>
        <v>JULIETA SANTIAGO - IVAN PETRINI</v>
      </c>
      <c r="C192" s="27">
        <v>46232</v>
      </c>
      <c r="D192" s="272" t="s">
        <v>364</v>
      </c>
      <c r="E192" s="42" t="s">
        <v>443</v>
      </c>
      <c r="F192" s="416" t="s">
        <v>709</v>
      </c>
      <c r="G192" s="42" t="s">
        <v>127</v>
      </c>
      <c r="H192" s="417" t="s">
        <v>128</v>
      </c>
      <c r="I192" s="40">
        <v>3600000</v>
      </c>
      <c r="J192" s="40"/>
      <c r="K192" s="48" t="s">
        <v>629</v>
      </c>
      <c r="L192" s="345" t="s">
        <v>209</v>
      </c>
      <c r="M192" s="56"/>
      <c r="N192" s="56"/>
      <c r="O192" s="2"/>
      <c r="P192" s="50"/>
      <c r="Q192" s="50"/>
      <c r="R192" s="447" t="s">
        <v>710</v>
      </c>
    </row>
    <row r="193" spans="1:20" s="138" customFormat="1" ht="28.9">
      <c r="A193" s="168" t="s">
        <v>218</v>
      </c>
      <c r="B193" s="156" t="str">
        <f t="shared" ref="B193:B196" si="17">+$E$3</f>
        <v>JULIETA SANTIAGO - IVAN PETRINI</v>
      </c>
      <c r="C193" s="171">
        <v>46233</v>
      </c>
      <c r="D193" s="130"/>
      <c r="E193" s="317"/>
      <c r="F193" s="465"/>
      <c r="G193" s="131"/>
      <c r="H193" s="487"/>
      <c r="I193" s="132"/>
      <c r="J193" s="132"/>
      <c r="K193" s="368"/>
      <c r="L193" s="369"/>
      <c r="M193" s="135"/>
      <c r="N193" s="135"/>
      <c r="O193" s="140"/>
      <c r="P193" s="370"/>
      <c r="Q193" s="370"/>
      <c r="T193" s="371"/>
    </row>
    <row r="194" spans="1:20" ht="16.899999999999999" customHeight="1">
      <c r="B194" s="27" t="str">
        <f t="shared" si="17"/>
        <v>JULIETA SANTIAGO - IVAN PETRINI</v>
      </c>
      <c r="C194" s="27">
        <v>46234</v>
      </c>
      <c r="D194" s="272" t="s">
        <v>364</v>
      </c>
      <c r="E194" s="42" t="s">
        <v>443</v>
      </c>
      <c r="F194" s="416" t="s">
        <v>630</v>
      </c>
      <c r="G194" s="42" t="s">
        <v>21</v>
      </c>
      <c r="H194" s="417" t="s">
        <v>321</v>
      </c>
      <c r="I194" s="40">
        <v>120000</v>
      </c>
      <c r="J194" s="40"/>
      <c r="K194" s="48" t="s">
        <v>629</v>
      </c>
      <c r="L194" s="345" t="s">
        <v>209</v>
      </c>
      <c r="M194" s="56"/>
      <c r="N194" s="56" t="s">
        <v>305</v>
      </c>
      <c r="O194" s="2"/>
      <c r="P194" s="50"/>
      <c r="Q194" s="50"/>
    </row>
    <row r="195" spans="1:20" ht="16.899999999999999" customHeight="1">
      <c r="B195" s="27" t="str">
        <f t="shared" si="17"/>
        <v>JULIETA SANTIAGO - IVAN PETRINI</v>
      </c>
      <c r="C195" s="27">
        <v>46234</v>
      </c>
      <c r="D195" s="41" t="s">
        <v>711</v>
      </c>
      <c r="E195" s="271" t="s">
        <v>431</v>
      </c>
      <c r="F195" s="416" t="s">
        <v>712</v>
      </c>
      <c r="G195" s="42" t="s">
        <v>72</v>
      </c>
      <c r="H195" s="417" t="s">
        <v>63</v>
      </c>
      <c r="I195" s="40">
        <v>-58966.82</v>
      </c>
      <c r="J195" s="40"/>
      <c r="K195" s="48" t="s">
        <v>208</v>
      </c>
      <c r="L195" s="345" t="s">
        <v>209</v>
      </c>
      <c r="M195" s="56"/>
      <c r="N195" s="56" t="s">
        <v>305</v>
      </c>
      <c r="O195" s="2"/>
      <c r="P195" s="50"/>
      <c r="Q195" s="50"/>
    </row>
    <row r="196" spans="1:20" ht="16.899999999999999" customHeight="1">
      <c r="B196" s="27" t="str">
        <f t="shared" si="17"/>
        <v>JULIETA SANTIAGO - IVAN PETRINI</v>
      </c>
      <c r="C196" s="27">
        <v>46234</v>
      </c>
      <c r="D196" s="41" t="s">
        <v>713</v>
      </c>
      <c r="E196" s="271" t="s">
        <v>431</v>
      </c>
      <c r="F196" s="416" t="s">
        <v>714</v>
      </c>
      <c r="G196" s="42" t="s">
        <v>72</v>
      </c>
      <c r="H196" s="417" t="s">
        <v>63</v>
      </c>
      <c r="I196" s="40">
        <v>133030.82999999999</v>
      </c>
      <c r="J196" s="40"/>
      <c r="K196" s="48" t="s">
        <v>208</v>
      </c>
      <c r="L196" s="345" t="s">
        <v>209</v>
      </c>
      <c r="M196" s="56"/>
      <c r="N196" s="56" t="s">
        <v>305</v>
      </c>
      <c r="O196" s="2"/>
      <c r="P196" s="50"/>
      <c r="Q196" s="50"/>
    </row>
    <row r="197" spans="1:20" ht="16.899999999999999" customHeight="1">
      <c r="B197" s="27" t="str">
        <f t="shared" ref="B197:B204" si="18">+$E$3</f>
        <v>JULIETA SANTIAGO - IVAN PETRINI</v>
      </c>
      <c r="C197" s="27">
        <v>46237</v>
      </c>
      <c r="D197" s="41" t="s">
        <v>715</v>
      </c>
      <c r="E197" s="271" t="s">
        <v>431</v>
      </c>
      <c r="F197" s="416" t="s">
        <v>716</v>
      </c>
      <c r="G197" s="42" t="s">
        <v>143</v>
      </c>
      <c r="H197" s="417" t="s">
        <v>344</v>
      </c>
      <c r="I197" s="40">
        <v>341055.39</v>
      </c>
      <c r="J197" s="40"/>
      <c r="K197" s="48" t="s">
        <v>208</v>
      </c>
      <c r="L197" s="345" t="s">
        <v>209</v>
      </c>
      <c r="M197" s="56"/>
      <c r="N197" s="56" t="s">
        <v>305</v>
      </c>
      <c r="O197" s="2"/>
      <c r="P197" s="50"/>
      <c r="Q197" s="50"/>
    </row>
    <row r="198" spans="1:20" ht="16.899999999999999" customHeight="1">
      <c r="B198" s="27" t="str">
        <f t="shared" si="18"/>
        <v>JULIETA SANTIAGO - IVAN PETRINI</v>
      </c>
      <c r="C198" s="27">
        <v>46238</v>
      </c>
      <c r="D198" s="272" t="s">
        <v>717</v>
      </c>
      <c r="E198" s="42" t="s">
        <v>443</v>
      </c>
      <c r="F198" s="416" t="s">
        <v>718</v>
      </c>
      <c r="G198" s="42" t="s">
        <v>21</v>
      </c>
      <c r="H198" s="417" t="s">
        <v>321</v>
      </c>
      <c r="I198" s="40">
        <v>600000</v>
      </c>
      <c r="J198" s="40"/>
      <c r="K198" s="48" t="s">
        <v>208</v>
      </c>
      <c r="L198" s="345" t="s">
        <v>209</v>
      </c>
      <c r="M198" s="56"/>
      <c r="N198" s="56" t="s">
        <v>461</v>
      </c>
      <c r="O198" s="2"/>
      <c r="P198" s="50"/>
      <c r="Q198" s="50"/>
    </row>
    <row r="199" spans="1:20" ht="16.899999999999999" customHeight="1">
      <c r="B199" s="27" t="str">
        <f t="shared" si="18"/>
        <v>JULIETA SANTIAGO - IVAN PETRINI</v>
      </c>
      <c r="C199" s="27">
        <v>46241</v>
      </c>
      <c r="D199" s="41" t="s">
        <v>719</v>
      </c>
      <c r="E199" s="271" t="s">
        <v>431</v>
      </c>
      <c r="F199" s="416" t="s">
        <v>720</v>
      </c>
      <c r="G199" s="42" t="s">
        <v>135</v>
      </c>
      <c r="H199" s="417" t="s">
        <v>556</v>
      </c>
      <c r="I199" s="40">
        <v>3577788.62</v>
      </c>
      <c r="J199" s="40"/>
      <c r="K199" s="48" t="s">
        <v>208</v>
      </c>
      <c r="L199" s="345" t="s">
        <v>209</v>
      </c>
      <c r="M199" s="56"/>
      <c r="N199" s="56" t="s">
        <v>305</v>
      </c>
      <c r="O199" s="2"/>
      <c r="P199" s="50"/>
      <c r="Q199" s="50"/>
    </row>
    <row r="200" spans="1:20" ht="16.899999999999999" customHeight="1">
      <c r="B200" s="27" t="str">
        <f t="shared" si="18"/>
        <v>JULIETA SANTIAGO - IVAN PETRINI</v>
      </c>
      <c r="C200" s="27">
        <v>46228</v>
      </c>
      <c r="D200" s="41" t="s">
        <v>721</v>
      </c>
      <c r="E200" s="271" t="s">
        <v>431</v>
      </c>
      <c r="F200" s="416" t="s">
        <v>562</v>
      </c>
      <c r="G200" s="42" t="s">
        <v>64</v>
      </c>
      <c r="H200" s="417" t="s">
        <v>481</v>
      </c>
      <c r="I200" s="40">
        <v>1088420.49</v>
      </c>
      <c r="J200" s="40"/>
      <c r="K200" s="48" t="s">
        <v>208</v>
      </c>
      <c r="L200" s="345" t="s">
        <v>209</v>
      </c>
      <c r="M200" s="56"/>
      <c r="N200" s="56" t="s">
        <v>305</v>
      </c>
      <c r="O200" s="2"/>
      <c r="P200" s="50"/>
      <c r="Q200" s="50"/>
    </row>
    <row r="201" spans="1:20" ht="16.899999999999999" customHeight="1">
      <c r="B201" s="27" t="str">
        <f t="shared" si="18"/>
        <v>JULIETA SANTIAGO - IVAN PETRINI</v>
      </c>
      <c r="C201" s="27">
        <v>46235</v>
      </c>
      <c r="D201" s="41" t="s">
        <v>722</v>
      </c>
      <c r="E201" s="271" t="s">
        <v>431</v>
      </c>
      <c r="F201" s="416" t="s">
        <v>597</v>
      </c>
      <c r="G201" s="42" t="s">
        <v>64</v>
      </c>
      <c r="H201" s="417" t="s">
        <v>481</v>
      </c>
      <c r="I201" s="40">
        <v>2548007.9300000002</v>
      </c>
      <c r="J201" s="40"/>
      <c r="K201" s="48" t="s">
        <v>208</v>
      </c>
      <c r="L201" s="345" t="s">
        <v>209</v>
      </c>
      <c r="M201" s="56"/>
      <c r="N201" s="56" t="s">
        <v>305</v>
      </c>
      <c r="O201" s="2"/>
      <c r="P201" s="50"/>
      <c r="Q201" s="50"/>
    </row>
    <row r="202" spans="1:20" ht="16.899999999999999" customHeight="1">
      <c r="B202" s="27" t="str">
        <f t="shared" si="18"/>
        <v>JULIETA SANTIAGO - IVAN PETRINI</v>
      </c>
      <c r="C202" s="27">
        <v>46240</v>
      </c>
      <c r="D202" s="41" t="s">
        <v>723</v>
      </c>
      <c r="E202" s="271" t="s">
        <v>431</v>
      </c>
      <c r="F202" s="416" t="s">
        <v>655</v>
      </c>
      <c r="G202" s="42" t="s">
        <v>64</v>
      </c>
      <c r="H202" s="417" t="s">
        <v>481</v>
      </c>
      <c r="I202" s="40">
        <v>1310502.1599999999</v>
      </c>
      <c r="J202" s="40"/>
      <c r="K202" s="48" t="s">
        <v>208</v>
      </c>
      <c r="L202" s="345" t="s">
        <v>209</v>
      </c>
      <c r="M202" s="56"/>
      <c r="N202" s="56" t="s">
        <v>305</v>
      </c>
      <c r="O202" s="2"/>
      <c r="P202" s="50"/>
      <c r="Q202" s="50"/>
    </row>
    <row r="203" spans="1:20" ht="16.899999999999999" customHeight="1">
      <c r="B203" s="27" t="str">
        <f t="shared" si="18"/>
        <v>JULIETA SANTIAGO - IVAN PETRINI</v>
      </c>
      <c r="C203" s="27">
        <v>46240</v>
      </c>
      <c r="D203" s="41" t="s">
        <v>724</v>
      </c>
      <c r="E203" s="271" t="s">
        <v>431</v>
      </c>
      <c r="F203" s="416" t="s">
        <v>657</v>
      </c>
      <c r="G203" s="42" t="s">
        <v>64</v>
      </c>
      <c r="H203" s="417" t="s">
        <v>481</v>
      </c>
      <c r="I203" s="40">
        <v>349126.02</v>
      </c>
      <c r="J203" s="40"/>
      <c r="K203" s="48" t="s">
        <v>208</v>
      </c>
      <c r="L203" s="345" t="s">
        <v>209</v>
      </c>
      <c r="M203" s="56"/>
      <c r="N203" s="56" t="s">
        <v>305</v>
      </c>
      <c r="O203" s="2"/>
      <c r="P203" s="50"/>
      <c r="Q203" s="50"/>
    </row>
    <row r="204" spans="1:20" ht="16.899999999999999" customHeight="1">
      <c r="B204" s="27" t="str">
        <f t="shared" si="18"/>
        <v>JULIETA SANTIAGO - IVAN PETRINI</v>
      </c>
      <c r="C204" s="27">
        <v>46238</v>
      </c>
      <c r="D204" s="272" t="s">
        <v>364</v>
      </c>
      <c r="E204" s="42" t="s">
        <v>443</v>
      </c>
      <c r="F204" s="416" t="s">
        <v>725</v>
      </c>
      <c r="G204" s="42" t="s">
        <v>76</v>
      </c>
      <c r="H204" s="417" t="s">
        <v>52</v>
      </c>
      <c r="I204" s="40">
        <v>175000</v>
      </c>
      <c r="J204" s="40"/>
      <c r="K204" s="48" t="s">
        <v>629</v>
      </c>
      <c r="L204" s="345" t="s">
        <v>209</v>
      </c>
      <c r="M204" s="56"/>
      <c r="N204" s="56" t="s">
        <v>305</v>
      </c>
      <c r="O204" s="2"/>
      <c r="P204" s="50"/>
      <c r="Q204" s="50"/>
    </row>
    <row r="205" spans="1:20" ht="16.899999999999999" customHeight="1">
      <c r="B205" s="27" t="str">
        <f>+$E$3</f>
        <v>JULIETA SANTIAGO - IVAN PETRINI</v>
      </c>
      <c r="C205" s="27">
        <v>46247</v>
      </c>
      <c r="D205" s="41" t="s">
        <v>726</v>
      </c>
      <c r="E205" s="271" t="s">
        <v>431</v>
      </c>
      <c r="F205" s="85" t="s">
        <v>727</v>
      </c>
      <c r="G205" s="42" t="s">
        <v>107</v>
      </c>
      <c r="H205" s="86" t="s">
        <v>63</v>
      </c>
      <c r="I205" s="40">
        <v>50187.040000000001</v>
      </c>
      <c r="J205" s="40"/>
      <c r="K205" s="48" t="s">
        <v>208</v>
      </c>
      <c r="L205" s="345" t="s">
        <v>209</v>
      </c>
      <c r="M205" s="56"/>
      <c r="N205" s="56" t="s">
        <v>305</v>
      </c>
      <c r="O205" s="2"/>
      <c r="P205" s="50"/>
      <c r="Q205" s="50"/>
    </row>
    <row r="206" spans="1:20" ht="16.899999999999999" customHeight="1">
      <c r="B206" s="27" t="str">
        <f>+$E$3</f>
        <v>JULIETA SANTIAGO - IVAN PETRINI</v>
      </c>
      <c r="C206" s="27">
        <v>46247</v>
      </c>
      <c r="D206" s="41" t="s">
        <v>728</v>
      </c>
      <c r="E206" s="271" t="s">
        <v>431</v>
      </c>
      <c r="F206" s="416" t="s">
        <v>729</v>
      </c>
      <c r="G206" s="42" t="s">
        <v>73</v>
      </c>
      <c r="H206" s="86" t="s">
        <v>63</v>
      </c>
      <c r="I206" s="40">
        <v>484945.54</v>
      </c>
      <c r="J206" s="40"/>
      <c r="K206" s="48" t="s">
        <v>208</v>
      </c>
      <c r="L206" s="345" t="s">
        <v>209</v>
      </c>
      <c r="M206" s="56"/>
      <c r="N206" s="56" t="s">
        <v>353</v>
      </c>
      <c r="O206" s="2"/>
      <c r="P206" s="50"/>
      <c r="Q206" s="50"/>
    </row>
    <row r="207" spans="1:20" s="138" customFormat="1" ht="28.9">
      <c r="A207" s="168" t="s">
        <v>218</v>
      </c>
      <c r="B207" s="156" t="str">
        <f t="shared" ref="B207" si="19">+$E$3</f>
        <v>JULIETA SANTIAGO - IVAN PETRINI</v>
      </c>
      <c r="C207" s="171">
        <v>46247</v>
      </c>
      <c r="D207" s="130"/>
      <c r="E207" s="317"/>
      <c r="F207" s="465"/>
      <c r="G207" s="131"/>
      <c r="H207" s="487"/>
      <c r="I207" s="132"/>
      <c r="J207" s="132"/>
      <c r="K207" s="368"/>
      <c r="L207" s="369"/>
      <c r="M207" s="135"/>
      <c r="N207" s="135"/>
      <c r="O207" s="140"/>
      <c r="P207" s="370"/>
      <c r="Q207" s="370"/>
      <c r="T207" s="371"/>
    </row>
    <row r="208" spans="1:20" ht="16.899999999999999" customHeight="1">
      <c r="B208" s="27" t="str">
        <f t="shared" ref="B208:B233" si="20">+$E$3</f>
        <v>JULIETA SANTIAGO - IVAN PETRINI</v>
      </c>
      <c r="C208" s="27">
        <v>46253</v>
      </c>
      <c r="D208" s="42" t="s">
        <v>364</v>
      </c>
      <c r="E208" s="42" t="s">
        <v>443</v>
      </c>
      <c r="F208" s="416" t="s">
        <v>730</v>
      </c>
      <c r="G208" s="42" t="s">
        <v>127</v>
      </c>
      <c r="H208" s="417" t="s">
        <v>731</v>
      </c>
      <c r="I208" s="40">
        <v>3600000</v>
      </c>
      <c r="J208" s="40"/>
      <c r="K208" s="48" t="s">
        <v>629</v>
      </c>
      <c r="L208" s="345" t="s">
        <v>209</v>
      </c>
      <c r="M208" s="42" t="s">
        <v>732</v>
      </c>
      <c r="N208" s="56" t="s">
        <v>353</v>
      </c>
      <c r="O208" s="2"/>
      <c r="P208" s="50"/>
      <c r="Q208" s="50"/>
    </row>
    <row r="209" spans="1:20" ht="16.899999999999999" customHeight="1">
      <c r="B209" s="152" t="str">
        <f t="shared" si="20"/>
        <v>JULIETA SANTIAGO - IVAN PETRINI</v>
      </c>
      <c r="C209" s="27">
        <v>46253</v>
      </c>
      <c r="D209" s="41" t="s">
        <v>733</v>
      </c>
      <c r="E209" s="271" t="s">
        <v>431</v>
      </c>
      <c r="F209" s="416" t="s">
        <v>734</v>
      </c>
      <c r="G209" s="42" t="s">
        <v>143</v>
      </c>
      <c r="H209" s="417" t="s">
        <v>344</v>
      </c>
      <c r="I209" s="40">
        <v>599319.09</v>
      </c>
      <c r="J209" s="40"/>
      <c r="K209" s="48" t="s">
        <v>208</v>
      </c>
      <c r="L209" s="345" t="s">
        <v>209</v>
      </c>
      <c r="M209" s="56"/>
      <c r="N209" s="56" t="s">
        <v>305</v>
      </c>
      <c r="O209" s="2"/>
      <c r="P209" s="50"/>
      <c r="Q209" s="50"/>
    </row>
    <row r="210" spans="1:20" ht="16.899999999999999" customHeight="1">
      <c r="B210" s="152" t="str">
        <f t="shared" si="20"/>
        <v>JULIETA SANTIAGO - IVAN PETRINI</v>
      </c>
      <c r="C210" s="27">
        <v>46253</v>
      </c>
      <c r="D210" s="41" t="s">
        <v>735</v>
      </c>
      <c r="E210" s="271" t="s">
        <v>431</v>
      </c>
      <c r="F210" s="416" t="s">
        <v>736</v>
      </c>
      <c r="G210" s="42" t="s">
        <v>17</v>
      </c>
      <c r="H210" s="417" t="s">
        <v>270</v>
      </c>
      <c r="I210" s="40">
        <v>1104872</v>
      </c>
      <c r="J210" s="40"/>
      <c r="K210" s="48" t="s">
        <v>208</v>
      </c>
      <c r="L210" s="345" t="s">
        <v>209</v>
      </c>
      <c r="M210" s="56"/>
      <c r="N210" s="56" t="s">
        <v>305</v>
      </c>
      <c r="O210" s="2"/>
      <c r="P210" s="50"/>
      <c r="Q210" s="50"/>
    </row>
    <row r="211" spans="1:20" ht="16.899999999999999" customHeight="1">
      <c r="B211" s="152" t="str">
        <f t="shared" si="20"/>
        <v>JULIETA SANTIAGO - IVAN PETRINI</v>
      </c>
      <c r="C211" s="27">
        <v>46253</v>
      </c>
      <c r="D211" s="41" t="s">
        <v>737</v>
      </c>
      <c r="E211" s="271" t="s">
        <v>431</v>
      </c>
      <c r="F211" s="416" t="s">
        <v>738</v>
      </c>
      <c r="G211" s="42" t="s">
        <v>83</v>
      </c>
      <c r="H211" s="417" t="s">
        <v>207</v>
      </c>
      <c r="I211" s="40">
        <v>560973.69999999995</v>
      </c>
      <c r="J211" s="40"/>
      <c r="K211" s="48" t="s">
        <v>208</v>
      </c>
      <c r="L211" s="345" t="s">
        <v>209</v>
      </c>
      <c r="M211" s="56"/>
      <c r="N211" s="56" t="s">
        <v>353</v>
      </c>
      <c r="O211" s="2"/>
      <c r="P211" s="50"/>
      <c r="Q211" s="50"/>
    </row>
    <row r="212" spans="1:20" ht="16.899999999999999" customHeight="1">
      <c r="B212" s="27" t="str">
        <f>+$E$3</f>
        <v>JULIETA SANTIAGO - IVAN PETRINI</v>
      </c>
      <c r="C212" s="27">
        <v>46254</v>
      </c>
      <c r="D212" s="41" t="s">
        <v>739</v>
      </c>
      <c r="E212" s="271" t="s">
        <v>431</v>
      </c>
      <c r="F212" s="416" t="s">
        <v>740</v>
      </c>
      <c r="G212" s="42" t="s">
        <v>83</v>
      </c>
      <c r="H212" s="417" t="s">
        <v>207</v>
      </c>
      <c r="I212" s="40">
        <v>155221.43</v>
      </c>
      <c r="J212" s="40"/>
      <c r="K212" s="48" t="s">
        <v>208</v>
      </c>
      <c r="L212" s="345" t="s">
        <v>209</v>
      </c>
      <c r="M212" s="56"/>
      <c r="N212" s="56" t="s">
        <v>353</v>
      </c>
      <c r="O212" s="2"/>
      <c r="P212" s="50"/>
      <c r="Q212" s="50"/>
    </row>
    <row r="213" spans="1:20" ht="16.899999999999999" customHeight="1">
      <c r="B213" s="152" t="str">
        <f t="shared" si="20"/>
        <v>JULIETA SANTIAGO - IVAN PETRINI</v>
      </c>
      <c r="C213" s="27">
        <v>46254</v>
      </c>
      <c r="D213" s="272" t="s">
        <v>364</v>
      </c>
      <c r="E213" s="42" t="s">
        <v>443</v>
      </c>
      <c r="F213" s="416" t="s">
        <v>741</v>
      </c>
      <c r="G213" s="42" t="s">
        <v>76</v>
      </c>
      <c r="H213" s="417" t="s">
        <v>52</v>
      </c>
      <c r="I213" s="40">
        <v>175000</v>
      </c>
      <c r="J213" s="40"/>
      <c r="K213" s="48" t="s">
        <v>629</v>
      </c>
      <c r="L213" s="345" t="s">
        <v>209</v>
      </c>
      <c r="M213" s="56"/>
      <c r="N213" s="56" t="s">
        <v>305</v>
      </c>
      <c r="O213" s="2"/>
      <c r="P213" s="50"/>
      <c r="Q213" s="50"/>
    </row>
    <row r="214" spans="1:20" ht="16.899999999999999" customHeight="1">
      <c r="B214" s="27" t="str">
        <f>+$E$3</f>
        <v>JULIETA SANTIAGO - IVAN PETRINI</v>
      </c>
      <c r="C214" s="27">
        <v>46255</v>
      </c>
      <c r="D214" s="42" t="s">
        <v>364</v>
      </c>
      <c r="E214" s="42" t="s">
        <v>742</v>
      </c>
      <c r="F214" s="416" t="s">
        <v>743</v>
      </c>
      <c r="G214" s="39" t="s">
        <v>93</v>
      </c>
      <c r="H214" s="417" t="s">
        <v>693</v>
      </c>
      <c r="I214" s="40">
        <v>1210000</v>
      </c>
      <c r="J214" s="40"/>
      <c r="K214" s="48" t="s">
        <v>629</v>
      </c>
      <c r="L214" s="345" t="s">
        <v>209</v>
      </c>
      <c r="M214" s="42" t="s">
        <v>732</v>
      </c>
      <c r="N214" s="56" t="s">
        <v>305</v>
      </c>
      <c r="O214" s="2"/>
      <c r="P214" s="50"/>
      <c r="Q214" s="50"/>
    </row>
    <row r="215" spans="1:20" ht="16.899999999999999" customHeight="1">
      <c r="B215" s="152" t="str">
        <f t="shared" si="20"/>
        <v>JULIETA SANTIAGO - IVAN PETRINI</v>
      </c>
      <c r="C215" s="27">
        <v>46259</v>
      </c>
      <c r="D215" s="41" t="s">
        <v>744</v>
      </c>
      <c r="E215" s="271" t="s">
        <v>431</v>
      </c>
      <c r="F215" s="416" t="s">
        <v>745</v>
      </c>
      <c r="G215" s="42" t="s">
        <v>17</v>
      </c>
      <c r="H215" s="417" t="s">
        <v>270</v>
      </c>
      <c r="I215" s="40">
        <v>1139200</v>
      </c>
      <c r="J215" s="40"/>
      <c r="K215" s="48" t="s">
        <v>208</v>
      </c>
      <c r="L215" s="345" t="s">
        <v>209</v>
      </c>
      <c r="M215" s="56"/>
      <c r="N215" s="56" t="s">
        <v>305</v>
      </c>
      <c r="O215" s="2"/>
      <c r="P215" s="50"/>
      <c r="Q215" s="50"/>
    </row>
    <row r="216" spans="1:20" ht="16.899999999999999" customHeight="1">
      <c r="B216" s="27" t="str">
        <f>+$E$3</f>
        <v>JULIETA SANTIAGO - IVAN PETRINI</v>
      </c>
      <c r="C216" s="27">
        <v>46261</v>
      </c>
      <c r="D216" s="41" t="s">
        <v>746</v>
      </c>
      <c r="E216" s="271" t="s">
        <v>431</v>
      </c>
      <c r="F216" s="416" t="s">
        <v>747</v>
      </c>
      <c r="G216" s="42" t="s">
        <v>85</v>
      </c>
      <c r="H216" s="417" t="s">
        <v>748</v>
      </c>
      <c r="I216" s="40">
        <v>257500</v>
      </c>
      <c r="J216" s="40"/>
      <c r="K216" s="48" t="s">
        <v>208</v>
      </c>
      <c r="L216" s="345" t="s">
        <v>209</v>
      </c>
      <c r="M216" s="56"/>
      <c r="N216" s="56" t="s">
        <v>305</v>
      </c>
      <c r="O216" s="2"/>
      <c r="P216" s="50"/>
      <c r="Q216" s="50"/>
    </row>
    <row r="217" spans="1:20" ht="16.899999999999999" customHeight="1">
      <c r="B217" s="152" t="str">
        <f t="shared" si="20"/>
        <v>JULIETA SANTIAGO - IVAN PETRINI</v>
      </c>
      <c r="C217" s="27">
        <v>46262</v>
      </c>
      <c r="D217" s="272" t="s">
        <v>364</v>
      </c>
      <c r="E217" s="42" t="s">
        <v>443</v>
      </c>
      <c r="F217" s="416" t="s">
        <v>749</v>
      </c>
      <c r="G217" s="42" t="s">
        <v>77</v>
      </c>
      <c r="H217" s="417" t="s">
        <v>52</v>
      </c>
      <c r="I217" s="40">
        <v>112500</v>
      </c>
      <c r="J217" s="40"/>
      <c r="K217" s="48" t="s">
        <v>629</v>
      </c>
      <c r="L217" s="345" t="s">
        <v>209</v>
      </c>
      <c r="M217" s="56"/>
      <c r="N217" s="56" t="s">
        <v>305</v>
      </c>
      <c r="O217" s="2"/>
      <c r="P217" s="50"/>
      <c r="Q217" s="50"/>
    </row>
    <row r="218" spans="1:20" s="138" customFormat="1" ht="28.9">
      <c r="A218" s="168" t="s">
        <v>218</v>
      </c>
      <c r="B218" s="156" t="str">
        <f t="shared" si="20"/>
        <v>JULIETA SANTIAGO - IVAN PETRINI</v>
      </c>
      <c r="C218" s="171">
        <v>46261</v>
      </c>
      <c r="D218" s="130"/>
      <c r="E218" s="317"/>
      <c r="F218" s="465"/>
      <c r="G218" s="131"/>
      <c r="H218" s="487"/>
      <c r="I218" s="132"/>
      <c r="J218" s="132"/>
      <c r="K218" s="368"/>
      <c r="L218" s="369"/>
      <c r="M218" s="135"/>
      <c r="N218" s="135"/>
      <c r="O218" s="140"/>
      <c r="P218" s="370"/>
      <c r="Q218" s="370"/>
      <c r="T218" s="371"/>
    </row>
    <row r="219" spans="1:20" ht="18" customHeight="1">
      <c r="A219" s="221"/>
      <c r="B219" s="27" t="str">
        <f>+$E$3</f>
        <v>JULIETA SANTIAGO - IVAN PETRINI</v>
      </c>
      <c r="C219" s="27">
        <v>46261</v>
      </c>
      <c r="D219" s="41" t="s">
        <v>750</v>
      </c>
      <c r="E219" s="271" t="s">
        <v>431</v>
      </c>
      <c r="F219" s="416" t="s">
        <v>751</v>
      </c>
      <c r="G219" s="42" t="s">
        <v>85</v>
      </c>
      <c r="H219" s="417" t="s">
        <v>33</v>
      </c>
      <c r="I219" s="40">
        <v>1275000</v>
      </c>
      <c r="J219" s="40"/>
      <c r="K219" s="48" t="s">
        <v>208</v>
      </c>
      <c r="L219" s="345" t="s">
        <v>209</v>
      </c>
      <c r="M219" s="56"/>
      <c r="N219" s="56" t="s">
        <v>305</v>
      </c>
      <c r="O219" s="2"/>
      <c r="P219" s="50"/>
      <c r="Q219" s="50"/>
      <c r="T219" s="15"/>
    </row>
    <row r="220" spans="1:20" ht="18" customHeight="1">
      <c r="A220" s="221"/>
      <c r="B220" s="27" t="str">
        <f>+$E$3</f>
        <v>JULIETA SANTIAGO - IVAN PETRINI</v>
      </c>
      <c r="C220" s="27">
        <v>46261</v>
      </c>
      <c r="D220" s="41" t="s">
        <v>752</v>
      </c>
      <c r="E220" s="271" t="s">
        <v>431</v>
      </c>
      <c r="F220" s="416" t="s">
        <v>753</v>
      </c>
      <c r="G220" s="42" t="s">
        <v>85</v>
      </c>
      <c r="H220" s="417" t="s">
        <v>33</v>
      </c>
      <c r="I220" s="40">
        <v>2104000</v>
      </c>
      <c r="J220" s="40"/>
      <c r="K220" s="48" t="s">
        <v>208</v>
      </c>
      <c r="L220" s="345" t="s">
        <v>209</v>
      </c>
      <c r="M220" s="56"/>
      <c r="N220" s="56" t="s">
        <v>305</v>
      </c>
      <c r="O220" s="2"/>
      <c r="P220" s="50"/>
      <c r="Q220" s="50"/>
      <c r="T220" s="15"/>
    </row>
    <row r="221" spans="1:20" ht="16.899999999999999" customHeight="1">
      <c r="B221" s="152" t="str">
        <f t="shared" si="20"/>
        <v>JULIETA SANTIAGO - IVAN PETRINI</v>
      </c>
      <c r="C221" s="27">
        <v>46262</v>
      </c>
      <c r="D221" s="272" t="s">
        <v>717</v>
      </c>
      <c r="E221" s="42" t="s">
        <v>443</v>
      </c>
      <c r="F221" s="416" t="s">
        <v>754</v>
      </c>
      <c r="G221" s="42" t="s">
        <v>21</v>
      </c>
      <c r="H221" s="417" t="s">
        <v>321</v>
      </c>
      <c r="I221" s="40">
        <v>650000</v>
      </c>
      <c r="J221" s="40"/>
      <c r="K221" s="48" t="s">
        <v>208</v>
      </c>
      <c r="L221" s="345" t="s">
        <v>209</v>
      </c>
      <c r="M221" s="56"/>
      <c r="N221" s="56" t="s">
        <v>461</v>
      </c>
      <c r="O221" s="2"/>
      <c r="P221" s="50"/>
      <c r="Q221" s="50"/>
    </row>
    <row r="222" spans="1:20" ht="16.899999999999999" customHeight="1">
      <c r="B222" s="152" t="str">
        <f t="shared" si="20"/>
        <v>JULIETA SANTIAGO - IVAN PETRINI</v>
      </c>
      <c r="C222" s="27">
        <v>46262</v>
      </c>
      <c r="D222" s="41" t="s">
        <v>755</v>
      </c>
      <c r="E222" s="271" t="s">
        <v>431</v>
      </c>
      <c r="F222" s="416" t="s">
        <v>753</v>
      </c>
      <c r="G222" s="42" t="s">
        <v>85</v>
      </c>
      <c r="H222" s="417" t="s">
        <v>33</v>
      </c>
      <c r="I222" s="40">
        <v>2104000</v>
      </c>
      <c r="J222" s="40"/>
      <c r="K222" s="48" t="s">
        <v>208</v>
      </c>
      <c r="L222" s="345" t="s">
        <v>209</v>
      </c>
      <c r="M222" s="56"/>
      <c r="N222" s="56" t="s">
        <v>305</v>
      </c>
      <c r="O222" s="2"/>
      <c r="P222" s="50"/>
      <c r="Q222" s="50"/>
    </row>
    <row r="223" spans="1:20" ht="16.899999999999999" customHeight="1">
      <c r="B223" s="152" t="str">
        <f t="shared" si="20"/>
        <v>JULIETA SANTIAGO - IVAN PETRINI</v>
      </c>
      <c r="C223" s="27">
        <v>46264</v>
      </c>
      <c r="D223" s="41" t="s">
        <v>756</v>
      </c>
      <c r="E223" s="271" t="s">
        <v>431</v>
      </c>
      <c r="F223" s="416" t="s">
        <v>597</v>
      </c>
      <c r="G223" s="42" t="s">
        <v>64</v>
      </c>
      <c r="H223" s="417" t="s">
        <v>481</v>
      </c>
      <c r="I223" s="40">
        <v>750678.17</v>
      </c>
      <c r="J223" s="40"/>
      <c r="K223" s="48" t="s">
        <v>208</v>
      </c>
      <c r="L223" s="345" t="s">
        <v>209</v>
      </c>
      <c r="M223" s="56"/>
      <c r="N223" s="56" t="s">
        <v>305</v>
      </c>
      <c r="O223" s="2"/>
      <c r="P223" s="50"/>
      <c r="Q223" s="50"/>
    </row>
    <row r="224" spans="1:20" ht="16.899999999999999" customHeight="1">
      <c r="B224" s="27" t="str">
        <f t="shared" ref="B224:B231" si="21">+$E$3</f>
        <v>JULIETA SANTIAGO - IVAN PETRINI</v>
      </c>
      <c r="C224" s="27">
        <v>46271</v>
      </c>
      <c r="D224" s="41" t="s">
        <v>757</v>
      </c>
      <c r="E224" s="271" t="s">
        <v>431</v>
      </c>
      <c r="F224" s="416" t="s">
        <v>655</v>
      </c>
      <c r="G224" s="42" t="s">
        <v>64</v>
      </c>
      <c r="H224" s="417" t="s">
        <v>481</v>
      </c>
      <c r="I224" s="40">
        <v>141226.07</v>
      </c>
      <c r="J224" s="40"/>
      <c r="K224" s="48" t="s">
        <v>208</v>
      </c>
      <c r="L224" s="345" t="s">
        <v>209</v>
      </c>
      <c r="M224" s="56"/>
      <c r="N224" s="56" t="s">
        <v>305</v>
      </c>
      <c r="O224" s="2"/>
      <c r="P224" s="50"/>
      <c r="Q224" s="50"/>
    </row>
    <row r="225" spans="1:20" ht="16.899999999999999" customHeight="1">
      <c r="B225" s="27" t="str">
        <f t="shared" si="21"/>
        <v>JULIETA SANTIAGO - IVAN PETRINI</v>
      </c>
      <c r="C225" s="27">
        <v>46271</v>
      </c>
      <c r="D225" s="41" t="s">
        <v>758</v>
      </c>
      <c r="E225" s="271" t="s">
        <v>431</v>
      </c>
      <c r="F225" s="416" t="s">
        <v>657</v>
      </c>
      <c r="G225" s="42" t="s">
        <v>64</v>
      </c>
      <c r="H225" s="417" t="s">
        <v>481</v>
      </c>
      <c r="I225" s="40">
        <v>319555.05</v>
      </c>
      <c r="J225" s="40"/>
      <c r="K225" s="48" t="s">
        <v>208</v>
      </c>
      <c r="L225" s="345" t="s">
        <v>209</v>
      </c>
      <c r="M225" s="56"/>
      <c r="N225" s="56" t="s">
        <v>305</v>
      </c>
      <c r="O225" s="2"/>
      <c r="P225" s="50"/>
      <c r="Q225" s="50"/>
    </row>
    <row r="226" spans="1:20" ht="16.899999999999999" customHeight="1">
      <c r="B226" s="27" t="str">
        <f t="shared" si="21"/>
        <v>JULIETA SANTIAGO - IVAN PETRINI</v>
      </c>
      <c r="C226" s="27">
        <v>46246</v>
      </c>
      <c r="D226" s="41" t="s">
        <v>759</v>
      </c>
      <c r="E226" s="271" t="s">
        <v>431</v>
      </c>
      <c r="F226" s="416" t="s">
        <v>760</v>
      </c>
      <c r="G226" s="42" t="s">
        <v>64</v>
      </c>
      <c r="H226" s="417" t="s">
        <v>481</v>
      </c>
      <c r="I226" s="40">
        <v>544500</v>
      </c>
      <c r="J226" s="40"/>
      <c r="K226" s="48" t="s">
        <v>208</v>
      </c>
      <c r="L226" s="345" t="s">
        <v>209</v>
      </c>
      <c r="M226" s="56"/>
      <c r="N226" s="56" t="s">
        <v>305</v>
      </c>
      <c r="O226" s="2"/>
      <c r="P226" s="50"/>
      <c r="Q226" s="50"/>
    </row>
    <row r="227" spans="1:20" ht="16.899999999999999" customHeight="1">
      <c r="B227" s="27" t="str">
        <f t="shared" si="21"/>
        <v>JULIETA SANTIAGO - IVAN PETRINI</v>
      </c>
      <c r="C227" s="27">
        <v>46268</v>
      </c>
      <c r="D227" s="41" t="s">
        <v>761</v>
      </c>
      <c r="E227" s="271" t="s">
        <v>431</v>
      </c>
      <c r="F227" s="416" t="s">
        <v>760</v>
      </c>
      <c r="G227" s="42" t="s">
        <v>64</v>
      </c>
      <c r="H227" s="417" t="s">
        <v>481</v>
      </c>
      <c r="I227" s="40">
        <v>363000</v>
      </c>
      <c r="J227" s="40"/>
      <c r="K227" s="48" t="s">
        <v>208</v>
      </c>
      <c r="L227" s="345" t="s">
        <v>209</v>
      </c>
      <c r="M227" s="56"/>
      <c r="N227" s="56" t="s">
        <v>305</v>
      </c>
      <c r="O227" s="2"/>
      <c r="P227" s="50"/>
      <c r="Q227" s="50"/>
    </row>
    <row r="228" spans="1:20" ht="16.899999999999999" customHeight="1">
      <c r="B228" s="27" t="str">
        <f t="shared" si="21"/>
        <v>JULIETA SANTIAGO - IVAN PETRINI</v>
      </c>
      <c r="C228" s="27">
        <v>46273</v>
      </c>
      <c r="D228" s="41" t="s">
        <v>762</v>
      </c>
      <c r="E228" s="271" t="s">
        <v>431</v>
      </c>
      <c r="F228" s="416" t="s">
        <v>763</v>
      </c>
      <c r="G228" s="42" t="s">
        <v>17</v>
      </c>
      <c r="H228" s="417" t="s">
        <v>270</v>
      </c>
      <c r="I228" s="40">
        <v>3168494</v>
      </c>
      <c r="J228" s="40"/>
      <c r="K228" s="48" t="s">
        <v>208</v>
      </c>
      <c r="L228" s="345" t="s">
        <v>209</v>
      </c>
      <c r="M228" s="56"/>
      <c r="N228" s="56" t="s">
        <v>305</v>
      </c>
      <c r="O228" s="2"/>
      <c r="P228" s="50"/>
      <c r="Q228" s="50"/>
    </row>
    <row r="229" spans="1:20" ht="16.899999999999999" customHeight="1">
      <c r="B229" s="27" t="str">
        <f t="shared" si="21"/>
        <v>JULIETA SANTIAGO - IVAN PETRINI</v>
      </c>
      <c r="C229" s="27">
        <v>46273</v>
      </c>
      <c r="D229" s="41" t="s">
        <v>764</v>
      </c>
      <c r="E229" s="271" t="s">
        <v>431</v>
      </c>
      <c r="F229" s="416" t="s">
        <v>765</v>
      </c>
      <c r="G229" s="42" t="s">
        <v>72</v>
      </c>
      <c r="H229" s="417" t="s">
        <v>63</v>
      </c>
      <c r="I229" s="40">
        <v>832425.48</v>
      </c>
      <c r="J229" s="40"/>
      <c r="K229" s="48" t="s">
        <v>208</v>
      </c>
      <c r="L229" s="345" t="s">
        <v>209</v>
      </c>
      <c r="M229" s="56"/>
      <c r="N229" s="56" t="s">
        <v>353</v>
      </c>
      <c r="O229" s="2"/>
      <c r="P229" s="50"/>
      <c r="Q229" s="50"/>
    </row>
    <row r="230" spans="1:20" ht="16.899999999999999" customHeight="1">
      <c r="B230" s="27" t="str">
        <f t="shared" si="21"/>
        <v>JULIETA SANTIAGO - IVAN PETRINI</v>
      </c>
      <c r="C230" s="27">
        <v>46275</v>
      </c>
      <c r="D230" s="272" t="s">
        <v>717</v>
      </c>
      <c r="E230" s="42" t="s">
        <v>443</v>
      </c>
      <c r="F230" s="416" t="s">
        <v>754</v>
      </c>
      <c r="G230" s="42" t="s">
        <v>21</v>
      </c>
      <c r="H230" s="417" t="s">
        <v>321</v>
      </c>
      <c r="I230" s="40">
        <v>650000</v>
      </c>
      <c r="J230" s="40"/>
      <c r="K230" s="48" t="s">
        <v>208</v>
      </c>
      <c r="L230" s="345" t="s">
        <v>732</v>
      </c>
      <c r="M230" s="56"/>
      <c r="N230" s="56" t="s">
        <v>461</v>
      </c>
      <c r="O230" s="2"/>
      <c r="P230" s="50"/>
      <c r="Q230" s="50"/>
    </row>
    <row r="231" spans="1:20" ht="16.899999999999999" customHeight="1">
      <c r="B231" s="27" t="str">
        <f t="shared" si="21"/>
        <v>JULIETA SANTIAGO - IVAN PETRINI</v>
      </c>
      <c r="C231" s="27">
        <v>46275</v>
      </c>
      <c r="D231" s="42" t="s">
        <v>766</v>
      </c>
      <c r="E231" s="271" t="s">
        <v>431</v>
      </c>
      <c r="F231" s="416" t="s">
        <v>767</v>
      </c>
      <c r="G231" s="42" t="s">
        <v>73</v>
      </c>
      <c r="H231" s="417" t="s">
        <v>63</v>
      </c>
      <c r="I231" s="40">
        <v>7281209.2000000002</v>
      </c>
      <c r="J231" s="40"/>
      <c r="K231" s="48" t="s">
        <v>208</v>
      </c>
      <c r="L231" s="345" t="s">
        <v>732</v>
      </c>
      <c r="M231" s="56"/>
      <c r="N231" s="56" t="s">
        <v>353</v>
      </c>
      <c r="O231" s="2"/>
      <c r="P231" s="50"/>
      <c r="Q231" s="50"/>
    </row>
    <row r="232" spans="1:20" ht="16.899999999999999" customHeight="1">
      <c r="B232" s="152" t="str">
        <f t="shared" si="20"/>
        <v>JULIETA SANTIAGO - IVAN PETRINI</v>
      </c>
      <c r="C232" s="27"/>
      <c r="D232" s="38"/>
      <c r="E232" s="38"/>
      <c r="F232" s="416"/>
      <c r="G232" s="39"/>
      <c r="H232" s="417"/>
      <c r="I232" s="40"/>
      <c r="J232" s="40"/>
      <c r="K232" s="48"/>
      <c r="L232" s="272"/>
      <c r="M232" s="56"/>
      <c r="N232" s="56"/>
      <c r="O232" s="2"/>
      <c r="P232" s="50"/>
      <c r="Q232" s="50"/>
    </row>
    <row r="233" spans="1:20" s="311" customFormat="1" ht="18.600000000000001" customHeight="1">
      <c r="A233" s="367" t="s">
        <v>257</v>
      </c>
      <c r="B233" s="361" t="str">
        <f t="shared" si="20"/>
        <v>JULIETA SANTIAGO - IVAN PETRINI</v>
      </c>
      <c r="C233" s="302">
        <v>46275</v>
      </c>
      <c r="D233" s="303"/>
      <c r="E233" s="362"/>
      <c r="F233" s="467"/>
      <c r="G233" s="304"/>
      <c r="H233" s="489"/>
      <c r="I233" s="305"/>
      <c r="J233" s="305"/>
      <c r="K233" s="363"/>
      <c r="L233" s="364"/>
      <c r="M233" s="308"/>
      <c r="N233" s="308"/>
      <c r="O233" s="365"/>
      <c r="P233" s="366"/>
      <c r="Q233" s="366"/>
      <c r="T233" s="360"/>
    </row>
    <row r="234" spans="1:20" ht="18.600000000000001" customHeight="1">
      <c r="A234" s="374"/>
      <c r="B234" s="27" t="str">
        <f>+$E$3</f>
        <v>JULIETA SANTIAGO - IVAN PETRINI</v>
      </c>
      <c r="C234" s="27">
        <v>46276</v>
      </c>
      <c r="D234" s="41" t="s">
        <v>768</v>
      </c>
      <c r="E234" s="271" t="s">
        <v>431</v>
      </c>
      <c r="F234" s="416" t="s">
        <v>769</v>
      </c>
      <c r="G234" s="42" t="s">
        <v>17</v>
      </c>
      <c r="H234" s="417" t="s">
        <v>270</v>
      </c>
      <c r="I234" s="40">
        <v>2685194</v>
      </c>
      <c r="J234" s="40"/>
      <c r="K234" s="48" t="s">
        <v>208</v>
      </c>
      <c r="L234" s="345" t="s">
        <v>209</v>
      </c>
      <c r="M234" s="56"/>
      <c r="N234" s="56" t="s">
        <v>305</v>
      </c>
      <c r="O234" s="2"/>
      <c r="P234" s="50"/>
      <c r="Q234" s="50"/>
      <c r="T234" s="15"/>
    </row>
    <row r="235" spans="1:20" ht="18.600000000000001" customHeight="1">
      <c r="A235" s="374"/>
      <c r="B235" s="27" t="str">
        <f t="shared" ref="B235:B240" si="22">+$E$3</f>
        <v>JULIETA SANTIAGO - IVAN PETRINI</v>
      </c>
      <c r="C235" s="475">
        <v>46280</v>
      </c>
      <c r="D235" s="41" t="s">
        <v>770</v>
      </c>
      <c r="E235" s="271" t="s">
        <v>431</v>
      </c>
      <c r="F235" s="416" t="s">
        <v>771</v>
      </c>
      <c r="G235" s="42" t="s">
        <v>142</v>
      </c>
      <c r="H235" s="417" t="s">
        <v>772</v>
      </c>
      <c r="I235" s="40">
        <v>192500</v>
      </c>
      <c r="J235" s="40"/>
      <c r="K235" s="48" t="s">
        <v>208</v>
      </c>
      <c r="L235" s="345" t="s">
        <v>209</v>
      </c>
      <c r="M235" s="56"/>
      <c r="N235" s="56" t="s">
        <v>305</v>
      </c>
      <c r="O235" s="2"/>
      <c r="P235" s="50"/>
      <c r="Q235" s="50"/>
      <c r="T235" s="15"/>
    </row>
    <row r="236" spans="1:20" ht="18.600000000000001" customHeight="1">
      <c r="A236" s="374"/>
      <c r="B236" s="152" t="str">
        <f t="shared" si="22"/>
        <v>JULIETA SANTIAGO - IVAN PETRINI</v>
      </c>
      <c r="C236" s="475">
        <v>46275</v>
      </c>
      <c r="D236" s="41" t="s">
        <v>773</v>
      </c>
      <c r="E236" s="271" t="s">
        <v>431</v>
      </c>
      <c r="F236" s="416" t="s">
        <v>774</v>
      </c>
      <c r="G236" s="42" t="s">
        <v>73</v>
      </c>
      <c r="H236" s="417" t="s">
        <v>63</v>
      </c>
      <c r="I236" s="40">
        <v>7281209.2000000002</v>
      </c>
      <c r="J236" s="40"/>
      <c r="K236" s="48"/>
      <c r="L236" s="345" t="s">
        <v>732</v>
      </c>
      <c r="M236" s="56"/>
      <c r="N236" s="56"/>
      <c r="O236" s="2"/>
      <c r="P236" s="50"/>
      <c r="Q236" s="50"/>
      <c r="T236" s="15"/>
    </row>
    <row r="237" spans="1:20" ht="18.600000000000001" customHeight="1">
      <c r="A237" s="374"/>
      <c r="B237" s="152" t="str">
        <f t="shared" si="22"/>
        <v>JULIETA SANTIAGO - IVAN PETRINI</v>
      </c>
      <c r="C237" s="475">
        <v>46280</v>
      </c>
      <c r="D237" s="41" t="s">
        <v>775</v>
      </c>
      <c r="E237" s="271" t="s">
        <v>431</v>
      </c>
      <c r="F237" s="416" t="s">
        <v>776</v>
      </c>
      <c r="G237" s="42" t="s">
        <v>143</v>
      </c>
      <c r="H237" s="417" t="s">
        <v>225</v>
      </c>
      <c r="I237" s="40">
        <v>105756.66</v>
      </c>
      <c r="J237" s="40"/>
      <c r="K237" s="48" t="s">
        <v>208</v>
      </c>
      <c r="L237" s="345" t="s">
        <v>209</v>
      </c>
      <c r="M237" s="56"/>
      <c r="N237" s="56"/>
      <c r="O237" s="2"/>
      <c r="P237" s="50"/>
      <c r="Q237" s="50"/>
      <c r="T237" s="15"/>
    </row>
    <row r="238" spans="1:20" ht="18.600000000000001" customHeight="1">
      <c r="A238" s="374"/>
      <c r="B238" s="152" t="str">
        <f t="shared" si="22"/>
        <v>JULIETA SANTIAGO - IVAN PETRINI</v>
      </c>
      <c r="C238" s="475">
        <v>46281</v>
      </c>
      <c r="D238" s="41" t="s">
        <v>777</v>
      </c>
      <c r="E238" s="42" t="s">
        <v>533</v>
      </c>
      <c r="F238" s="416" t="s">
        <v>778</v>
      </c>
      <c r="G238" s="42" t="s">
        <v>71</v>
      </c>
      <c r="H238" s="417" t="s">
        <v>779</v>
      </c>
      <c r="I238" s="40">
        <v>137805.19</v>
      </c>
      <c r="J238" s="40"/>
      <c r="K238" s="48"/>
      <c r="L238" s="345" t="s">
        <v>732</v>
      </c>
      <c r="M238" s="56"/>
      <c r="N238" s="56"/>
      <c r="O238" s="2"/>
      <c r="P238" s="50"/>
      <c r="Q238" s="50"/>
      <c r="T238" s="15"/>
    </row>
    <row r="239" spans="1:20" ht="18.600000000000001" customHeight="1">
      <c r="A239" s="374"/>
      <c r="B239" s="152" t="str">
        <f t="shared" si="22"/>
        <v>JULIETA SANTIAGO - IVAN PETRINI</v>
      </c>
      <c r="C239" s="475">
        <v>46286</v>
      </c>
      <c r="D239" s="272" t="s">
        <v>364</v>
      </c>
      <c r="E239" s="42" t="s">
        <v>431</v>
      </c>
      <c r="F239" s="416" t="s">
        <v>780</v>
      </c>
      <c r="G239" s="42" t="s">
        <v>143</v>
      </c>
      <c r="H239" s="417" t="s">
        <v>225</v>
      </c>
      <c r="I239" s="40">
        <v>-1288324.1000000001</v>
      </c>
      <c r="J239" s="40"/>
      <c r="K239" s="48"/>
      <c r="L239" s="345" t="s">
        <v>732</v>
      </c>
      <c r="M239" s="56"/>
      <c r="N239" s="56"/>
      <c r="O239" s="2"/>
      <c r="P239" s="50"/>
      <c r="Q239" s="50"/>
      <c r="T239" s="15"/>
    </row>
    <row r="240" spans="1:20" ht="18.600000000000001" customHeight="1">
      <c r="A240" s="374"/>
      <c r="B240" s="152" t="str">
        <f t="shared" si="22"/>
        <v>JULIETA SANTIAGO - IVAN PETRINI</v>
      </c>
      <c r="C240" s="475">
        <v>46288</v>
      </c>
      <c r="D240" s="41" t="s">
        <v>781</v>
      </c>
      <c r="E240" s="42" t="s">
        <v>431</v>
      </c>
      <c r="F240" s="416" t="s">
        <v>782</v>
      </c>
      <c r="G240" s="42" t="s">
        <v>17</v>
      </c>
      <c r="H240" s="417" t="s">
        <v>270</v>
      </c>
      <c r="I240" s="40">
        <v>9394399</v>
      </c>
      <c r="J240" s="40"/>
      <c r="K240" s="48" t="s">
        <v>208</v>
      </c>
      <c r="L240" s="345" t="s">
        <v>209</v>
      </c>
      <c r="M240" s="56"/>
      <c r="N240" s="56"/>
      <c r="O240" s="2"/>
      <c r="P240" s="50"/>
      <c r="Q240" s="50"/>
      <c r="T240" s="15"/>
    </row>
    <row r="241" spans="1:20" ht="18.600000000000001" customHeight="1">
      <c r="A241" s="374"/>
      <c r="B241" s="27" t="str">
        <f>+$E$3</f>
        <v>JULIETA SANTIAGO - IVAN PETRINI</v>
      </c>
      <c r="C241" s="475">
        <v>46282</v>
      </c>
      <c r="D241" s="272" t="s">
        <v>364</v>
      </c>
      <c r="E241" s="42" t="s">
        <v>443</v>
      </c>
      <c r="F241" s="416" t="s">
        <v>783</v>
      </c>
      <c r="G241" s="42" t="s">
        <v>76</v>
      </c>
      <c r="H241" s="417" t="s">
        <v>52</v>
      </c>
      <c r="I241" s="40">
        <v>175000</v>
      </c>
      <c r="J241" s="40"/>
      <c r="K241" s="48" t="s">
        <v>629</v>
      </c>
      <c r="L241" s="345" t="s">
        <v>732</v>
      </c>
      <c r="M241" s="56" t="s">
        <v>732</v>
      </c>
      <c r="N241" s="418"/>
      <c r="O241" s="2"/>
      <c r="P241" s="50"/>
      <c r="Q241" s="50"/>
      <c r="T241" s="15"/>
    </row>
    <row r="242" spans="1:20" ht="18.600000000000001" customHeight="1">
      <c r="A242" s="374"/>
      <c r="B242" s="27" t="str">
        <f>+$E$3</f>
        <v>JULIETA SANTIAGO - IVAN PETRINI</v>
      </c>
      <c r="C242" s="475">
        <v>46282</v>
      </c>
      <c r="D242" s="272" t="s">
        <v>364</v>
      </c>
      <c r="E242" s="42" t="s">
        <v>443</v>
      </c>
      <c r="F242" s="416" t="s">
        <v>784</v>
      </c>
      <c r="G242" s="42" t="s">
        <v>76</v>
      </c>
      <c r="H242" s="417" t="s">
        <v>52</v>
      </c>
      <c r="I242" s="40">
        <v>80000</v>
      </c>
      <c r="J242" s="40"/>
      <c r="K242" s="48" t="s">
        <v>629</v>
      </c>
      <c r="L242" s="345" t="s">
        <v>732</v>
      </c>
      <c r="M242" s="56" t="s">
        <v>732</v>
      </c>
      <c r="N242" s="418"/>
      <c r="O242" s="2"/>
      <c r="P242" s="50"/>
      <c r="Q242" s="50"/>
      <c r="T242" s="15"/>
    </row>
    <row r="243" spans="1:20" ht="17.45" customHeight="1">
      <c r="B243" s="152" t="str">
        <f t="shared" si="1"/>
        <v>JULIETA SANTIAGO - IVAN PETRINI</v>
      </c>
      <c r="C243" s="59"/>
      <c r="D243" s="469" t="s">
        <v>785</v>
      </c>
      <c r="E243" s="38"/>
      <c r="F243" s="419"/>
      <c r="G243" s="373"/>
      <c r="H243" s="490"/>
      <c r="I243" s="4"/>
      <c r="J243" s="4"/>
      <c r="K243" s="48"/>
      <c r="L243" s="14"/>
      <c r="M243" s="56"/>
      <c r="N243" s="56"/>
      <c r="O243" s="14"/>
      <c r="P243" s="50"/>
      <c r="Q243" s="50"/>
    </row>
    <row r="244" spans="1:20" ht="20.100000000000001" customHeight="1" thickBot="1">
      <c r="B244" s="6"/>
      <c r="G244" s="15"/>
      <c r="H244" s="398"/>
      <c r="I244" s="30"/>
      <c r="L244" s="56"/>
    </row>
    <row r="245" spans="1:20" ht="19.350000000000001" customHeight="1" thickBot="1">
      <c r="B245" s="6"/>
      <c r="H245" s="415" t="s">
        <v>258</v>
      </c>
      <c r="I245" s="32">
        <f>SUM(I10:I243)</f>
        <v>453190548.11000013</v>
      </c>
      <c r="L245" s="56"/>
    </row>
    <row r="246" spans="1:20" ht="13.35" customHeight="1">
      <c r="B246" s="6"/>
      <c r="G246" s="15"/>
      <c r="H246" s="398"/>
      <c r="I246" s="30"/>
      <c r="L246" s="56"/>
    </row>
    <row r="247" spans="1:20">
      <c r="B247" s="6"/>
      <c r="G247" s="15"/>
      <c r="H247" s="398"/>
      <c r="I247" s="30"/>
      <c r="L247" s="56"/>
    </row>
    <row r="248" spans="1:20">
      <c r="B248" s="6"/>
      <c r="G248" s="15"/>
      <c r="H248" s="398"/>
      <c r="I248" s="30"/>
      <c r="L248" s="56"/>
    </row>
    <row r="249" spans="1:20">
      <c r="B249" s="6"/>
      <c r="F249" t="s">
        <v>785</v>
      </c>
      <c r="H249" s="400"/>
      <c r="I249" s="20"/>
      <c r="L249" s="56"/>
    </row>
    <row r="250" spans="1:20">
      <c r="B250" s="6"/>
      <c r="H250" s="400"/>
      <c r="I250" s="20"/>
      <c r="L250" s="56"/>
    </row>
    <row r="251" spans="1:20">
      <c r="B251" s="6"/>
      <c r="H251" s="400"/>
      <c r="I251" s="20"/>
      <c r="L251" s="56"/>
    </row>
    <row r="252" spans="1:20">
      <c r="B252" s="6"/>
      <c r="H252" s="400"/>
      <c r="I252" s="20"/>
      <c r="L252" s="56"/>
    </row>
    <row r="253" spans="1:20">
      <c r="B253" s="6"/>
      <c r="H253" s="400"/>
      <c r="I253" s="20"/>
      <c r="L253" s="56"/>
    </row>
    <row r="254" spans="1:20">
      <c r="B254" s="6"/>
      <c r="H254" s="400"/>
      <c r="I254" s="20"/>
      <c r="L254" s="56"/>
    </row>
    <row r="255" spans="1:20">
      <c r="B255" s="6"/>
      <c r="H255" s="400"/>
      <c r="I255" s="20"/>
      <c r="L255" s="56"/>
    </row>
    <row r="256" spans="1:20">
      <c r="B256" s="6"/>
      <c r="H256" s="400"/>
      <c r="I256" s="20"/>
      <c r="L256" s="56"/>
    </row>
    <row r="257" spans="2:12">
      <c r="B257" s="6"/>
      <c r="H257" s="400"/>
      <c r="I257" s="20"/>
      <c r="L257" s="56"/>
    </row>
    <row r="258" spans="2:12">
      <c r="B258" s="6"/>
      <c r="H258" s="400"/>
      <c r="I258" s="20"/>
      <c r="L258" s="2"/>
    </row>
    <row r="259" spans="2:12">
      <c r="B259" s="6"/>
      <c r="H259" s="400"/>
      <c r="I259" s="20"/>
      <c r="L259" s="2"/>
    </row>
    <row r="260" spans="2:12">
      <c r="B260" s="6"/>
      <c r="H260" s="400"/>
      <c r="I260" s="20"/>
      <c r="L260" s="2"/>
    </row>
    <row r="261" spans="2:12">
      <c r="B261" s="6"/>
      <c r="H261" s="400"/>
      <c r="I261" s="20"/>
      <c r="L261" s="2"/>
    </row>
    <row r="262" spans="2:12">
      <c r="B262" s="6"/>
      <c r="H262" s="400"/>
      <c r="I262" s="20"/>
      <c r="L262" s="1"/>
    </row>
    <row r="263" spans="2:12">
      <c r="B263" s="6"/>
      <c r="H263" s="400"/>
      <c r="I263" s="20"/>
    </row>
    <row r="264" spans="2:12">
      <c r="B264" s="6"/>
      <c r="H264" s="400"/>
      <c r="I264" s="20"/>
    </row>
    <row r="265" spans="2:12">
      <c r="B265" s="6"/>
      <c r="H265" s="400"/>
      <c r="I265" s="20"/>
    </row>
    <row r="266" spans="2:12">
      <c r="B266" s="6"/>
      <c r="H266" s="400"/>
      <c r="I266" s="20"/>
    </row>
    <row r="267" spans="2:12">
      <c r="B267" s="6"/>
      <c r="H267" s="400"/>
      <c r="I267" s="20"/>
    </row>
    <row r="268" spans="2:12">
      <c r="B268" s="6"/>
      <c r="H268" s="400"/>
      <c r="I268" s="20"/>
    </row>
    <row r="269" spans="2:12">
      <c r="B269" s="6"/>
      <c r="H269" s="400"/>
      <c r="I269" s="20"/>
    </row>
    <row r="270" spans="2:12">
      <c r="B270" s="6"/>
      <c r="H270" s="400"/>
      <c r="I270" s="20"/>
    </row>
    <row r="271" spans="2:12">
      <c r="B271" s="6"/>
      <c r="H271" s="400"/>
      <c r="I271" s="20"/>
    </row>
    <row r="272" spans="2:12">
      <c r="B272" s="6"/>
      <c r="H272" s="400"/>
      <c r="I272" s="20"/>
    </row>
    <row r="273" spans="2:9">
      <c r="B273" s="6"/>
      <c r="H273" s="400"/>
      <c r="I273" s="20"/>
    </row>
    <row r="274" spans="2:9">
      <c r="B274" s="6"/>
      <c r="H274" s="400"/>
      <c r="I274" s="20"/>
    </row>
    <row r="275" spans="2:9">
      <c r="B275" s="6"/>
      <c r="H275" s="400"/>
      <c r="I275" s="20"/>
    </row>
    <row r="276" spans="2:9">
      <c r="B276" s="6"/>
      <c r="H276" s="400"/>
      <c r="I276" s="20"/>
    </row>
    <row r="277" spans="2:9">
      <c r="B277" s="6"/>
      <c r="H277" s="400"/>
      <c r="I277" s="20"/>
    </row>
    <row r="278" spans="2:9">
      <c r="B278" s="6"/>
      <c r="H278" s="400"/>
      <c r="I278" s="20"/>
    </row>
    <row r="279" spans="2:9">
      <c r="B279" s="6"/>
      <c r="H279" s="400"/>
      <c r="I279" s="20"/>
    </row>
    <row r="280" spans="2:9">
      <c r="B280" s="6"/>
      <c r="H280" s="400"/>
      <c r="I280" s="20"/>
    </row>
    <row r="281" spans="2:9">
      <c r="B281" s="6"/>
      <c r="H281" s="400"/>
      <c r="I281" s="20"/>
    </row>
    <row r="282" spans="2:9">
      <c r="B282" s="6"/>
      <c r="H282" s="400"/>
      <c r="I282" s="20"/>
    </row>
    <row r="283" spans="2:9">
      <c r="B283" s="6"/>
      <c r="H283" s="400"/>
      <c r="I283" s="20"/>
    </row>
    <row r="284" spans="2:9">
      <c r="B284" s="6"/>
      <c r="H284" s="400"/>
      <c r="I284" s="20"/>
    </row>
    <row r="285" spans="2:9">
      <c r="B285" s="6"/>
      <c r="H285" s="400"/>
      <c r="I285" s="20"/>
    </row>
    <row r="286" spans="2:9">
      <c r="B286" s="6"/>
      <c r="H286" s="400"/>
      <c r="I286" s="20"/>
    </row>
  </sheetData>
  <mergeCells count="5">
    <mergeCell ref="D2:H2"/>
    <mergeCell ref="F3:G3"/>
    <mergeCell ref="F4:G4"/>
    <mergeCell ref="F5:G5"/>
    <mergeCell ref="F6:G6"/>
  </mergeCells>
  <phoneticPr fontId="5" type="noConversion"/>
  <conditionalFormatting sqref="L10:L56">
    <cfRule type="containsText" dxfId="1229" priority="274" operator="containsText" text="Pendiente">
      <formula>NOT(ISERROR(SEARCH("Pendiente",L10)))</formula>
    </cfRule>
    <cfRule type="containsText" dxfId="1228" priority="275" operator="containsText" text="Pagado">
      <formula>NOT(ISERROR(SEARCH("Pagado",L10)))</formula>
    </cfRule>
    <cfRule type="containsText" dxfId="1227" priority="276" operator="containsText" text="Para abonar">
      <formula>NOT(ISERROR(SEARCH("Para abonar",L10)))</formula>
    </cfRule>
  </conditionalFormatting>
  <conditionalFormatting sqref="L57 N57:O57 L67 N67:O67 N69:O72 L69:L74 N73:N75 L76:L81 N76:O81 L83:L84 N83:O84 L86:L95 N86:O95 L97:L98 N97:O98 L100:O169 L170 O170:O171 L171:M171 L172:O173 L174:M174 O174:O183 L184:O184 N185:O185 L186:O189 M190:O192 L193:O193 O194:O197 L195:M197 L198:O198 M199 O199:O206 O208:O217 L244:L261">
    <cfRule type="cellIs" dxfId="1226" priority="223" operator="equal">
      <formula>"Cuenta Corriente"</formula>
    </cfRule>
    <cfRule type="cellIs" dxfId="1225" priority="224" operator="equal">
      <formula>"No Pagado"</formula>
    </cfRule>
  </conditionalFormatting>
  <conditionalFormatting sqref="L58:L66">
    <cfRule type="containsText" dxfId="1224" priority="235" operator="containsText" text="Pendiente">
      <formula>NOT(ISERROR(SEARCH("Pendiente",L58)))</formula>
    </cfRule>
    <cfRule type="containsText" dxfId="1223" priority="236" operator="containsText" text="Pagado">
      <formula>NOT(ISERROR(SEARCH("Pagado",L58)))</formula>
    </cfRule>
    <cfRule type="containsText" dxfId="1222" priority="237" operator="containsText" text="Para abonar">
      <formula>NOT(ISERROR(SEARCH("Para abonar",L58)))</formula>
    </cfRule>
  </conditionalFormatting>
  <conditionalFormatting sqref="L68 O68">
    <cfRule type="containsText" dxfId="1221" priority="246" operator="containsText" text="Pendiente">
      <formula>NOT(ISERROR(SEARCH("Pendiente",L68)))</formula>
    </cfRule>
    <cfRule type="containsText" dxfId="1220" priority="247" operator="containsText" text="Pagado">
      <formula>NOT(ISERROR(SEARCH("Pagado",L68)))</formula>
    </cfRule>
    <cfRule type="containsText" dxfId="1219" priority="248" operator="containsText" text="Para abonar">
      <formula>NOT(ISERROR(SEARCH("Para abonar",L68)))</formula>
    </cfRule>
  </conditionalFormatting>
  <conditionalFormatting sqref="L75 O75">
    <cfRule type="containsText" dxfId="1218" priority="227" operator="containsText" text="Pendiente">
      <formula>NOT(ISERROR(SEARCH("Pendiente",L75)))</formula>
    </cfRule>
    <cfRule type="containsText" dxfId="1217" priority="228" operator="containsText" text="Pagado">
      <formula>NOT(ISERROR(SEARCH("Pagado",L75)))</formula>
    </cfRule>
    <cfRule type="containsText" dxfId="1216" priority="229" operator="containsText" text="Para abonar">
      <formula>NOT(ISERROR(SEARCH("Para abonar",L75)))</formula>
    </cfRule>
  </conditionalFormatting>
  <conditionalFormatting sqref="L82 O82">
    <cfRule type="containsText" dxfId="1215" priority="220" operator="containsText" text="Pendiente">
      <formula>NOT(ISERROR(SEARCH("Pendiente",L82)))</formula>
    </cfRule>
    <cfRule type="containsText" dxfId="1214" priority="221" operator="containsText" text="Pagado">
      <formula>NOT(ISERROR(SEARCH("Pagado",L82)))</formula>
    </cfRule>
    <cfRule type="containsText" dxfId="1213" priority="222" operator="containsText" text="Para abonar">
      <formula>NOT(ISERROR(SEARCH("Para abonar",L82)))</formula>
    </cfRule>
  </conditionalFormatting>
  <conditionalFormatting sqref="L175:L183">
    <cfRule type="cellIs" dxfId="1212" priority="97" operator="equal">
      <formula>"Cuenta Corriente"</formula>
    </cfRule>
    <cfRule type="cellIs" dxfId="1211" priority="98" operator="equal">
      <formula>"No Pagado"</formula>
    </cfRule>
  </conditionalFormatting>
  <conditionalFormatting sqref="L185">
    <cfRule type="cellIs" dxfId="1210" priority="87" operator="equal">
      <formula>"Cuenta Corriente"</formula>
    </cfRule>
    <cfRule type="cellIs" dxfId="1209" priority="88" operator="equal">
      <formula>"No Pagado"</formula>
    </cfRule>
  </conditionalFormatting>
  <conditionalFormatting sqref="L190:L192">
    <cfRule type="cellIs" dxfId="1208" priority="85" operator="equal">
      <formula>"Cuenta Corriente"</formula>
    </cfRule>
    <cfRule type="cellIs" dxfId="1207" priority="86" operator="equal">
      <formula>"No Pagado"</formula>
    </cfRule>
  </conditionalFormatting>
  <conditionalFormatting sqref="L194">
    <cfRule type="cellIs" dxfId="1206" priority="55" operator="equal">
      <formula>"Cuenta Corriente"</formula>
    </cfRule>
    <cfRule type="cellIs" dxfId="1205" priority="56" operator="equal">
      <formula>"No Pagado"</formula>
    </cfRule>
  </conditionalFormatting>
  <conditionalFormatting sqref="L199:L206">
    <cfRule type="cellIs" dxfId="1204" priority="59" operator="equal">
      <formula>"Cuenta Corriente"</formula>
    </cfRule>
    <cfRule type="cellIs" dxfId="1203" priority="60" operator="equal">
      <formula>"No Pagado"</formula>
    </cfRule>
  </conditionalFormatting>
  <conditionalFormatting sqref="L208">
    <cfRule type="cellIs" dxfId="1202" priority="53" operator="equal">
      <formula>"Cuenta Corriente"</formula>
    </cfRule>
    <cfRule type="cellIs" dxfId="1201" priority="54" operator="equal">
      <formula>"No Pagado"</formula>
    </cfRule>
  </conditionalFormatting>
  <conditionalFormatting sqref="L211:L214 L213:N213 N214 L215:N215">
    <cfRule type="cellIs" dxfId="1200" priority="33" operator="equal">
      <formula>"Cuenta Corriente"</formula>
    </cfRule>
    <cfRule type="cellIs" dxfId="1199" priority="34" operator="equal">
      <formula>"No Pagado"</formula>
    </cfRule>
  </conditionalFormatting>
  <conditionalFormatting sqref="L216:L217">
    <cfRule type="cellIs" dxfId="1198" priority="35" operator="equal">
      <formula>"Cuenta Corriente"</formula>
    </cfRule>
    <cfRule type="cellIs" dxfId="1197" priority="36" operator="equal">
      <formula>"No Pagado"</formula>
    </cfRule>
  </conditionalFormatting>
  <conditionalFormatting sqref="L223:L229">
    <cfRule type="cellIs" dxfId="1196" priority="17" operator="equal">
      <formula>"Cuenta Corriente"</formula>
    </cfRule>
    <cfRule type="cellIs" dxfId="1195" priority="18" operator="equal">
      <formula>"No Pagado"</formula>
    </cfRule>
  </conditionalFormatting>
  <conditionalFormatting sqref="L234:L242">
    <cfRule type="cellIs" dxfId="1194" priority="1" operator="equal">
      <formula>"Cuenta Corriente"</formula>
    </cfRule>
    <cfRule type="cellIs" dxfId="1193" priority="2" operator="equal">
      <formula>"No Pagado"</formula>
    </cfRule>
  </conditionalFormatting>
  <conditionalFormatting sqref="L85:M85 O85">
    <cfRule type="containsText" dxfId="1192" priority="215" operator="containsText" text="Pendiente">
      <formula>NOT(ISERROR(SEARCH("Pendiente",L85)))</formula>
    </cfRule>
    <cfRule type="containsText" dxfId="1191" priority="216" operator="containsText" text="Pagado">
      <formula>NOT(ISERROR(SEARCH("Pagado",L85)))</formula>
    </cfRule>
    <cfRule type="containsText" dxfId="1190" priority="217" operator="containsText" text="Para abonar">
      <formula>NOT(ISERROR(SEARCH("Para abonar",L85)))</formula>
    </cfRule>
  </conditionalFormatting>
  <conditionalFormatting sqref="L96:M96 O96">
    <cfRule type="containsText" dxfId="1189" priority="152" operator="containsText" text="Pendiente">
      <formula>NOT(ISERROR(SEARCH("Pendiente",L96)))</formula>
    </cfRule>
    <cfRule type="containsText" dxfId="1188" priority="153" operator="containsText" text="Pagado">
      <formula>NOT(ISERROR(SEARCH("Pagado",L96)))</formula>
    </cfRule>
    <cfRule type="containsText" dxfId="1187" priority="154" operator="containsText" text="Para abonar">
      <formula>NOT(ISERROR(SEARCH("Para abonar",L96)))</formula>
    </cfRule>
  </conditionalFormatting>
  <conditionalFormatting sqref="L99:M99 O99">
    <cfRule type="containsText" dxfId="1186" priority="139" operator="containsText" text="Pendiente">
      <formula>NOT(ISERROR(SEARCH("Pendiente",L99)))</formula>
    </cfRule>
    <cfRule type="containsText" dxfId="1185" priority="140" operator="containsText" text="Pagado">
      <formula>NOT(ISERROR(SEARCH("Pagado",L99)))</formula>
    </cfRule>
    <cfRule type="containsText" dxfId="1184" priority="141" operator="containsText" text="Para abonar">
      <formula>NOT(ISERROR(SEARCH("Para abonar",L99)))</formula>
    </cfRule>
  </conditionalFormatting>
  <conditionalFormatting sqref="L209:M209">
    <cfRule type="cellIs" dxfId="1183" priority="49" operator="equal">
      <formula>"Cuenta Corriente"</formula>
    </cfRule>
    <cfRule type="cellIs" dxfId="1182" priority="50" operator="equal">
      <formula>"No Pagado"</formula>
    </cfRule>
  </conditionalFormatting>
  <conditionalFormatting sqref="L219:M220">
    <cfRule type="cellIs" dxfId="1181" priority="25" operator="equal">
      <formula>"Cuenta Corriente"</formula>
    </cfRule>
    <cfRule type="cellIs" dxfId="1180" priority="26" operator="equal">
      <formula>"No Pagado"</formula>
    </cfRule>
  </conditionalFormatting>
  <conditionalFormatting sqref="L222:M222">
    <cfRule type="cellIs" dxfId="1179" priority="21" operator="equal">
      <formula>"Cuenta Corriente"</formula>
    </cfRule>
    <cfRule type="cellIs" dxfId="1178" priority="22" operator="equal">
      <formula>"No Pagado"</formula>
    </cfRule>
  </conditionalFormatting>
  <conditionalFormatting sqref="L210:N210">
    <cfRule type="cellIs" dxfId="1177" priority="45" operator="equal">
      <formula>"Cuenta Corriente"</formula>
    </cfRule>
    <cfRule type="cellIs" dxfId="1176" priority="46" operator="equal">
      <formula>"No Pagado"</formula>
    </cfRule>
  </conditionalFormatting>
  <conditionalFormatting sqref="L221:N221 L232:N232">
    <cfRule type="cellIs" dxfId="1175" priority="31" operator="equal">
      <formula>"Cuenta Corriente"</formula>
    </cfRule>
    <cfRule type="cellIs" dxfId="1174" priority="32" operator="equal">
      <formula>"No Pagado"</formula>
    </cfRule>
  </conditionalFormatting>
  <conditionalFormatting sqref="L230:N230 L231">
    <cfRule type="cellIs" dxfId="1173" priority="13" operator="equal">
      <formula>"Cuenta Corriente"</formula>
    </cfRule>
    <cfRule type="cellIs" dxfId="1172" priority="14" operator="equal">
      <formula>"No Pagado"</formula>
    </cfRule>
  </conditionalFormatting>
  <conditionalFormatting sqref="L207:O207">
    <cfRule type="cellIs" dxfId="1171" priority="57" operator="equal">
      <formula>"Cuenta Corriente"</formula>
    </cfRule>
    <cfRule type="cellIs" dxfId="1170" priority="58" operator="equal">
      <formula>"No Pagado"</formula>
    </cfRule>
  </conditionalFormatting>
  <conditionalFormatting sqref="L218:O218 O219:O232">
    <cfRule type="cellIs" dxfId="1169" priority="37" operator="equal">
      <formula>"Cuenta Corriente"</formula>
    </cfRule>
    <cfRule type="cellIs" dxfId="1168" priority="38" operator="equal">
      <formula>"No Pagado"</formula>
    </cfRule>
  </conditionalFormatting>
  <conditionalFormatting sqref="L233:O233 O234 L243:O243 M235:O242">
    <cfRule type="cellIs" dxfId="1167" priority="29" operator="equal">
      <formula>"Cuenta Corriente"</formula>
    </cfRule>
    <cfRule type="cellIs" dxfId="1166" priority="30" operator="equal">
      <formula>"No Pagado"</formula>
    </cfRule>
  </conditionalFormatting>
  <conditionalFormatting sqref="M10:M57 M59:M65">
    <cfRule type="cellIs" dxfId="1165" priority="209" operator="equal">
      <formula>"Cuenta Corriente"</formula>
    </cfRule>
    <cfRule type="cellIs" dxfId="1164" priority="210" operator="equal">
      <formula>"No Pagado"</formula>
    </cfRule>
  </conditionalFormatting>
  <conditionalFormatting sqref="M58">
    <cfRule type="containsText" dxfId="1163" priority="206" operator="containsText" text="Pendiente">
      <formula>NOT(ISERROR(SEARCH("Pendiente",M58)))</formula>
    </cfRule>
    <cfRule type="containsText" dxfId="1162" priority="207" operator="containsText" text="Pagado">
      <formula>NOT(ISERROR(SEARCH("Pagado",M58)))</formula>
    </cfRule>
    <cfRule type="containsText" dxfId="1161" priority="208" operator="containsText" text="Para abonar">
      <formula>NOT(ISERROR(SEARCH("Para abonar",M58)))</formula>
    </cfRule>
  </conditionalFormatting>
  <conditionalFormatting sqref="M66">
    <cfRule type="containsText" dxfId="1160" priority="168" operator="containsText" text="Pendiente">
      <formula>NOT(ISERROR(SEARCH("Pendiente",M66)))</formula>
    </cfRule>
    <cfRule type="containsText" dxfId="1159" priority="169" operator="containsText" text="Pagado">
      <formula>NOT(ISERROR(SEARCH("Pagado",M66)))</formula>
    </cfRule>
    <cfRule type="containsText" dxfId="1158" priority="170" operator="containsText" text="Para abonar">
      <formula>NOT(ISERROR(SEARCH("Para abonar",M66)))</formula>
    </cfRule>
  </conditionalFormatting>
  <conditionalFormatting sqref="M67">
    <cfRule type="cellIs" dxfId="1157" priority="187" operator="equal">
      <formula>"Cuenta Corriente"</formula>
    </cfRule>
    <cfRule type="cellIs" dxfId="1156" priority="188" operator="equal">
      <formula>"No Pagado"</formula>
    </cfRule>
  </conditionalFormatting>
  <conditionalFormatting sqref="M68">
    <cfRule type="containsText" dxfId="1155" priority="165" operator="containsText" text="Pendiente">
      <formula>NOT(ISERROR(SEARCH("Pendiente",M68)))</formula>
    </cfRule>
    <cfRule type="containsText" dxfId="1154" priority="166" operator="containsText" text="Pagado">
      <formula>NOT(ISERROR(SEARCH("Pagado",M68)))</formula>
    </cfRule>
    <cfRule type="containsText" dxfId="1153" priority="167" operator="containsText" text="Para abonar">
      <formula>NOT(ISERROR(SEARCH("Para abonar",M68)))</formula>
    </cfRule>
  </conditionalFormatting>
  <conditionalFormatting sqref="M69:M74">
    <cfRule type="cellIs" dxfId="1152" priority="185" operator="equal">
      <formula>"Cuenta Corriente"</formula>
    </cfRule>
    <cfRule type="cellIs" dxfId="1151" priority="186" operator="equal">
      <formula>"No Pagado"</formula>
    </cfRule>
  </conditionalFormatting>
  <conditionalFormatting sqref="M75">
    <cfRule type="containsText" dxfId="1150" priority="162" operator="containsText" text="Pendiente">
      <formula>NOT(ISERROR(SEARCH("Pendiente",M75)))</formula>
    </cfRule>
    <cfRule type="containsText" dxfId="1149" priority="163" operator="containsText" text="Pagado">
      <formula>NOT(ISERROR(SEARCH("Pagado",M75)))</formula>
    </cfRule>
    <cfRule type="containsText" dxfId="1148" priority="164" operator="containsText" text="Para abonar">
      <formula>NOT(ISERROR(SEARCH("Para abonar",M75)))</formula>
    </cfRule>
  </conditionalFormatting>
  <conditionalFormatting sqref="M76:M81">
    <cfRule type="cellIs" dxfId="1147" priority="177" operator="equal">
      <formula>"Cuenta Corriente"</formula>
    </cfRule>
    <cfRule type="cellIs" dxfId="1146" priority="178" operator="equal">
      <formula>"No Pagado"</formula>
    </cfRule>
  </conditionalFormatting>
  <conditionalFormatting sqref="M82">
    <cfRule type="containsText" dxfId="1145" priority="197" operator="containsText" text="Pendiente">
      <formula>NOT(ISERROR(SEARCH("Pendiente",M82)))</formula>
    </cfRule>
    <cfRule type="containsText" dxfId="1144" priority="198" operator="containsText" text="Pagado">
      <formula>NOT(ISERROR(SEARCH("Pagado",M82)))</formula>
    </cfRule>
    <cfRule type="containsText" dxfId="1143" priority="199" operator="containsText" text="Para abonar">
      <formula>NOT(ISERROR(SEARCH("Para abonar",M82)))</formula>
    </cfRule>
  </conditionalFormatting>
  <conditionalFormatting sqref="M83:M84">
    <cfRule type="cellIs" dxfId="1142" priority="160" operator="equal">
      <formula>"Cuenta Corriente"</formula>
    </cfRule>
    <cfRule type="cellIs" dxfId="1141" priority="161" operator="equal">
      <formula>"No Pagado"</formula>
    </cfRule>
  </conditionalFormatting>
  <conditionalFormatting sqref="M86:M95">
    <cfRule type="cellIs" dxfId="1140" priority="119" operator="equal">
      <formula>"Cuenta Corriente"</formula>
    </cfRule>
    <cfRule type="cellIs" dxfId="1139" priority="120" operator="equal">
      <formula>"No Pagado"</formula>
    </cfRule>
  </conditionalFormatting>
  <conditionalFormatting sqref="M97:M98">
    <cfRule type="cellIs" dxfId="1138" priority="117" operator="equal">
      <formula>"Cuenta Corriente"</formula>
    </cfRule>
    <cfRule type="cellIs" dxfId="1137" priority="118" operator="equal">
      <formula>"No Pagado"</formula>
    </cfRule>
  </conditionalFormatting>
  <conditionalFormatting sqref="M175:M176">
    <cfRule type="cellIs" dxfId="1136" priority="109" operator="equal">
      <formula>"Cuenta Corriente"</formula>
    </cfRule>
    <cfRule type="cellIs" dxfId="1135" priority="110" operator="equal">
      <formula>"No Pagado"</formula>
    </cfRule>
  </conditionalFormatting>
  <conditionalFormatting sqref="M185">
    <cfRule type="cellIs" dxfId="1134" priority="93" operator="equal">
      <formula>"Cuenta Corriente"</formula>
    </cfRule>
    <cfRule type="cellIs" dxfId="1133" priority="94" operator="equal">
      <formula>"No Pagado"</formula>
    </cfRule>
  </conditionalFormatting>
  <conditionalFormatting sqref="M208 M216:N217">
    <cfRule type="cellIs" dxfId="1132" priority="65" operator="equal">
      <formula>"Cuenta Corriente"</formula>
    </cfRule>
    <cfRule type="cellIs" dxfId="1131" priority="66" operator="equal">
      <formula>"No Pagado"</formula>
    </cfRule>
  </conditionalFormatting>
  <conditionalFormatting sqref="M211:M212">
    <cfRule type="cellIs" dxfId="1130" priority="41" operator="equal">
      <formula>"Cuenta Corriente"</formula>
    </cfRule>
    <cfRule type="cellIs" dxfId="1129" priority="42" operator="equal">
      <formula>"No Pagado"</formula>
    </cfRule>
  </conditionalFormatting>
  <conditionalFormatting sqref="M214">
    <cfRule type="cellIs" dxfId="1128" priority="27" operator="equal">
      <formula>"Cuenta Corriente"</formula>
    </cfRule>
    <cfRule type="cellIs" dxfId="1127" priority="28" operator="equal">
      <formula>"No Pagado"</formula>
    </cfRule>
  </conditionalFormatting>
  <conditionalFormatting sqref="M170:N170 N171">
    <cfRule type="cellIs" dxfId="1126" priority="115" operator="equal">
      <formula>"Cuenta Corriente"</formula>
    </cfRule>
    <cfRule type="cellIs" dxfId="1125" priority="116" operator="equal">
      <formula>"No Pagado"</formula>
    </cfRule>
  </conditionalFormatting>
  <conditionalFormatting sqref="M177:N183">
    <cfRule type="cellIs" dxfId="1124" priority="95" operator="equal">
      <formula>"Cuenta Corriente"</formula>
    </cfRule>
    <cfRule type="cellIs" dxfId="1123" priority="96" operator="equal">
      <formula>"No Pagado"</formula>
    </cfRule>
  </conditionalFormatting>
  <conditionalFormatting sqref="M194:N194 N195:N197">
    <cfRule type="cellIs" dxfId="1122" priority="83" operator="equal">
      <formula>"Cuenta Corriente"</formula>
    </cfRule>
    <cfRule type="cellIs" dxfId="1121" priority="84" operator="equal">
      <formula>"No Pagado"</formula>
    </cfRule>
  </conditionalFormatting>
  <conditionalFormatting sqref="M200:N206">
    <cfRule type="cellIs" dxfId="1120" priority="61" operator="equal">
      <formula>"Cuenta Corriente"</formula>
    </cfRule>
    <cfRule type="cellIs" dxfId="1119" priority="62" operator="equal">
      <formula>"No Pagado"</formula>
    </cfRule>
  </conditionalFormatting>
  <conditionalFormatting sqref="M223:N229 M231:N231">
    <cfRule type="cellIs" dxfId="1118" priority="15" operator="equal">
      <formula>"Cuenta Corriente"</formula>
    </cfRule>
    <cfRule type="cellIs" dxfId="1117" priority="16" operator="equal">
      <formula>"No Pagado"</formula>
    </cfRule>
  </conditionalFormatting>
  <conditionalFormatting sqref="M234:N234">
    <cfRule type="cellIs" dxfId="1116" priority="9" operator="equal">
      <formula>"Cuenta Corriente"</formula>
    </cfRule>
    <cfRule type="cellIs" dxfId="1115" priority="10" operator="equal">
      <formula>"No Pagado"</formula>
    </cfRule>
  </conditionalFormatting>
  <conditionalFormatting sqref="N10:N56 N59:O65 O73:O74">
    <cfRule type="cellIs" dxfId="1114" priority="280" operator="equal">
      <formula>"Cuenta Corriente"</formula>
    </cfRule>
    <cfRule type="cellIs" dxfId="1113" priority="281" operator="equal">
      <formula>"No Pagado"</formula>
    </cfRule>
  </conditionalFormatting>
  <conditionalFormatting sqref="N58">
    <cfRule type="cellIs" dxfId="1112" priority="266" operator="equal">
      <formula>"Cuenta Corriente"</formula>
    </cfRule>
    <cfRule type="cellIs" dxfId="1111" priority="267" operator="equal">
      <formula>"No Pagado"</formula>
    </cfRule>
  </conditionalFormatting>
  <conditionalFormatting sqref="N66">
    <cfRule type="cellIs" dxfId="1110" priority="258" operator="equal">
      <formula>"Cuenta Corriente"</formula>
    </cfRule>
    <cfRule type="cellIs" dxfId="1109" priority="259" operator="equal">
      <formula>"No Pagado"</formula>
    </cfRule>
  </conditionalFormatting>
  <conditionalFormatting sqref="N68">
    <cfRule type="cellIs" dxfId="1108" priority="244" operator="equal">
      <formula>"Cuenta Corriente"</formula>
    </cfRule>
    <cfRule type="cellIs" dxfId="1107" priority="245" operator="equal">
      <formula>"No Pagado"</formula>
    </cfRule>
  </conditionalFormatting>
  <conditionalFormatting sqref="N82">
    <cfRule type="cellIs" dxfId="1106" priority="218" operator="equal">
      <formula>"Cuenta Corriente"</formula>
    </cfRule>
    <cfRule type="cellIs" dxfId="1105" priority="219" operator="equal">
      <formula>"No Pagado"</formula>
    </cfRule>
  </conditionalFormatting>
  <conditionalFormatting sqref="N85">
    <cfRule type="cellIs" dxfId="1104" priority="213" operator="equal">
      <formula>"Cuenta Corriente"</formula>
    </cfRule>
    <cfRule type="cellIs" dxfId="1103" priority="214" operator="equal">
      <formula>"No Pagado"</formula>
    </cfRule>
  </conditionalFormatting>
  <conditionalFormatting sqref="N96">
    <cfRule type="cellIs" dxfId="1102" priority="150" operator="equal">
      <formula>"Cuenta Corriente"</formula>
    </cfRule>
    <cfRule type="cellIs" dxfId="1101" priority="151" operator="equal">
      <formula>"No Pagado"</formula>
    </cfRule>
  </conditionalFormatting>
  <conditionalFormatting sqref="N99">
    <cfRule type="cellIs" dxfId="1100" priority="137" operator="equal">
      <formula>"Cuenta Corriente"</formula>
    </cfRule>
    <cfRule type="cellIs" dxfId="1099" priority="138" operator="equal">
      <formula>"No Pagado"</formula>
    </cfRule>
  </conditionalFormatting>
  <conditionalFormatting sqref="N174:N176">
    <cfRule type="cellIs" dxfId="1098" priority="105" operator="equal">
      <formula>"Cuenta Corriente"</formula>
    </cfRule>
    <cfRule type="cellIs" dxfId="1097" priority="106" operator="equal">
      <formula>"No Pagado"</formula>
    </cfRule>
  </conditionalFormatting>
  <conditionalFormatting sqref="N199">
    <cfRule type="cellIs" dxfId="1096" priority="71" operator="equal">
      <formula>"Cuenta Corriente"</formula>
    </cfRule>
    <cfRule type="cellIs" dxfId="1095" priority="72" operator="equal">
      <formula>"No Pagado"</formula>
    </cfRule>
  </conditionalFormatting>
  <conditionalFormatting sqref="N208:N209">
    <cfRule type="cellIs" dxfId="1094" priority="47" operator="equal">
      <formula>"Cuenta Corriente"</formula>
    </cfRule>
    <cfRule type="cellIs" dxfId="1093" priority="48" operator="equal">
      <formula>"No Pagado"</formula>
    </cfRule>
  </conditionalFormatting>
  <conditionalFormatting sqref="N211:N212">
    <cfRule type="cellIs" dxfId="1092" priority="43" operator="equal">
      <formula>"Cuenta Corriente"</formula>
    </cfRule>
    <cfRule type="cellIs" dxfId="1091" priority="44" operator="equal">
      <formula>"No Pagado"</formula>
    </cfRule>
  </conditionalFormatting>
  <conditionalFormatting sqref="N219:N220">
    <cfRule type="cellIs" dxfId="1090" priority="23" operator="equal">
      <formula>"Cuenta Corriente"</formula>
    </cfRule>
    <cfRule type="cellIs" dxfId="1089" priority="24" operator="equal">
      <formula>"No Pagado"</formula>
    </cfRule>
  </conditionalFormatting>
  <conditionalFormatting sqref="N222">
    <cfRule type="cellIs" dxfId="1088" priority="19" operator="equal">
      <formula>"Cuenta Corriente"</formula>
    </cfRule>
    <cfRule type="cellIs" dxfId="1087" priority="20" operator="equal">
      <formula>"No Pagado"</formula>
    </cfRule>
  </conditionalFormatting>
  <conditionalFormatting sqref="O10:O56">
    <cfRule type="containsText" dxfId="1086" priority="268" operator="containsText" text="Pendiente">
      <formula>NOT(ISERROR(SEARCH("Pendiente",O10)))</formula>
    </cfRule>
    <cfRule type="containsText" dxfId="1085" priority="269" operator="containsText" text="Pagado">
      <formula>NOT(ISERROR(SEARCH("Pagado",O10)))</formula>
    </cfRule>
    <cfRule type="containsText" dxfId="1084" priority="270" operator="containsText" text="Para abonar">
      <formula>NOT(ISERROR(SEARCH("Para abonar",O10)))</formula>
    </cfRule>
  </conditionalFormatting>
  <conditionalFormatting sqref="O58">
    <cfRule type="containsText" dxfId="1083" priority="263" operator="containsText" text="Pendiente">
      <formula>NOT(ISERROR(SEARCH("Pendiente",O58)))</formula>
    </cfRule>
    <cfRule type="containsText" dxfId="1082" priority="264" operator="containsText" text="Pagado">
      <formula>NOT(ISERROR(SEARCH("Pagado",O58)))</formula>
    </cfRule>
    <cfRule type="containsText" dxfId="1081" priority="265" operator="containsText" text="Para abonar">
      <formula>NOT(ISERROR(SEARCH("Para abonar",O58)))</formula>
    </cfRule>
  </conditionalFormatting>
  <conditionalFormatting sqref="O66">
    <cfRule type="containsText" dxfId="1080" priority="255" operator="containsText" text="Pendiente">
      <formula>NOT(ISERROR(SEARCH("Pendiente",O66)))</formula>
    </cfRule>
    <cfRule type="containsText" dxfId="1079" priority="256" operator="containsText" text="Pagado">
      <formula>NOT(ISERROR(SEARCH("Pagado",O66)))</formula>
    </cfRule>
    <cfRule type="containsText" dxfId="1078" priority="257" operator="containsText" text="Para abonar">
      <formula>NOT(ISERROR(SEARCH("Para abonar",O66)))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B16E64-0735-40C2-979E-8BA903ABCE9D}">
          <x14:formula1>
            <xm:f>Consultas!$B$9:$B$11</xm:f>
          </x14:formula1>
          <xm:sqref>K96 O10:O95 L97:M98 N96 O97:O98 L10:M95 K99 N99 O100:O243 L100:L261 M100:M243</xm:sqref>
        </x14:dataValidation>
        <x14:dataValidation type="list" allowBlank="1" showInputMessage="1" showErrorMessage="1" xr:uid="{B126A2B1-1B2F-4538-83F6-DEF2439C250B}">
          <x14:formula1>
            <xm:f>Consultas!$B$13:$B$15</xm:f>
          </x14:formula1>
          <xm:sqref>L96:M96 N10:N95 N97:N98 L99:M99 N100:N243</xm:sqref>
        </x14:dataValidation>
        <x14:dataValidation type="list" allowBlank="1" showInputMessage="1" showErrorMessage="1" xr:uid="{8C754D9F-2A61-44B6-9886-55642566215E}">
          <x14:formula1>
            <xm:f>Proveedores!$B$3:$B$111</xm:f>
          </x14:formula1>
          <xm:sqref>F96 H245 G97:G98 F99 G246:G262 G10:G95 G100:G244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43BA-B0A7-4F18-9DEE-7646B19B753D}">
  <dimension ref="A1:T94"/>
  <sheetViews>
    <sheetView zoomScale="55" zoomScaleNormal="55" workbookViewId="0">
      <selection activeCell="A28" sqref="A28:XFD28"/>
    </sheetView>
  </sheetViews>
  <sheetFormatPr defaultColWidth="11.42578125" defaultRowHeight="14.45"/>
  <cols>
    <col min="1" max="1" width="9.42578125" bestFit="1" customWidth="1"/>
    <col min="2" max="3" width="16.28515625" bestFit="1" customWidth="1"/>
    <col min="4" max="4" width="19.28515625" customWidth="1"/>
    <col min="5" max="5" width="23.28515625" customWidth="1"/>
    <col min="6" max="6" width="26.28515625" customWidth="1"/>
    <col min="7" max="7" width="15.140625" customWidth="1"/>
    <col min="8" max="8" width="13.7109375" customWidth="1"/>
    <col min="9" max="9" width="16.42578125" customWidth="1"/>
    <col min="10" max="10" width="34.7109375" customWidth="1"/>
    <col min="11" max="12" width="15.85546875" customWidth="1"/>
    <col min="13" max="13" width="17.85546875" customWidth="1"/>
    <col min="14" max="14" width="15.42578125" customWidth="1"/>
  </cols>
  <sheetData>
    <row r="1" spans="1:18" ht="15" thickBot="1">
      <c r="B1" s="6"/>
    </row>
    <row r="2" spans="1:18" ht="24" thickBot="1">
      <c r="B2" s="6"/>
      <c r="D2" s="433" t="s">
        <v>176</v>
      </c>
      <c r="E2" s="434"/>
      <c r="F2" s="434"/>
      <c r="G2" s="434"/>
      <c r="H2" s="435"/>
      <c r="I2" s="83"/>
    </row>
    <row r="3" spans="1:18" ht="18" customHeight="1">
      <c r="B3" s="6"/>
      <c r="D3" s="100" t="s">
        <v>177</v>
      </c>
      <c r="E3" s="101" t="s">
        <v>786</v>
      </c>
      <c r="F3" s="436"/>
      <c r="G3" s="437"/>
      <c r="H3" s="162"/>
    </row>
    <row r="4" spans="1:18">
      <c r="B4" s="6"/>
      <c r="D4" s="102" t="s">
        <v>179</v>
      </c>
      <c r="E4" s="491" t="s">
        <v>787</v>
      </c>
      <c r="F4" s="492" t="s">
        <v>788</v>
      </c>
      <c r="G4" s="493"/>
      <c r="H4" s="494"/>
    </row>
    <row r="5" spans="1:18">
      <c r="B5" s="6"/>
      <c r="D5" s="102"/>
      <c r="E5" s="21"/>
      <c r="F5" s="492" t="s">
        <v>789</v>
      </c>
      <c r="G5" s="493"/>
      <c r="H5" s="163"/>
    </row>
    <row r="6" spans="1:18" ht="15" customHeight="1" thickBot="1">
      <c r="B6" s="6"/>
      <c r="D6" s="11"/>
      <c r="E6" s="12"/>
      <c r="F6" s="438"/>
      <c r="G6" s="439"/>
      <c r="H6" s="13"/>
    </row>
    <row r="7" spans="1:18">
      <c r="B7" s="6"/>
    </row>
    <row r="8" spans="1:18" ht="15" thickBot="1">
      <c r="B8" s="6"/>
    </row>
    <row r="9" spans="1:18" ht="34.5" customHeigh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347" t="s">
        <v>190</v>
      </c>
      <c r="M9" s="52" t="s">
        <v>191</v>
      </c>
      <c r="N9" s="58" t="s">
        <v>192</v>
      </c>
      <c r="O9" s="52" t="s">
        <v>193</v>
      </c>
      <c r="P9" s="58" t="s">
        <v>194</v>
      </c>
      <c r="Q9" s="52" t="s">
        <v>195</v>
      </c>
    </row>
    <row r="10" spans="1:18" ht="21" customHeight="1">
      <c r="B10" s="152" t="str">
        <f t="shared" ref="B10:B51" si="0">+$E$3</f>
        <v>OBRA GIAVENNO</v>
      </c>
      <c r="C10" s="24">
        <v>45966</v>
      </c>
      <c r="D10" s="23" t="s">
        <v>790</v>
      </c>
      <c r="E10" s="46" t="s">
        <v>326</v>
      </c>
      <c r="F10" s="457" t="s">
        <v>791</v>
      </c>
      <c r="G10" s="22" t="s">
        <v>72</v>
      </c>
      <c r="H10" s="458" t="s">
        <v>63</v>
      </c>
      <c r="I10" s="164">
        <v>5295.3</v>
      </c>
      <c r="J10" s="164"/>
      <c r="K10" s="495" t="s">
        <v>792</v>
      </c>
      <c r="L10" s="348" t="s">
        <v>209</v>
      </c>
      <c r="M10" s="283"/>
      <c r="N10" s="54" t="s">
        <v>305</v>
      </c>
      <c r="O10" s="146" t="s">
        <v>732</v>
      </c>
      <c r="P10" s="54"/>
      <c r="Q10" s="54"/>
    </row>
    <row r="11" spans="1:18" ht="21.6" customHeight="1">
      <c r="B11" s="152" t="str">
        <f t="shared" si="0"/>
        <v>OBRA GIAVENNO</v>
      </c>
      <c r="C11" s="25">
        <v>45968</v>
      </c>
      <c r="D11" s="23" t="s">
        <v>793</v>
      </c>
      <c r="E11" s="46" t="s">
        <v>326</v>
      </c>
      <c r="F11" s="460" t="s">
        <v>794</v>
      </c>
      <c r="G11" s="41" t="s">
        <v>72</v>
      </c>
      <c r="H11" s="461" t="s">
        <v>63</v>
      </c>
      <c r="I11" s="165">
        <v>67820.75</v>
      </c>
      <c r="J11" s="165"/>
      <c r="K11" s="496" t="s">
        <v>792</v>
      </c>
      <c r="L11" s="348" t="s">
        <v>209</v>
      </c>
      <c r="M11" s="55"/>
      <c r="N11" s="55" t="s">
        <v>305</v>
      </c>
      <c r="O11" s="2" t="s">
        <v>732</v>
      </c>
      <c r="P11" s="49"/>
      <c r="Q11" s="49"/>
    </row>
    <row r="12" spans="1:18" ht="21" customHeight="1">
      <c r="B12" s="152" t="str">
        <f t="shared" si="0"/>
        <v>OBRA GIAVENNO</v>
      </c>
      <c r="C12" s="25">
        <v>45971</v>
      </c>
      <c r="D12" s="23" t="s">
        <v>795</v>
      </c>
      <c r="E12" s="46" t="s">
        <v>326</v>
      </c>
      <c r="F12" s="462" t="s">
        <v>796</v>
      </c>
      <c r="G12" s="41" t="s">
        <v>72</v>
      </c>
      <c r="H12" s="461" t="s">
        <v>63</v>
      </c>
      <c r="I12" s="166">
        <v>15476.44</v>
      </c>
      <c r="J12" s="165"/>
      <c r="K12" s="496" t="s">
        <v>792</v>
      </c>
      <c r="L12" s="348" t="s">
        <v>209</v>
      </c>
      <c r="M12" s="55"/>
      <c r="N12" s="55" t="s">
        <v>305</v>
      </c>
      <c r="O12" s="2" t="s">
        <v>732</v>
      </c>
      <c r="P12" s="49"/>
      <c r="Q12" s="49"/>
    </row>
    <row r="13" spans="1:18" ht="27" customHeight="1">
      <c r="B13" s="152" t="str">
        <f t="shared" si="0"/>
        <v>OBRA GIAVENNO</v>
      </c>
      <c r="C13" s="25">
        <v>45975</v>
      </c>
      <c r="D13" s="23" t="s">
        <v>797</v>
      </c>
      <c r="E13" s="46" t="s">
        <v>326</v>
      </c>
      <c r="F13" s="462" t="s">
        <v>798</v>
      </c>
      <c r="G13" s="41" t="s">
        <v>72</v>
      </c>
      <c r="H13" s="461" t="s">
        <v>63</v>
      </c>
      <c r="I13" s="166">
        <v>9900</v>
      </c>
      <c r="J13" s="165"/>
      <c r="K13" s="496" t="s">
        <v>792</v>
      </c>
      <c r="L13" s="348" t="s">
        <v>209</v>
      </c>
      <c r="M13" s="55"/>
      <c r="N13" s="55" t="s">
        <v>305</v>
      </c>
      <c r="O13" s="2" t="s">
        <v>732</v>
      </c>
      <c r="P13" s="49"/>
      <c r="Q13" s="49"/>
    </row>
    <row r="14" spans="1:18" s="138" customFormat="1" ht="28.9">
      <c r="A14" s="168" t="s">
        <v>218</v>
      </c>
      <c r="B14" s="169"/>
      <c r="C14" s="170">
        <f t="shared" ref="C14" si="1">+$F$3</f>
        <v>0</v>
      </c>
      <c r="D14" s="171">
        <v>45996</v>
      </c>
      <c r="E14" s="130"/>
      <c r="F14" s="130"/>
      <c r="G14" s="465"/>
      <c r="H14" s="131"/>
      <c r="I14" s="465"/>
      <c r="J14" s="465"/>
      <c r="K14" s="132"/>
      <c r="L14" s="133"/>
      <c r="M14" s="133"/>
      <c r="N14" s="134"/>
      <c r="O14" s="135"/>
      <c r="P14" s="136"/>
      <c r="Q14" s="137"/>
      <c r="R14" s="137"/>
    </row>
    <row r="15" spans="1:18" ht="29.45" customHeight="1">
      <c r="B15" s="152" t="str">
        <f t="shared" si="0"/>
        <v>OBRA GIAVENNO</v>
      </c>
      <c r="C15" s="25">
        <v>46006</v>
      </c>
      <c r="D15" s="23" t="s">
        <v>212</v>
      </c>
      <c r="E15" s="46" t="s">
        <v>326</v>
      </c>
      <c r="F15" s="82" t="s">
        <v>799</v>
      </c>
      <c r="G15" s="23" t="s">
        <v>14</v>
      </c>
      <c r="H15" s="2" t="s">
        <v>216</v>
      </c>
      <c r="I15" s="166">
        <v>20000</v>
      </c>
      <c r="J15" s="166"/>
      <c r="K15" s="202" t="s">
        <v>800</v>
      </c>
      <c r="L15" s="348" t="s">
        <v>209</v>
      </c>
      <c r="M15" s="55"/>
      <c r="N15" s="55" t="s">
        <v>305</v>
      </c>
      <c r="O15" s="2"/>
      <c r="P15" s="49"/>
      <c r="Q15" s="49"/>
    </row>
    <row r="16" spans="1:18" ht="33.6" customHeight="1">
      <c r="B16" s="152" t="str">
        <f t="shared" si="0"/>
        <v>OBRA GIAVENNO</v>
      </c>
      <c r="C16" s="25">
        <v>46010</v>
      </c>
      <c r="D16" s="23"/>
      <c r="E16" s="46" t="s">
        <v>326</v>
      </c>
      <c r="F16" s="82" t="s">
        <v>801</v>
      </c>
      <c r="G16" s="23" t="s">
        <v>136</v>
      </c>
      <c r="H16" s="2" t="s">
        <v>207</v>
      </c>
      <c r="I16" s="166">
        <v>23639.46</v>
      </c>
      <c r="J16" s="166"/>
      <c r="K16" s="217" t="s">
        <v>802</v>
      </c>
      <c r="L16" s="348" t="s">
        <v>209</v>
      </c>
      <c r="M16" s="55"/>
      <c r="N16" s="55" t="s">
        <v>305</v>
      </c>
      <c r="O16" s="2" t="s">
        <v>732</v>
      </c>
      <c r="P16" s="49"/>
      <c r="Q16" s="49"/>
    </row>
    <row r="17" spans="1:20" s="138" customFormat="1" ht="28.9">
      <c r="A17" s="168" t="s">
        <v>218</v>
      </c>
      <c r="B17" s="169"/>
      <c r="C17" s="170"/>
      <c r="D17" s="171">
        <v>46022</v>
      </c>
      <c r="E17" s="130"/>
      <c r="F17" s="130"/>
      <c r="G17" s="465"/>
      <c r="H17" s="131"/>
      <c r="I17" s="465"/>
      <c r="J17" s="465"/>
      <c r="K17" s="132"/>
      <c r="L17" s="133"/>
      <c r="M17" s="133"/>
      <c r="N17" s="134"/>
      <c r="O17" s="135"/>
      <c r="P17" s="136"/>
      <c r="Q17" s="137"/>
      <c r="R17" s="137"/>
    </row>
    <row r="18" spans="1:20" ht="31.35" customHeight="1">
      <c r="B18" s="152" t="str">
        <f t="shared" si="0"/>
        <v>OBRA GIAVENNO</v>
      </c>
      <c r="C18" s="25">
        <v>46027</v>
      </c>
      <c r="D18" s="23" t="s">
        <v>803</v>
      </c>
      <c r="E18" s="46" t="s">
        <v>326</v>
      </c>
      <c r="F18" s="82" t="s">
        <v>801</v>
      </c>
      <c r="G18" s="23" t="s">
        <v>136</v>
      </c>
      <c r="H18" s="2" t="s">
        <v>207</v>
      </c>
      <c r="I18" s="166">
        <v>11436.26</v>
      </c>
      <c r="J18" s="166"/>
      <c r="K18" s="217" t="s">
        <v>804</v>
      </c>
      <c r="L18" s="348" t="s">
        <v>209</v>
      </c>
      <c r="M18" s="55"/>
      <c r="N18" s="55" t="s">
        <v>305</v>
      </c>
      <c r="O18" s="2" t="s">
        <v>732</v>
      </c>
      <c r="P18" s="49"/>
      <c r="Q18" s="49"/>
    </row>
    <row r="19" spans="1:20" s="138" customFormat="1" ht="28.9">
      <c r="A19" s="168" t="s">
        <v>218</v>
      </c>
      <c r="B19" s="169"/>
      <c r="C19" s="170"/>
      <c r="D19" s="171">
        <v>46037</v>
      </c>
      <c r="E19" s="130"/>
      <c r="F19" s="130"/>
      <c r="G19" s="465"/>
      <c r="H19" s="131"/>
      <c r="I19" s="465"/>
      <c r="J19" s="465"/>
      <c r="K19" s="132"/>
      <c r="L19" s="133"/>
      <c r="M19" s="133"/>
      <c r="N19" s="134"/>
      <c r="O19" s="135"/>
      <c r="P19" s="136"/>
      <c r="Q19" s="137"/>
      <c r="R19" s="137"/>
    </row>
    <row r="20" spans="1:20" s="138" customFormat="1" ht="28.9">
      <c r="A20" s="168" t="s">
        <v>218</v>
      </c>
      <c r="B20" s="170"/>
      <c r="C20" s="171">
        <v>46065</v>
      </c>
      <c r="D20" s="171"/>
      <c r="E20" s="130"/>
      <c r="F20" s="465"/>
      <c r="G20" s="131"/>
      <c r="H20" s="465"/>
      <c r="I20" s="132"/>
      <c r="J20" s="132"/>
      <c r="K20" s="133"/>
      <c r="L20" s="134"/>
      <c r="M20" s="285"/>
      <c r="N20" s="135"/>
      <c r="O20" s="136"/>
      <c r="P20" s="137"/>
      <c r="Q20" s="137"/>
    </row>
    <row r="21" spans="1:20">
      <c r="A21" s="221"/>
      <c r="B21" s="222" t="str">
        <f>+$E$3</f>
        <v>OBRA GIAVENNO</v>
      </c>
      <c r="C21" s="222">
        <v>46051</v>
      </c>
      <c r="D21" s="312" t="s">
        <v>805</v>
      </c>
      <c r="E21" s="46" t="s">
        <v>326</v>
      </c>
      <c r="F21" s="419" t="s">
        <v>806</v>
      </c>
      <c r="G21" s="39" t="s">
        <v>72</v>
      </c>
      <c r="H21" s="461" t="s">
        <v>63</v>
      </c>
      <c r="I21" s="40">
        <v>55000.05</v>
      </c>
      <c r="J21" s="40"/>
      <c r="K21" s="270"/>
      <c r="L21" s="348" t="s">
        <v>209</v>
      </c>
      <c r="M21" s="286"/>
      <c r="N21" s="56" t="s">
        <v>305</v>
      </c>
      <c r="O21" s="2" t="s">
        <v>732</v>
      </c>
      <c r="P21" s="106"/>
      <c r="Q21" s="106"/>
    </row>
    <row r="22" spans="1:20" s="138" customFormat="1" ht="28.9">
      <c r="A22" s="168" t="s">
        <v>218</v>
      </c>
      <c r="B22" s="170"/>
      <c r="C22" s="171">
        <v>46079</v>
      </c>
      <c r="D22" s="171"/>
      <c r="E22" s="130"/>
      <c r="F22" s="465"/>
      <c r="G22" s="131"/>
      <c r="H22" s="465"/>
      <c r="I22" s="132"/>
      <c r="J22" s="132"/>
      <c r="K22" s="133"/>
      <c r="L22" s="134"/>
      <c r="M22" s="285"/>
      <c r="N22" s="135"/>
      <c r="O22" s="136"/>
      <c r="P22" s="137"/>
      <c r="Q22" s="137"/>
    </row>
    <row r="23" spans="1:20" ht="21.6" customHeight="1">
      <c r="B23" s="152" t="str">
        <f t="shared" si="0"/>
        <v>OBRA GIAVENNO</v>
      </c>
      <c r="C23" s="25"/>
      <c r="D23" s="23"/>
      <c r="E23" s="29"/>
      <c r="F23" s="84"/>
      <c r="G23" s="23"/>
      <c r="H23" s="2"/>
      <c r="I23" s="44"/>
      <c r="J23" s="48"/>
      <c r="K23" s="40"/>
      <c r="L23" s="2"/>
      <c r="M23" s="56"/>
      <c r="N23" s="56"/>
      <c r="O23" s="2"/>
      <c r="P23" s="50"/>
      <c r="Q23" s="50"/>
    </row>
    <row r="24" spans="1:20" s="138" customFormat="1" ht="28.9">
      <c r="A24" s="168" t="s">
        <v>218</v>
      </c>
      <c r="B24" s="170"/>
      <c r="C24" s="171">
        <v>46093</v>
      </c>
      <c r="D24" s="171"/>
      <c r="E24" s="130"/>
      <c r="F24" s="465"/>
      <c r="G24" s="131"/>
      <c r="H24" s="465"/>
      <c r="I24" s="132"/>
      <c r="J24" s="132"/>
      <c r="K24" s="133"/>
      <c r="L24" s="134"/>
      <c r="M24" s="134"/>
      <c r="N24" s="135"/>
      <c r="O24" s="136"/>
      <c r="P24" s="137"/>
      <c r="Q24" s="137"/>
    </row>
    <row r="25" spans="1:20" ht="28.9">
      <c r="A25" s="221"/>
      <c r="B25" s="222" t="str">
        <f>+$E$3</f>
        <v>OBRA GIAVENNO</v>
      </c>
      <c r="C25" s="222">
        <v>46100</v>
      </c>
      <c r="D25" s="312" t="s">
        <v>807</v>
      </c>
      <c r="E25" s="38" t="s">
        <v>808</v>
      </c>
      <c r="F25" s="358" t="s">
        <v>809</v>
      </c>
      <c r="G25" s="23" t="s">
        <v>83</v>
      </c>
      <c r="H25" s="2" t="s">
        <v>207</v>
      </c>
      <c r="I25" s="40">
        <v>34483.72</v>
      </c>
      <c r="J25" s="40"/>
      <c r="K25" s="270" t="s">
        <v>810</v>
      </c>
      <c r="L25" s="348" t="s">
        <v>732</v>
      </c>
      <c r="M25" s="286"/>
      <c r="N25" s="56" t="s">
        <v>305</v>
      </c>
      <c r="O25" s="2" t="s">
        <v>732</v>
      </c>
      <c r="P25" s="106"/>
      <c r="Q25" s="106"/>
    </row>
    <row r="26" spans="1:20" s="138" customFormat="1" ht="28.9">
      <c r="A26" s="168" t="s">
        <v>218</v>
      </c>
      <c r="B26" s="170"/>
      <c r="C26" s="171">
        <v>46107</v>
      </c>
      <c r="D26" s="171"/>
      <c r="E26" s="130"/>
      <c r="F26" s="465"/>
      <c r="G26" s="131"/>
      <c r="H26" s="465"/>
      <c r="I26" s="132"/>
      <c r="J26" s="132"/>
      <c r="K26" s="133"/>
      <c r="L26" s="134"/>
      <c r="M26" s="134"/>
      <c r="N26" s="135"/>
      <c r="O26" s="136"/>
      <c r="P26" s="137"/>
      <c r="Q26" s="137"/>
    </row>
    <row r="27" spans="1:20" s="138" customFormat="1" ht="28.9">
      <c r="A27" s="168" t="s">
        <v>218</v>
      </c>
      <c r="B27" s="156" t="str">
        <f t="shared" ref="B27:B28" si="2">+$E$3</f>
        <v>OBRA GIAVENNO</v>
      </c>
      <c r="C27" s="171">
        <v>46149</v>
      </c>
      <c r="D27" s="130"/>
      <c r="E27" s="317"/>
      <c r="F27" s="465"/>
      <c r="G27" s="131"/>
      <c r="H27" s="465"/>
      <c r="I27" s="132"/>
      <c r="J27" s="132"/>
      <c r="K27" s="368"/>
      <c r="L27" s="369"/>
      <c r="M27" s="135"/>
      <c r="N27" s="135"/>
      <c r="O27" s="140"/>
      <c r="P27" s="370"/>
      <c r="Q27" s="370"/>
      <c r="T27" s="371"/>
    </row>
    <row r="28" spans="1:20" s="311" customFormat="1" ht="18.600000000000001" customHeight="1">
      <c r="A28" s="367" t="s">
        <v>257</v>
      </c>
      <c r="B28" s="361" t="str">
        <f t="shared" si="2"/>
        <v>OBRA GIAVENNO</v>
      </c>
      <c r="C28" s="302">
        <v>46163</v>
      </c>
      <c r="D28" s="303"/>
      <c r="E28" s="362"/>
      <c r="F28" s="467"/>
      <c r="G28" s="304"/>
      <c r="H28" s="467"/>
      <c r="I28" s="305"/>
      <c r="J28" s="305"/>
      <c r="K28" s="363"/>
      <c r="L28" s="364"/>
      <c r="M28" s="308"/>
      <c r="N28" s="308"/>
      <c r="O28" s="365"/>
      <c r="P28" s="366"/>
      <c r="Q28" s="366"/>
      <c r="T28" s="360"/>
    </row>
    <row r="29" spans="1:20" ht="21.6" customHeight="1">
      <c r="B29" s="152" t="str">
        <f t="shared" si="0"/>
        <v>OBRA GIAVENNO</v>
      </c>
      <c r="C29" s="27"/>
      <c r="D29" s="23"/>
      <c r="E29" s="46"/>
      <c r="F29" s="85"/>
      <c r="G29" s="23"/>
      <c r="H29" s="2"/>
      <c r="I29" s="48"/>
      <c r="J29" s="48"/>
      <c r="K29" s="4"/>
      <c r="L29" s="2"/>
      <c r="M29" s="56"/>
      <c r="N29" s="56"/>
      <c r="O29" s="2"/>
      <c r="P29" s="50"/>
      <c r="Q29" s="50"/>
    </row>
    <row r="30" spans="1:20" ht="21.6" customHeight="1">
      <c r="B30" s="152" t="str">
        <f t="shared" si="0"/>
        <v>OBRA GIAVENNO</v>
      </c>
      <c r="C30" s="27"/>
      <c r="D30" s="23"/>
      <c r="E30" s="46"/>
      <c r="F30" s="85"/>
      <c r="G30" s="42"/>
      <c r="H30" s="14"/>
      <c r="I30" s="48"/>
      <c r="J30" s="48"/>
      <c r="K30" s="4"/>
      <c r="L30" s="2"/>
      <c r="M30" s="56"/>
      <c r="N30" s="56"/>
      <c r="O30" s="2"/>
      <c r="P30" s="50"/>
      <c r="Q30" s="50"/>
    </row>
    <row r="31" spans="1:20" ht="21.6" customHeight="1">
      <c r="B31" s="152" t="str">
        <f t="shared" si="0"/>
        <v>OBRA GIAVENNO</v>
      </c>
      <c r="C31" s="27"/>
      <c r="D31" s="23"/>
      <c r="E31" s="29"/>
      <c r="F31" s="85"/>
      <c r="G31" s="42"/>
      <c r="H31" s="14"/>
      <c r="I31" s="48"/>
      <c r="J31" s="48"/>
      <c r="K31" s="4"/>
      <c r="L31" s="2"/>
      <c r="M31" s="56"/>
      <c r="N31" s="56"/>
      <c r="O31" s="2"/>
      <c r="P31" s="50"/>
      <c r="Q31" s="50"/>
    </row>
    <row r="32" spans="1:20" ht="21.6" customHeight="1">
      <c r="B32" s="152" t="str">
        <f t="shared" si="0"/>
        <v>OBRA GIAVENNO</v>
      </c>
      <c r="C32" s="27"/>
      <c r="D32" s="23"/>
      <c r="E32" s="29"/>
      <c r="F32" s="85"/>
      <c r="G32" s="42"/>
      <c r="H32" s="14"/>
      <c r="I32" s="48"/>
      <c r="J32" s="48"/>
      <c r="K32" s="4"/>
      <c r="L32" s="2"/>
      <c r="M32" s="56"/>
      <c r="N32" s="56"/>
      <c r="O32" s="2"/>
      <c r="P32" s="50"/>
      <c r="Q32" s="50"/>
    </row>
    <row r="33" spans="2:17" ht="21.6" customHeight="1">
      <c r="B33" s="152" t="str">
        <f t="shared" si="0"/>
        <v>OBRA GIAVENNO</v>
      </c>
      <c r="C33" s="27"/>
      <c r="D33" s="23"/>
      <c r="E33" s="46"/>
      <c r="F33" s="85"/>
      <c r="G33" s="42"/>
      <c r="H33" s="86"/>
      <c r="I33" s="48"/>
      <c r="J33" s="48"/>
      <c r="K33" s="4"/>
      <c r="L33" s="2"/>
      <c r="M33" s="56"/>
      <c r="N33" s="56"/>
      <c r="O33" s="2"/>
      <c r="P33" s="50"/>
      <c r="Q33" s="50"/>
    </row>
    <row r="34" spans="2:17" ht="21.6" customHeight="1">
      <c r="B34" s="152" t="str">
        <f t="shared" si="0"/>
        <v>OBRA GIAVENNO</v>
      </c>
      <c r="C34" s="27"/>
      <c r="D34" s="23"/>
      <c r="E34" s="29"/>
      <c r="F34" s="84"/>
      <c r="G34" s="23"/>
      <c r="H34" s="14"/>
      <c r="I34" s="44"/>
      <c r="J34" s="44"/>
      <c r="K34" s="19"/>
      <c r="L34" s="2"/>
      <c r="M34" s="56"/>
      <c r="N34" s="56"/>
      <c r="O34" s="2"/>
      <c r="P34" s="50"/>
      <c r="Q34" s="50"/>
    </row>
    <row r="35" spans="2:17" ht="21.6" customHeight="1">
      <c r="B35" s="152" t="str">
        <f t="shared" si="0"/>
        <v>OBRA GIAVENNO</v>
      </c>
      <c r="C35" s="27"/>
      <c r="D35" s="23"/>
      <c r="E35" s="29"/>
      <c r="F35" s="85"/>
      <c r="G35" s="42"/>
      <c r="H35" s="87"/>
      <c r="I35" s="48"/>
      <c r="J35" s="48"/>
      <c r="K35" s="4"/>
      <c r="L35" s="2"/>
      <c r="M35" s="56"/>
      <c r="N35" s="56"/>
      <c r="O35" s="2"/>
      <c r="P35" s="50"/>
      <c r="Q35" s="50"/>
    </row>
    <row r="36" spans="2:17" ht="21.6" customHeight="1">
      <c r="B36" s="152" t="str">
        <f t="shared" si="0"/>
        <v>OBRA GIAVENNO</v>
      </c>
      <c r="C36" s="27"/>
      <c r="D36" s="23"/>
      <c r="E36" s="46"/>
      <c r="F36" s="85"/>
      <c r="G36" s="42"/>
      <c r="H36" s="86"/>
      <c r="I36" s="48"/>
      <c r="J36" s="48"/>
      <c r="K36" s="4"/>
      <c r="L36" s="2"/>
      <c r="M36" s="56"/>
      <c r="N36" s="56"/>
      <c r="O36" s="2"/>
      <c r="P36" s="50"/>
      <c r="Q36" s="50"/>
    </row>
    <row r="37" spans="2:17" ht="21.6" customHeight="1">
      <c r="B37" s="152" t="str">
        <f t="shared" si="0"/>
        <v>OBRA GIAVENNO</v>
      </c>
      <c r="C37" s="27"/>
      <c r="D37" s="23"/>
      <c r="E37" s="46"/>
      <c r="F37" s="85"/>
      <c r="G37" s="42"/>
      <c r="H37" s="86"/>
      <c r="I37" s="48"/>
      <c r="J37" s="48"/>
      <c r="K37" s="4"/>
      <c r="L37" s="2"/>
      <c r="M37" s="56"/>
      <c r="N37" s="56"/>
      <c r="O37" s="2"/>
      <c r="P37" s="50"/>
      <c r="Q37" s="50"/>
    </row>
    <row r="38" spans="2:17" ht="21.6" customHeight="1">
      <c r="B38" s="152" t="str">
        <f t="shared" si="0"/>
        <v>OBRA GIAVENNO</v>
      </c>
      <c r="C38" s="27"/>
      <c r="D38" s="23"/>
      <c r="E38" s="46"/>
      <c r="F38" s="85"/>
      <c r="G38" s="42"/>
      <c r="H38" s="86"/>
      <c r="I38" s="48"/>
      <c r="J38" s="48"/>
      <c r="K38" s="4"/>
      <c r="L38" s="2"/>
      <c r="M38" s="56"/>
      <c r="N38" s="56"/>
      <c r="O38" s="2"/>
      <c r="P38" s="50"/>
      <c r="Q38" s="50"/>
    </row>
    <row r="39" spans="2:17" ht="21.6" customHeight="1">
      <c r="B39" s="152" t="str">
        <f t="shared" si="0"/>
        <v>OBRA GIAVENNO</v>
      </c>
      <c r="C39" s="27"/>
      <c r="D39" s="23"/>
      <c r="E39" s="46"/>
      <c r="F39" s="85"/>
      <c r="G39" s="42"/>
      <c r="H39" s="2"/>
      <c r="I39" s="48"/>
      <c r="J39" s="48"/>
      <c r="K39" s="4"/>
      <c r="L39" s="2"/>
      <c r="M39" s="56"/>
      <c r="N39" s="56"/>
      <c r="O39" s="2"/>
      <c r="P39" s="50"/>
      <c r="Q39" s="50"/>
    </row>
    <row r="40" spans="2:17" ht="21.6" customHeight="1">
      <c r="B40" s="152" t="str">
        <f t="shared" si="0"/>
        <v>OBRA GIAVENNO</v>
      </c>
      <c r="C40" s="27"/>
      <c r="D40" s="23"/>
      <c r="E40" s="29"/>
      <c r="F40" s="84"/>
      <c r="G40" s="23"/>
      <c r="H40" s="14"/>
      <c r="I40" s="44"/>
      <c r="J40" s="48"/>
      <c r="K40" s="4"/>
      <c r="L40" s="2"/>
      <c r="M40" s="56"/>
      <c r="N40" s="56"/>
      <c r="O40" s="2"/>
      <c r="P40" s="50"/>
      <c r="Q40" s="50"/>
    </row>
    <row r="41" spans="2:17" ht="21.6" customHeight="1">
      <c r="B41" s="152" t="str">
        <f t="shared" si="0"/>
        <v>OBRA GIAVENNO</v>
      </c>
      <c r="C41" s="27"/>
      <c r="D41" s="42"/>
      <c r="E41" s="46"/>
      <c r="F41" s="85"/>
      <c r="G41" s="42"/>
      <c r="H41" s="86"/>
      <c r="I41" s="48"/>
      <c r="J41" s="48"/>
      <c r="K41" s="4"/>
      <c r="L41" s="2"/>
      <c r="M41" s="56"/>
      <c r="N41" s="56"/>
      <c r="O41" s="2"/>
      <c r="P41" s="50"/>
      <c r="Q41" s="50"/>
    </row>
    <row r="42" spans="2:17" ht="21.6" customHeight="1">
      <c r="B42" s="152" t="str">
        <f t="shared" si="0"/>
        <v>OBRA GIAVENNO</v>
      </c>
      <c r="C42" s="27"/>
      <c r="D42" s="42"/>
      <c r="E42" s="46"/>
      <c r="F42" s="85"/>
      <c r="G42" s="23"/>
      <c r="H42" s="2"/>
      <c r="I42" s="48"/>
      <c r="J42" s="48"/>
      <c r="K42" s="4"/>
      <c r="L42" s="2"/>
      <c r="M42" s="56"/>
      <c r="N42" s="56"/>
      <c r="O42" s="2"/>
      <c r="P42" s="50"/>
      <c r="Q42" s="50"/>
    </row>
    <row r="43" spans="2:17" ht="21.6" customHeight="1">
      <c r="B43" s="152" t="str">
        <f t="shared" si="0"/>
        <v>OBRA GIAVENNO</v>
      </c>
      <c r="C43" s="27"/>
      <c r="D43" s="38"/>
      <c r="E43" s="38"/>
      <c r="F43" s="85"/>
      <c r="G43" s="39"/>
      <c r="H43" s="88"/>
      <c r="I43" s="40"/>
      <c r="J43" s="40"/>
      <c r="K43" s="4"/>
      <c r="L43" s="2"/>
      <c r="M43" s="56"/>
      <c r="N43" s="56"/>
      <c r="O43" s="2"/>
      <c r="P43" s="50"/>
      <c r="Q43" s="50"/>
    </row>
    <row r="44" spans="2:17" ht="21.6" customHeight="1">
      <c r="B44" s="152" t="str">
        <f t="shared" si="0"/>
        <v>OBRA GIAVENNO</v>
      </c>
      <c r="C44" s="27"/>
      <c r="D44" s="38"/>
      <c r="E44" s="38"/>
      <c r="F44" s="85"/>
      <c r="G44" s="39"/>
      <c r="H44" s="88"/>
      <c r="I44" s="40"/>
      <c r="J44" s="40"/>
      <c r="K44" s="4"/>
      <c r="L44" s="2"/>
      <c r="M44" s="56"/>
      <c r="N44" s="56"/>
      <c r="O44" s="2"/>
      <c r="P44" s="50"/>
      <c r="Q44" s="50"/>
    </row>
    <row r="45" spans="2:17" ht="21.6" customHeight="1">
      <c r="B45" s="152" t="str">
        <f t="shared" si="0"/>
        <v>OBRA GIAVENNO</v>
      </c>
      <c r="C45" s="27"/>
      <c r="D45" s="38"/>
      <c r="E45" s="38"/>
      <c r="F45" s="85"/>
      <c r="G45" s="39"/>
      <c r="H45" s="88"/>
      <c r="I45" s="40"/>
      <c r="J45" s="40"/>
      <c r="K45" s="4"/>
      <c r="L45" s="2"/>
      <c r="M45" s="56"/>
      <c r="N45" s="56"/>
      <c r="O45" s="2"/>
      <c r="P45" s="50"/>
      <c r="Q45" s="50"/>
    </row>
    <row r="46" spans="2:17" ht="21.6" customHeight="1">
      <c r="B46" s="152" t="str">
        <f t="shared" si="0"/>
        <v>OBRA GIAVENNO</v>
      </c>
      <c r="C46" s="27"/>
      <c r="D46" s="38"/>
      <c r="E46" s="38"/>
      <c r="F46" s="85"/>
      <c r="G46" s="39"/>
      <c r="H46" s="88"/>
      <c r="I46" s="40"/>
      <c r="J46" s="40"/>
      <c r="K46" s="4"/>
      <c r="L46" s="2"/>
      <c r="M46" s="56"/>
      <c r="N46" s="56"/>
      <c r="O46" s="2"/>
      <c r="P46" s="50"/>
      <c r="Q46" s="50"/>
    </row>
    <row r="47" spans="2:17" ht="21.6" customHeight="1">
      <c r="B47" s="152" t="str">
        <f t="shared" si="0"/>
        <v>OBRA GIAVENNO</v>
      </c>
      <c r="C47" s="27"/>
      <c r="D47" s="38"/>
      <c r="E47" s="38"/>
      <c r="F47" s="85"/>
      <c r="G47" s="39"/>
      <c r="H47" s="88"/>
      <c r="I47" s="40"/>
      <c r="J47" s="40"/>
      <c r="K47" s="4"/>
      <c r="L47" s="2"/>
      <c r="M47" s="56"/>
      <c r="N47" s="56"/>
      <c r="O47" s="2"/>
      <c r="P47" s="50"/>
      <c r="Q47" s="50"/>
    </row>
    <row r="48" spans="2:17" ht="21.6" customHeight="1">
      <c r="B48" s="152" t="str">
        <f t="shared" si="0"/>
        <v>OBRA GIAVENNO</v>
      </c>
      <c r="C48" s="27"/>
      <c r="D48" s="38"/>
      <c r="E48" s="38"/>
      <c r="F48" s="85"/>
      <c r="G48" s="39"/>
      <c r="H48" s="88"/>
      <c r="I48" s="40"/>
      <c r="J48" s="40"/>
      <c r="K48" s="4"/>
      <c r="L48" s="2"/>
      <c r="M48" s="56"/>
      <c r="N48" s="56"/>
      <c r="O48" s="2"/>
      <c r="P48" s="50"/>
      <c r="Q48" s="50"/>
    </row>
    <row r="49" spans="2:17" ht="21.6" customHeight="1">
      <c r="B49" s="152" t="str">
        <f t="shared" si="0"/>
        <v>OBRA GIAVENNO</v>
      </c>
      <c r="C49" s="27"/>
      <c r="D49" s="38"/>
      <c r="E49" s="38"/>
      <c r="F49" s="85"/>
      <c r="G49" s="39"/>
      <c r="H49" s="88"/>
      <c r="I49" s="40"/>
      <c r="J49" s="40"/>
      <c r="K49" s="4"/>
      <c r="L49" s="2"/>
      <c r="M49" s="56"/>
      <c r="N49" s="56"/>
      <c r="O49" s="2"/>
      <c r="P49" s="50"/>
      <c r="Q49" s="50"/>
    </row>
    <row r="50" spans="2:17" ht="21.6" customHeight="1">
      <c r="B50" s="152" t="str">
        <f t="shared" si="0"/>
        <v>OBRA GIAVENNO</v>
      </c>
      <c r="C50" s="27"/>
      <c r="D50" s="38"/>
      <c r="E50" s="38"/>
      <c r="F50" s="85"/>
      <c r="G50" s="39"/>
      <c r="H50" s="88"/>
      <c r="I50" s="40"/>
      <c r="J50" s="40"/>
      <c r="K50" s="4"/>
      <c r="L50" s="2"/>
      <c r="M50" s="56"/>
      <c r="N50" s="56"/>
      <c r="O50" s="2"/>
      <c r="P50" s="50"/>
      <c r="Q50" s="50"/>
    </row>
    <row r="51" spans="2:17" ht="20.100000000000001" customHeight="1">
      <c r="B51" s="152" t="str">
        <f t="shared" si="0"/>
        <v>OBRA GIAVENNO</v>
      </c>
      <c r="C51" s="27"/>
      <c r="D51" s="89"/>
      <c r="E51" s="38"/>
      <c r="F51" s="88"/>
      <c r="G51" s="53"/>
      <c r="H51" s="89"/>
      <c r="I51" s="4"/>
      <c r="J51" s="4"/>
      <c r="K51" s="4"/>
      <c r="L51" s="14"/>
      <c r="M51" s="56"/>
      <c r="N51" s="56"/>
      <c r="O51" s="14"/>
      <c r="P51" s="50"/>
      <c r="Q51" s="50"/>
    </row>
    <row r="52" spans="2:17" ht="20.100000000000001" customHeight="1" thickBot="1">
      <c r="B52" s="6"/>
      <c r="H52" s="20"/>
      <c r="I52" s="20"/>
    </row>
    <row r="53" spans="2:17" ht="19.350000000000001" customHeight="1" thickBot="1">
      <c r="B53" s="6"/>
      <c r="G53" s="5" t="s">
        <v>258</v>
      </c>
      <c r="H53" s="32">
        <f>SUM(I10:I51)</f>
        <v>243051.98</v>
      </c>
      <c r="I53" s="90"/>
    </row>
    <row r="54" spans="2:17" ht="13.35" customHeight="1">
      <c r="B54" s="6"/>
      <c r="H54" s="20"/>
      <c r="I54" s="20"/>
    </row>
    <row r="55" spans="2:17">
      <c r="B55" s="6"/>
      <c r="H55" s="20"/>
      <c r="I55" s="20"/>
    </row>
    <row r="56" spans="2:17">
      <c r="B56" s="6"/>
      <c r="H56" s="20"/>
      <c r="I56" s="20"/>
    </row>
    <row r="57" spans="2:17">
      <c r="B57" s="6"/>
      <c r="H57" s="20"/>
      <c r="I57" s="20"/>
    </row>
    <row r="58" spans="2:17">
      <c r="B58" s="6"/>
      <c r="H58" s="20"/>
      <c r="I58" s="20"/>
    </row>
    <row r="59" spans="2:17">
      <c r="B59" s="6"/>
      <c r="H59" s="20"/>
      <c r="I59" s="20"/>
    </row>
    <row r="60" spans="2:17">
      <c r="B60" s="6"/>
      <c r="H60" s="20"/>
      <c r="I60" s="20"/>
    </row>
    <row r="61" spans="2:17">
      <c r="B61" s="6"/>
      <c r="H61" s="20"/>
      <c r="I61" s="20"/>
    </row>
    <row r="62" spans="2:17">
      <c r="B62" s="6"/>
      <c r="H62" s="20"/>
      <c r="I62" s="20"/>
    </row>
    <row r="63" spans="2:17">
      <c r="B63" s="6"/>
      <c r="H63" s="20"/>
      <c r="I63" s="20"/>
    </row>
    <row r="64" spans="2:17">
      <c r="B64" s="6"/>
      <c r="H64" s="20"/>
      <c r="I64" s="20"/>
    </row>
    <row r="65" spans="2:9">
      <c r="B65" s="6"/>
      <c r="H65" s="20"/>
      <c r="I65" s="20"/>
    </row>
    <row r="66" spans="2:9">
      <c r="B66" s="6"/>
      <c r="H66" s="20"/>
      <c r="I66" s="20"/>
    </row>
    <row r="67" spans="2:9">
      <c r="B67" s="6"/>
      <c r="H67" s="20"/>
      <c r="I67" s="20"/>
    </row>
    <row r="68" spans="2:9">
      <c r="B68" s="6"/>
      <c r="H68" s="20"/>
      <c r="I68" s="20"/>
    </row>
    <row r="69" spans="2:9">
      <c r="B69" s="6"/>
      <c r="H69" s="20"/>
      <c r="I69" s="20"/>
    </row>
    <row r="70" spans="2:9">
      <c r="B70" s="6"/>
      <c r="H70" s="20"/>
      <c r="I70" s="20"/>
    </row>
    <row r="71" spans="2:9">
      <c r="B71" s="6"/>
      <c r="H71" s="20"/>
      <c r="I71" s="20"/>
    </row>
    <row r="72" spans="2:9">
      <c r="B72" s="6"/>
      <c r="H72" s="20"/>
      <c r="I72" s="20"/>
    </row>
    <row r="73" spans="2:9">
      <c r="B73" s="6"/>
      <c r="H73" s="20"/>
      <c r="I73" s="20"/>
    </row>
    <row r="74" spans="2:9">
      <c r="B74" s="6"/>
      <c r="H74" s="20"/>
      <c r="I74" s="20"/>
    </row>
    <row r="75" spans="2:9">
      <c r="B75" s="6"/>
      <c r="H75" s="20"/>
      <c r="I75" s="20"/>
    </row>
    <row r="76" spans="2:9">
      <c r="B76" s="6"/>
      <c r="H76" s="20"/>
      <c r="I76" s="20"/>
    </row>
    <row r="77" spans="2:9">
      <c r="B77" s="6"/>
      <c r="H77" s="20"/>
      <c r="I77" s="20"/>
    </row>
    <row r="78" spans="2:9">
      <c r="B78" s="6"/>
      <c r="H78" s="20"/>
      <c r="I78" s="20"/>
    </row>
    <row r="79" spans="2:9">
      <c r="B79" s="6"/>
      <c r="H79" s="20"/>
      <c r="I79" s="20"/>
    </row>
    <row r="80" spans="2:9">
      <c r="B80" s="6"/>
      <c r="H80" s="20"/>
      <c r="I80" s="20"/>
    </row>
    <row r="81" spans="2:9">
      <c r="B81" s="6"/>
      <c r="H81" s="20"/>
      <c r="I81" s="20"/>
    </row>
    <row r="82" spans="2:9">
      <c r="B82" s="6"/>
      <c r="H82" s="20"/>
      <c r="I82" s="20"/>
    </row>
    <row r="83" spans="2:9">
      <c r="B83" s="6"/>
      <c r="H83" s="20"/>
      <c r="I83" s="20"/>
    </row>
    <row r="84" spans="2:9">
      <c r="B84" s="6"/>
      <c r="H84" s="20"/>
      <c r="I84" s="20"/>
    </row>
    <row r="85" spans="2:9">
      <c r="B85" s="6"/>
      <c r="H85" s="20"/>
      <c r="I85" s="20"/>
    </row>
    <row r="86" spans="2:9">
      <c r="B86" s="6"/>
      <c r="H86" s="20"/>
      <c r="I86" s="20"/>
    </row>
    <row r="87" spans="2:9">
      <c r="B87" s="6"/>
      <c r="H87" s="20"/>
      <c r="I87" s="20"/>
    </row>
    <row r="88" spans="2:9">
      <c r="B88" s="6"/>
      <c r="H88" s="20"/>
      <c r="I88" s="20"/>
    </row>
    <row r="89" spans="2:9">
      <c r="B89" s="6"/>
      <c r="H89" s="20"/>
      <c r="I89" s="20"/>
    </row>
    <row r="90" spans="2:9">
      <c r="B90" s="6"/>
      <c r="H90" s="20"/>
      <c r="I90" s="20"/>
    </row>
    <row r="91" spans="2:9">
      <c r="B91" s="6"/>
      <c r="H91" s="20"/>
      <c r="I91" s="20"/>
    </row>
    <row r="92" spans="2:9">
      <c r="B92" s="6"/>
      <c r="H92" s="20"/>
      <c r="I92" s="20"/>
    </row>
    <row r="93" spans="2:9">
      <c r="B93" s="6"/>
      <c r="H93" s="20"/>
      <c r="I93" s="20"/>
    </row>
    <row r="94" spans="2:9">
      <c r="B94" s="6"/>
      <c r="H94" s="20"/>
      <c r="I94" s="20"/>
    </row>
  </sheetData>
  <mergeCells count="5">
    <mergeCell ref="D2:H2"/>
    <mergeCell ref="F3:G3"/>
    <mergeCell ref="F4:G4"/>
    <mergeCell ref="F5:G5"/>
    <mergeCell ref="F6:G6"/>
  </mergeCells>
  <phoneticPr fontId="5" type="noConversion"/>
  <conditionalFormatting sqref="L21">
    <cfRule type="cellIs" dxfId="1058" priority="21" operator="equal">
      <formula>"Cuenta Corriente"</formula>
    </cfRule>
    <cfRule type="cellIs" dxfId="1057" priority="22" operator="equal">
      <formula>"No Pagado"</formula>
    </cfRule>
  </conditionalFormatting>
  <conditionalFormatting sqref="L25">
    <cfRule type="cellIs" dxfId="1056" priority="7" operator="equal">
      <formula>"Cuenta Corriente"</formula>
    </cfRule>
    <cfRule type="cellIs" dxfId="1055" priority="8" operator="equal">
      <formula>"No Pagado"</formula>
    </cfRule>
  </conditionalFormatting>
  <conditionalFormatting sqref="L20:M20 O20 M21 L22:M22 O22">
    <cfRule type="containsText" dxfId="1054" priority="32" operator="containsText" text="Pendiente">
      <formula>NOT(ISERROR(SEARCH("Pendiente",L20)))</formula>
    </cfRule>
    <cfRule type="containsText" dxfId="1053" priority="33" operator="containsText" text="Pagado">
      <formula>NOT(ISERROR(SEARCH("Pagado",L20)))</formula>
    </cfRule>
    <cfRule type="containsText" dxfId="1052" priority="34" operator="containsText" text="Para abonar">
      <formula>NOT(ISERROR(SEARCH("Para abonar",L20)))</formula>
    </cfRule>
  </conditionalFormatting>
  <conditionalFormatting sqref="L24:M24 O24 L26:M26 O26">
    <cfRule type="containsText" dxfId="1051" priority="16" operator="containsText" text="Pendiente">
      <formula>NOT(ISERROR(SEARCH("Pendiente",L24)))</formula>
    </cfRule>
    <cfRule type="containsText" dxfId="1050" priority="17" operator="containsText" text="Pagado">
      <formula>NOT(ISERROR(SEARCH("Pagado",L24)))</formula>
    </cfRule>
    <cfRule type="containsText" dxfId="1049" priority="18" operator="containsText" text="Para abonar">
      <formula>NOT(ISERROR(SEARCH("Para abonar",L24)))</formula>
    </cfRule>
  </conditionalFormatting>
  <conditionalFormatting sqref="L10:N13 L15:N16 L18:N18 L23:N23 L29:N51">
    <cfRule type="cellIs" dxfId="1048" priority="63" operator="equal">
      <formula>"Cuenta Corriente"</formula>
    </cfRule>
    <cfRule type="cellIs" dxfId="1047" priority="64" operator="equal">
      <formula>"No Pagado"</formula>
    </cfRule>
  </conditionalFormatting>
  <conditionalFormatting sqref="L27:O28">
    <cfRule type="cellIs" dxfId="1046" priority="1" operator="equal">
      <formula>"Cuenta Corriente"</formula>
    </cfRule>
    <cfRule type="cellIs" dxfId="1045" priority="2" operator="equal">
      <formula>"No Pagado"</formula>
    </cfRule>
  </conditionalFormatting>
  <conditionalFormatting sqref="M25">
    <cfRule type="containsText" dxfId="1044" priority="11" operator="containsText" text="Pendiente">
      <formula>NOT(ISERROR(SEARCH("Pendiente",M25)))</formula>
    </cfRule>
    <cfRule type="containsText" dxfId="1043" priority="12" operator="containsText" text="Pagado">
      <formula>NOT(ISERROR(SEARCH("Pagado",M25)))</formula>
    </cfRule>
    <cfRule type="containsText" dxfId="1042" priority="13" operator="containsText" text="Para abonar">
      <formula>NOT(ISERROR(SEARCH("Para abonar",M25)))</formula>
    </cfRule>
  </conditionalFormatting>
  <conditionalFormatting sqref="N14">
    <cfRule type="containsText" dxfId="1041" priority="53" operator="containsText" text="Pendiente">
      <formula>NOT(ISERROR(SEARCH("Pendiente",N14)))</formula>
    </cfRule>
    <cfRule type="containsText" dxfId="1040" priority="54" operator="containsText" text="Pagado">
      <formula>NOT(ISERROR(SEARCH("Pagado",N14)))</formula>
    </cfRule>
    <cfRule type="containsText" dxfId="1039" priority="55" operator="containsText" text="Para abonar">
      <formula>NOT(ISERROR(SEARCH("Para abonar",N14)))</formula>
    </cfRule>
  </conditionalFormatting>
  <conditionalFormatting sqref="N17">
    <cfRule type="containsText" dxfId="1038" priority="45" operator="containsText" text="Pendiente">
      <formula>NOT(ISERROR(SEARCH("Pendiente",N17)))</formula>
    </cfRule>
    <cfRule type="containsText" dxfId="1037" priority="46" operator="containsText" text="Pagado">
      <formula>NOT(ISERROR(SEARCH("Pagado",N17)))</formula>
    </cfRule>
    <cfRule type="containsText" dxfId="1036" priority="47" operator="containsText" text="Para abonar">
      <formula>NOT(ISERROR(SEARCH("Para abonar",N17)))</formula>
    </cfRule>
  </conditionalFormatting>
  <conditionalFormatting sqref="N19 P19">
    <cfRule type="containsText" dxfId="1035" priority="42" operator="containsText" text="Pendiente">
      <formula>NOT(ISERROR(SEARCH("Pendiente",N19)))</formula>
    </cfRule>
    <cfRule type="containsText" dxfId="1034" priority="43" operator="containsText" text="Pagado">
      <formula>NOT(ISERROR(SEARCH("Pagado",N19)))</formula>
    </cfRule>
    <cfRule type="containsText" dxfId="1033" priority="44" operator="containsText" text="Para abonar">
      <formula>NOT(ISERROR(SEARCH("Para abonar",N19)))</formula>
    </cfRule>
  </conditionalFormatting>
  <conditionalFormatting sqref="N20:N22">
    <cfRule type="cellIs" dxfId="1032" priority="30" operator="equal">
      <formula>"Cuenta Corriente"</formula>
    </cfRule>
    <cfRule type="cellIs" dxfId="1031" priority="31" operator="equal">
      <formula>"No Pagado"</formula>
    </cfRule>
  </conditionalFormatting>
  <conditionalFormatting sqref="N24:N26">
    <cfRule type="cellIs" dxfId="1030" priority="9" operator="equal">
      <formula>"Cuenta Corriente"</formula>
    </cfRule>
    <cfRule type="cellIs" dxfId="1029" priority="10" operator="equal">
      <formula>"No Pagado"</formula>
    </cfRule>
  </conditionalFormatting>
  <conditionalFormatting sqref="O10:O19 O23 O29:O51">
    <cfRule type="cellIs" dxfId="1028" priority="40" operator="equal">
      <formula>"Cuenta Corriente"</formula>
    </cfRule>
    <cfRule type="cellIs" dxfId="1027" priority="41" operator="equal">
      <formula>"No Pagado"</formula>
    </cfRule>
  </conditionalFormatting>
  <conditionalFormatting sqref="O21">
    <cfRule type="cellIs" dxfId="1026" priority="19" operator="equal">
      <formula>"Cuenta Corriente"</formula>
    </cfRule>
    <cfRule type="cellIs" dxfId="1025" priority="20" operator="equal">
      <formula>"No Pagado"</formula>
    </cfRule>
  </conditionalFormatting>
  <conditionalFormatting sqref="O25">
    <cfRule type="cellIs" dxfId="1024" priority="5" operator="equal">
      <formula>"Cuenta Corriente"</formula>
    </cfRule>
    <cfRule type="cellIs" dxfId="1023" priority="6" operator="equal">
      <formula>"No Pagado"</formula>
    </cfRule>
  </conditionalFormatting>
  <conditionalFormatting sqref="P14">
    <cfRule type="containsText" dxfId="1022" priority="56" operator="containsText" text="Pendiente">
      <formula>NOT(ISERROR(SEARCH("Pendiente",P14)))</formula>
    </cfRule>
    <cfRule type="containsText" dxfId="1021" priority="57" operator="containsText" text="Pagado">
      <formula>NOT(ISERROR(SEARCH("Pagado",P14)))</formula>
    </cfRule>
    <cfRule type="containsText" dxfId="1020" priority="58" operator="containsText" text="Para abonar">
      <formula>NOT(ISERROR(SEARCH("Para abonar",P14)))</formula>
    </cfRule>
  </conditionalFormatting>
  <conditionalFormatting sqref="P17">
    <cfRule type="containsText" dxfId="1019" priority="50" operator="containsText" text="Pendiente">
      <formula>NOT(ISERROR(SEARCH("Pendiente",P17)))</formula>
    </cfRule>
    <cfRule type="containsText" dxfId="1018" priority="51" operator="containsText" text="Pagado">
      <formula>NOT(ISERROR(SEARCH("Pagado",P17)))</formula>
    </cfRule>
    <cfRule type="containsText" dxfId="1017" priority="52" operator="containsText" text="Para abonar">
      <formula>NOT(ISERROR(SEARCH("Para abonar",P17)))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9B02AF-EF89-46FE-BE7A-B9A40236CBA6}">
          <x14:formula1>
            <xm:f>Consultas!$B$13:$B$15</xm:f>
          </x14:formula1>
          <xm:sqref>N10:N13 O14 N15:N16 O17 N18 O19 N20:N23 N25 L24:M24 L26:M26 N27:N51</xm:sqref>
        </x14:dataValidation>
        <x14:dataValidation type="list" allowBlank="1" showInputMessage="1" showErrorMessage="1" xr:uid="{01562C8B-78C4-453F-BB1D-E23843790B29}">
          <x14:formula1>
            <xm:f>Consultas!$B$9:$B$11</xm:f>
          </x14:formula1>
          <xm:sqref>O10:O13 N14 P14 L10:M13 O15:O16 P17 N17 O18 L15:M16 N19 P19 O25 L18:M18 L20:M23 O20:O23 K26 K24 N24 N26 L25:M25 L27:M51 O27:O51</xm:sqref>
        </x14:dataValidation>
        <x14:dataValidation type="list" allowBlank="1" showInputMessage="1" showErrorMessage="1" xr:uid="{F1A0DCE4-6187-4708-B69A-1F4570B2DCDE}">
          <x14:formula1>
            <xm:f>Proveedores!$B$3:$B$111</xm:f>
          </x14:formula1>
          <xm:sqref>G10:G23 G25 F26 F24 G27:G120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C34C-00F0-4059-BAD9-1AC05FD940B5}">
  <dimension ref="A1:T92"/>
  <sheetViews>
    <sheetView topLeftCell="A3" zoomScale="94" zoomScaleNormal="94" workbookViewId="0">
      <selection activeCell="A21" sqref="A21:XFD21"/>
    </sheetView>
  </sheetViews>
  <sheetFormatPr defaultColWidth="11.42578125" defaultRowHeight="14.45"/>
  <cols>
    <col min="1" max="1" width="10.28515625" customWidth="1"/>
    <col min="2" max="2" width="18.7109375" bestFit="1" customWidth="1"/>
    <col min="3" max="3" width="16.28515625" bestFit="1" customWidth="1"/>
    <col min="4" max="4" width="14.85546875" bestFit="1" customWidth="1"/>
    <col min="5" max="5" width="20" customWidth="1"/>
    <col min="6" max="6" width="73.85546875" bestFit="1" customWidth="1"/>
    <col min="7" max="7" width="18.42578125" customWidth="1"/>
    <col min="8" max="8" width="18" customWidth="1"/>
    <col min="9" max="9" width="16.42578125" customWidth="1"/>
    <col min="10" max="10" width="17.85546875" customWidth="1"/>
    <col min="11" max="12" width="12.7109375" customWidth="1"/>
    <col min="13" max="13" width="17.85546875" customWidth="1"/>
    <col min="14" max="14" width="15.85546875" bestFit="1" customWidth="1"/>
  </cols>
  <sheetData>
    <row r="1" spans="1:18" ht="15" thickBot="1">
      <c r="B1" s="6"/>
    </row>
    <row r="2" spans="1:18" ht="24" thickBot="1">
      <c r="B2" s="6"/>
      <c r="D2" s="420" t="s">
        <v>176</v>
      </c>
      <c r="E2" s="421"/>
      <c r="F2" s="421"/>
      <c r="G2" s="421"/>
      <c r="H2" s="422"/>
      <c r="I2" s="83"/>
    </row>
    <row r="3" spans="1:18" ht="18" customHeight="1">
      <c r="B3" s="6"/>
      <c r="D3" s="8" t="s">
        <v>177</v>
      </c>
      <c r="E3" s="36" t="s">
        <v>811</v>
      </c>
      <c r="F3" s="423"/>
      <c r="G3" s="424"/>
      <c r="H3" s="37"/>
    </row>
    <row r="4" spans="1:18">
      <c r="B4" s="6"/>
      <c r="D4" s="9" t="s">
        <v>179</v>
      </c>
      <c r="E4" s="1" t="s">
        <v>812</v>
      </c>
      <c r="F4" s="440" t="s">
        <v>180</v>
      </c>
      <c r="G4" s="441"/>
      <c r="H4" s="35" t="s">
        <v>813</v>
      </c>
    </row>
    <row r="5" spans="1:18">
      <c r="B5" s="6"/>
      <c r="D5" s="9"/>
      <c r="E5" s="1"/>
      <c r="F5" s="442"/>
      <c r="G5" s="443"/>
      <c r="H5" s="10"/>
    </row>
    <row r="6" spans="1:18" ht="15" customHeight="1" thickBot="1">
      <c r="B6" s="6"/>
      <c r="D6" s="11"/>
      <c r="E6" s="12"/>
      <c r="F6" s="438"/>
      <c r="G6" s="439"/>
      <c r="H6" s="13"/>
      <c r="K6" s="296"/>
      <c r="L6" s="296"/>
      <c r="M6" s="296"/>
    </row>
    <row r="7" spans="1:18">
      <c r="B7" s="6"/>
    </row>
    <row r="8" spans="1:18" ht="15" thickBot="1">
      <c r="B8" s="6"/>
    </row>
    <row r="9" spans="1:18" ht="43.15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294" t="s">
        <v>190</v>
      </c>
      <c r="M9" s="294" t="s">
        <v>191</v>
      </c>
      <c r="N9" s="58" t="s">
        <v>192</v>
      </c>
      <c r="O9" s="52" t="s">
        <v>193</v>
      </c>
      <c r="P9" s="58" t="s">
        <v>194</v>
      </c>
      <c r="Q9" s="52" t="s">
        <v>195</v>
      </c>
    </row>
    <row r="10" spans="1:18" ht="21" customHeight="1">
      <c r="B10" s="497" t="str">
        <f t="shared" ref="B10:B49" si="0">+$E$3</f>
        <v>EMILIO CONTIGIANI</v>
      </c>
      <c r="C10" s="173">
        <v>45986</v>
      </c>
      <c r="D10" s="174" t="s">
        <v>364</v>
      </c>
      <c r="E10" s="175" t="s">
        <v>443</v>
      </c>
      <c r="F10" s="176" t="s">
        <v>814</v>
      </c>
      <c r="G10" s="174" t="s">
        <v>136</v>
      </c>
      <c r="H10" s="177" t="s">
        <v>207</v>
      </c>
      <c r="I10" s="172"/>
      <c r="J10" s="172"/>
      <c r="K10" s="172" t="s">
        <v>815</v>
      </c>
      <c r="L10" s="377" t="s">
        <v>209</v>
      </c>
      <c r="M10" s="295"/>
      <c r="N10" s="178" t="s">
        <v>353</v>
      </c>
      <c r="O10" s="174" t="s">
        <v>732</v>
      </c>
      <c r="P10" s="178"/>
      <c r="Q10" s="178"/>
    </row>
    <row r="11" spans="1:18" ht="34.5" customHeight="1">
      <c r="B11" s="497" t="str">
        <f t="shared" si="0"/>
        <v>EMILIO CONTIGIANI</v>
      </c>
      <c r="C11" s="179">
        <v>45988</v>
      </c>
      <c r="D11" s="108" t="s">
        <v>364</v>
      </c>
      <c r="E11" s="180" t="s">
        <v>443</v>
      </c>
      <c r="F11" s="181" t="s">
        <v>816</v>
      </c>
      <c r="G11" s="111" t="s">
        <v>76</v>
      </c>
      <c r="H11" s="112" t="s">
        <v>817</v>
      </c>
      <c r="I11" s="113">
        <v>60000</v>
      </c>
      <c r="J11" s="113"/>
      <c r="K11" s="117" t="s">
        <v>396</v>
      </c>
      <c r="L11" s="378" t="s">
        <v>209</v>
      </c>
      <c r="M11" s="108"/>
      <c r="N11" s="114" t="s">
        <v>305</v>
      </c>
      <c r="O11" s="108" t="s">
        <v>732</v>
      </c>
      <c r="P11" s="182"/>
      <c r="Q11" s="182"/>
    </row>
    <row r="12" spans="1:18" s="138" customFormat="1" ht="28.9">
      <c r="A12" s="168" t="s">
        <v>218</v>
      </c>
      <c r="B12" s="169"/>
      <c r="C12" s="170">
        <v>45996</v>
      </c>
      <c r="D12" s="129"/>
      <c r="E12" s="134"/>
      <c r="F12" s="143"/>
      <c r="G12" s="465"/>
      <c r="H12" s="136"/>
      <c r="I12" s="474"/>
      <c r="J12" s="487"/>
      <c r="K12" s="144"/>
      <c r="L12" s="145"/>
      <c r="M12" s="145"/>
      <c r="N12" s="140"/>
      <c r="O12" s="140"/>
      <c r="P12" s="140"/>
      <c r="Q12" s="141"/>
      <c r="R12" s="142"/>
    </row>
    <row r="13" spans="1:18">
      <c r="B13" s="27" t="str">
        <f>+$E$3</f>
        <v>EMILIO CONTIGIANI</v>
      </c>
      <c r="C13" s="268">
        <v>46045</v>
      </c>
      <c r="D13" s="108" t="s">
        <v>364</v>
      </c>
      <c r="E13" s="180" t="s">
        <v>443</v>
      </c>
      <c r="F13" s="269" t="s">
        <v>818</v>
      </c>
      <c r="G13" s="111" t="s">
        <v>76</v>
      </c>
      <c r="H13" s="112" t="s">
        <v>817</v>
      </c>
      <c r="I13" s="117">
        <v>45000</v>
      </c>
      <c r="J13" s="117"/>
      <c r="K13" s="117" t="s">
        <v>396</v>
      </c>
      <c r="L13" s="264" t="s">
        <v>209</v>
      </c>
      <c r="M13" s="114"/>
      <c r="N13" s="114" t="s">
        <v>305</v>
      </c>
      <c r="O13" s="108" t="s">
        <v>732</v>
      </c>
      <c r="P13" s="50"/>
      <c r="Q13" s="50"/>
    </row>
    <row r="14" spans="1:18" s="138" customFormat="1" ht="28.9">
      <c r="A14" s="168" t="s">
        <v>218</v>
      </c>
      <c r="B14" s="170"/>
      <c r="C14" s="171">
        <v>46051</v>
      </c>
      <c r="D14" s="130"/>
      <c r="E14" s="130"/>
      <c r="F14" s="465"/>
      <c r="G14" s="131"/>
      <c r="H14" s="465"/>
      <c r="I14" s="132"/>
      <c r="J14" s="132"/>
      <c r="K14" s="133"/>
      <c r="L14" s="134"/>
      <c r="M14" s="285"/>
      <c r="N14" s="135"/>
      <c r="O14" s="136"/>
      <c r="P14" s="137"/>
      <c r="Q14" s="137"/>
    </row>
    <row r="15" spans="1:18" s="263" customFormat="1">
      <c r="A15" s="252" t="s">
        <v>257</v>
      </c>
      <c r="B15" s="253" t="str">
        <f>+$E$3</f>
        <v>EMILIO CONTIGIANI</v>
      </c>
      <c r="C15" s="254">
        <v>46065</v>
      </c>
      <c r="D15" s="254"/>
      <c r="E15" s="255"/>
      <c r="F15" s="498"/>
      <c r="G15" s="256"/>
      <c r="H15" s="498"/>
      <c r="I15" s="257"/>
      <c r="J15" s="257"/>
      <c r="K15" s="258"/>
      <c r="L15" s="259"/>
      <c r="M15" s="288"/>
      <c r="N15" s="260"/>
      <c r="O15" s="261"/>
      <c r="P15" s="262"/>
      <c r="Q15" s="262"/>
    </row>
    <row r="16" spans="1:18" s="263" customFormat="1">
      <c r="A16" s="252" t="s">
        <v>257</v>
      </c>
      <c r="B16" s="253" t="str">
        <f t="shared" ref="B16:B18" si="1">+$E$3</f>
        <v>EMILIO CONTIGIANI</v>
      </c>
      <c r="C16" s="254">
        <v>46079</v>
      </c>
      <c r="D16" s="254"/>
      <c r="E16" s="255"/>
      <c r="F16" s="498"/>
      <c r="G16" s="256"/>
      <c r="H16" s="498"/>
      <c r="I16" s="257"/>
      <c r="J16" s="257"/>
      <c r="K16" s="258"/>
      <c r="L16" s="259"/>
      <c r="M16" s="288"/>
      <c r="N16" s="260"/>
      <c r="O16" s="261"/>
      <c r="P16" s="262"/>
      <c r="Q16" s="262"/>
    </row>
    <row r="17" spans="1:20" s="263" customFormat="1">
      <c r="A17" s="252" t="s">
        <v>257</v>
      </c>
      <c r="B17" s="253" t="str">
        <f t="shared" si="1"/>
        <v>EMILIO CONTIGIANI</v>
      </c>
      <c r="C17" s="254">
        <v>46093</v>
      </c>
      <c r="D17" s="254"/>
      <c r="E17" s="255"/>
      <c r="F17" s="498"/>
      <c r="G17" s="256"/>
      <c r="H17" s="498"/>
      <c r="I17" s="257"/>
      <c r="J17" s="257"/>
      <c r="K17" s="258"/>
      <c r="L17" s="259"/>
      <c r="M17" s="259"/>
      <c r="N17" s="260"/>
      <c r="O17" s="261"/>
      <c r="P17" s="262"/>
      <c r="Q17" s="262"/>
    </row>
    <row r="18" spans="1:20" s="263" customFormat="1">
      <c r="A18" s="252" t="s">
        <v>257</v>
      </c>
      <c r="B18" s="253" t="str">
        <f t="shared" si="1"/>
        <v>EMILIO CONTIGIANI</v>
      </c>
      <c r="C18" s="254">
        <v>46107</v>
      </c>
      <c r="D18" s="254"/>
      <c r="E18" s="255"/>
      <c r="F18" s="498"/>
      <c r="G18" s="256"/>
      <c r="H18" s="498"/>
      <c r="I18" s="257"/>
      <c r="J18" s="257"/>
      <c r="K18" s="258"/>
      <c r="L18" s="259"/>
      <c r="M18" s="259"/>
      <c r="N18" s="260"/>
      <c r="O18" s="261"/>
      <c r="P18" s="262"/>
      <c r="Q18" s="262"/>
    </row>
    <row r="19" spans="1:20" s="138" customFormat="1" ht="28.9">
      <c r="A19" s="168" t="s">
        <v>218</v>
      </c>
      <c r="B19" s="170"/>
      <c r="C19" s="171">
        <v>46135</v>
      </c>
      <c r="D19" s="130"/>
      <c r="E19" s="130"/>
      <c r="F19" s="465"/>
      <c r="G19" s="131"/>
      <c r="H19" s="465"/>
      <c r="I19" s="132"/>
      <c r="J19" s="132"/>
      <c r="K19" s="133"/>
      <c r="L19" s="134"/>
      <c r="M19" s="285"/>
      <c r="N19" s="135"/>
      <c r="O19" s="136"/>
      <c r="P19" s="137"/>
      <c r="Q19" s="137"/>
    </row>
    <row r="20" spans="1:20" s="311" customFormat="1">
      <c r="A20" s="375" t="s">
        <v>257</v>
      </c>
      <c r="B20" s="361" t="str">
        <f t="shared" ref="B20:B21" si="2">+$E$3</f>
        <v>EMILIO CONTIGIANI</v>
      </c>
      <c r="C20" s="302">
        <v>46149</v>
      </c>
      <c r="D20" s="303"/>
      <c r="E20" s="362"/>
      <c r="F20" s="467"/>
      <c r="G20" s="304"/>
      <c r="H20" s="467"/>
      <c r="I20" s="305"/>
      <c r="J20" s="305"/>
      <c r="K20" s="363"/>
      <c r="L20" s="364"/>
      <c r="M20" s="308"/>
      <c r="N20" s="308"/>
      <c r="O20" s="365"/>
      <c r="P20" s="366"/>
      <c r="Q20" s="366"/>
      <c r="T20" s="360"/>
    </row>
    <row r="21" spans="1:20" s="311" customFormat="1" ht="18.600000000000001" customHeight="1">
      <c r="A21" s="367" t="s">
        <v>257</v>
      </c>
      <c r="B21" s="361" t="str">
        <f t="shared" si="2"/>
        <v>EMILIO CONTIGIANI</v>
      </c>
      <c r="C21" s="302">
        <v>46163</v>
      </c>
      <c r="D21" s="303"/>
      <c r="E21" s="362"/>
      <c r="F21" s="467"/>
      <c r="G21" s="304"/>
      <c r="H21" s="467"/>
      <c r="I21" s="305"/>
      <c r="J21" s="305"/>
      <c r="K21" s="363"/>
      <c r="L21" s="364"/>
      <c r="M21" s="308"/>
      <c r="N21" s="308"/>
      <c r="O21" s="365"/>
      <c r="P21" s="366"/>
      <c r="Q21" s="366"/>
      <c r="T21" s="360"/>
    </row>
    <row r="22" spans="1:20" ht="21.6" customHeight="1">
      <c r="B22" s="152" t="str">
        <f t="shared" si="0"/>
        <v>EMILIO CONTIGIANI</v>
      </c>
      <c r="C22" s="25"/>
      <c r="D22" s="23"/>
      <c r="E22" s="29"/>
      <c r="F22" s="84"/>
      <c r="G22" s="23"/>
      <c r="H22" s="2"/>
      <c r="I22" s="44"/>
      <c r="J22" s="48"/>
      <c r="K22" s="40"/>
      <c r="L22" s="2"/>
      <c r="M22" s="56"/>
      <c r="N22" s="56"/>
      <c r="O22" s="2"/>
      <c r="P22" s="50"/>
      <c r="Q22" s="50"/>
    </row>
    <row r="23" spans="1:20" ht="23.1" customHeight="1">
      <c r="B23" s="152" t="str">
        <f t="shared" si="0"/>
        <v>EMILIO CONTIGIANI</v>
      </c>
      <c r="C23" s="27"/>
      <c r="D23" s="23"/>
      <c r="E23" s="46"/>
      <c r="F23" s="85"/>
      <c r="G23" s="23"/>
      <c r="H23" s="2"/>
      <c r="I23" s="48"/>
      <c r="J23" s="48"/>
      <c r="K23" s="4"/>
      <c r="L23" s="2"/>
      <c r="M23" s="56"/>
      <c r="N23" s="56"/>
      <c r="O23" s="2"/>
      <c r="P23" s="50"/>
      <c r="Q23" s="50"/>
    </row>
    <row r="24" spans="1:20" ht="22.35" customHeight="1">
      <c r="B24" s="152" t="str">
        <f t="shared" si="0"/>
        <v>EMILIO CONTIGIANI</v>
      </c>
      <c r="C24" s="27"/>
      <c r="D24" s="23"/>
      <c r="E24" s="29"/>
      <c r="F24" s="85"/>
      <c r="G24" s="41"/>
      <c r="H24" s="14"/>
      <c r="I24" s="48"/>
      <c r="J24" s="48"/>
      <c r="K24" s="4"/>
      <c r="L24" s="2"/>
      <c r="M24" s="56"/>
      <c r="N24" s="56"/>
      <c r="O24" s="2"/>
      <c r="P24" s="50"/>
      <c r="Q24" s="50"/>
    </row>
    <row r="25" spans="1:20" ht="21.6" customHeight="1">
      <c r="B25" s="152" t="str">
        <f t="shared" si="0"/>
        <v>EMILIO CONTIGIANI</v>
      </c>
      <c r="C25" s="27"/>
      <c r="D25" s="23"/>
      <c r="E25" s="29"/>
      <c r="F25" s="85"/>
      <c r="G25" s="41"/>
      <c r="H25" s="14"/>
      <c r="I25" s="48"/>
      <c r="J25" s="48"/>
      <c r="K25" s="4"/>
      <c r="L25" s="2"/>
      <c r="M25" s="56"/>
      <c r="N25" s="56"/>
      <c r="O25" s="2"/>
      <c r="P25" s="50"/>
      <c r="Q25" s="50"/>
    </row>
    <row r="26" spans="1:20" ht="21.6" customHeight="1">
      <c r="B26" s="152" t="str">
        <f t="shared" si="0"/>
        <v>EMILIO CONTIGIANI</v>
      </c>
      <c r="C26" s="27"/>
      <c r="D26" s="23"/>
      <c r="E26" s="29"/>
      <c r="F26" s="85"/>
      <c r="G26" s="41"/>
      <c r="H26" s="14"/>
      <c r="I26" s="48"/>
      <c r="J26" s="48"/>
      <c r="K26" s="4"/>
      <c r="L26" s="2"/>
      <c r="M26" s="56"/>
      <c r="N26" s="56"/>
      <c r="O26" s="2"/>
      <c r="P26" s="50"/>
      <c r="Q26" s="50"/>
    </row>
    <row r="27" spans="1:20" ht="21.6" customHeight="1">
      <c r="B27" s="152" t="str">
        <f t="shared" si="0"/>
        <v>EMILIO CONTIGIANI</v>
      </c>
      <c r="C27" s="27"/>
      <c r="D27" s="23"/>
      <c r="E27" s="46"/>
      <c r="F27" s="85"/>
      <c r="G27" s="23"/>
      <c r="H27" s="2"/>
      <c r="I27" s="48"/>
      <c r="J27" s="48"/>
      <c r="K27" s="4"/>
      <c r="L27" s="2"/>
      <c r="M27" s="56"/>
      <c r="N27" s="56"/>
      <c r="O27" s="2"/>
      <c r="P27" s="50"/>
      <c r="Q27" s="50"/>
    </row>
    <row r="28" spans="1:20" ht="21.6" customHeight="1">
      <c r="B28" s="152" t="str">
        <f t="shared" si="0"/>
        <v>EMILIO CONTIGIANI</v>
      </c>
      <c r="C28" s="27"/>
      <c r="D28" s="23"/>
      <c r="E28" s="46"/>
      <c r="F28" s="85"/>
      <c r="G28" s="42"/>
      <c r="H28" s="14"/>
      <c r="I28" s="48"/>
      <c r="J28" s="48"/>
      <c r="K28" s="4"/>
      <c r="L28" s="2"/>
      <c r="M28" s="56"/>
      <c r="N28" s="56"/>
      <c r="O28" s="2"/>
      <c r="P28" s="50"/>
      <c r="Q28" s="50"/>
    </row>
    <row r="29" spans="1:20" ht="21.6" customHeight="1">
      <c r="B29" s="152" t="str">
        <f t="shared" si="0"/>
        <v>EMILIO CONTIGIANI</v>
      </c>
      <c r="C29" s="27"/>
      <c r="D29" s="23"/>
      <c r="E29" s="29"/>
      <c r="F29" s="85"/>
      <c r="G29" s="42"/>
      <c r="H29" s="14"/>
      <c r="I29" s="48"/>
      <c r="J29" s="48"/>
      <c r="K29" s="4"/>
      <c r="L29" s="2"/>
      <c r="M29" s="56"/>
      <c r="N29" s="56"/>
      <c r="O29" s="2"/>
      <c r="P29" s="50"/>
      <c r="Q29" s="50"/>
    </row>
    <row r="30" spans="1:20" ht="21.6" customHeight="1">
      <c r="B30" s="152" t="str">
        <f t="shared" si="0"/>
        <v>EMILIO CONTIGIANI</v>
      </c>
      <c r="C30" s="27"/>
      <c r="D30" s="23"/>
      <c r="E30" s="29"/>
      <c r="F30" s="85"/>
      <c r="G30" s="42"/>
      <c r="H30" s="14"/>
      <c r="I30" s="48"/>
      <c r="J30" s="48"/>
      <c r="K30" s="4"/>
      <c r="L30" s="2"/>
      <c r="M30" s="56"/>
      <c r="N30" s="56"/>
      <c r="O30" s="2"/>
      <c r="P30" s="50"/>
      <c r="Q30" s="50"/>
    </row>
    <row r="31" spans="1:20" ht="21.6" customHeight="1">
      <c r="B31" s="152" t="str">
        <f t="shared" si="0"/>
        <v>EMILIO CONTIGIANI</v>
      </c>
      <c r="C31" s="27"/>
      <c r="D31" s="23"/>
      <c r="E31" s="46"/>
      <c r="F31" s="85"/>
      <c r="G31" s="42"/>
      <c r="H31" s="86"/>
      <c r="I31" s="48"/>
      <c r="J31" s="48"/>
      <c r="K31" s="4"/>
      <c r="L31" s="2"/>
      <c r="M31" s="56"/>
      <c r="N31" s="56"/>
      <c r="O31" s="2"/>
      <c r="P31" s="50"/>
      <c r="Q31" s="50"/>
    </row>
    <row r="32" spans="1:20" ht="21.6" customHeight="1">
      <c r="B32" s="152" t="str">
        <f t="shared" si="0"/>
        <v>EMILIO CONTIGIANI</v>
      </c>
      <c r="C32" s="27"/>
      <c r="D32" s="23"/>
      <c r="E32" s="29"/>
      <c r="F32" s="84"/>
      <c r="G32" s="23"/>
      <c r="H32" s="14"/>
      <c r="I32" s="44"/>
      <c r="J32" s="44"/>
      <c r="K32" s="19"/>
      <c r="L32" s="2"/>
      <c r="M32" s="56"/>
      <c r="N32" s="56"/>
      <c r="O32" s="2"/>
      <c r="P32" s="50"/>
      <c r="Q32" s="50"/>
    </row>
    <row r="33" spans="2:17" ht="21.6" customHeight="1">
      <c r="B33" s="152" t="str">
        <f t="shared" si="0"/>
        <v>EMILIO CONTIGIANI</v>
      </c>
      <c r="C33" s="27"/>
      <c r="D33" s="23"/>
      <c r="E33" s="29"/>
      <c r="F33" s="85"/>
      <c r="G33" s="42"/>
      <c r="H33" s="87"/>
      <c r="I33" s="48"/>
      <c r="J33" s="48"/>
      <c r="K33" s="4"/>
      <c r="L33" s="2"/>
      <c r="M33" s="56"/>
      <c r="N33" s="56"/>
      <c r="O33" s="2"/>
      <c r="P33" s="50"/>
      <c r="Q33" s="50"/>
    </row>
    <row r="34" spans="2:17" ht="21.6" customHeight="1">
      <c r="B34" s="152" t="str">
        <f t="shared" si="0"/>
        <v>EMILIO CONTIGIANI</v>
      </c>
      <c r="C34" s="27"/>
      <c r="D34" s="23"/>
      <c r="E34" s="46"/>
      <c r="F34" s="85"/>
      <c r="G34" s="42"/>
      <c r="H34" s="86"/>
      <c r="I34" s="48"/>
      <c r="J34" s="48"/>
      <c r="K34" s="4"/>
      <c r="L34" s="2"/>
      <c r="M34" s="56"/>
      <c r="N34" s="56"/>
      <c r="O34" s="2"/>
      <c r="P34" s="50"/>
      <c r="Q34" s="50"/>
    </row>
    <row r="35" spans="2:17" ht="21.6" customHeight="1">
      <c r="B35" s="152" t="str">
        <f t="shared" si="0"/>
        <v>EMILIO CONTIGIANI</v>
      </c>
      <c r="C35" s="27"/>
      <c r="D35" s="23"/>
      <c r="E35" s="46"/>
      <c r="F35" s="85"/>
      <c r="G35" s="42"/>
      <c r="H35" s="86"/>
      <c r="I35" s="48"/>
      <c r="J35" s="48"/>
      <c r="K35" s="4"/>
      <c r="L35" s="2"/>
      <c r="M35" s="56"/>
      <c r="N35" s="56"/>
      <c r="O35" s="2"/>
      <c r="P35" s="50"/>
      <c r="Q35" s="50"/>
    </row>
    <row r="36" spans="2:17" ht="21.6" customHeight="1">
      <c r="B36" s="152" t="str">
        <f t="shared" si="0"/>
        <v>EMILIO CONTIGIANI</v>
      </c>
      <c r="C36" s="27"/>
      <c r="D36" s="23"/>
      <c r="E36" s="46"/>
      <c r="F36" s="85"/>
      <c r="G36" s="42"/>
      <c r="H36" s="86"/>
      <c r="I36" s="48"/>
      <c r="J36" s="48"/>
      <c r="K36" s="4"/>
      <c r="L36" s="2"/>
      <c r="M36" s="56"/>
      <c r="N36" s="56"/>
      <c r="O36" s="2"/>
      <c r="P36" s="50"/>
      <c r="Q36" s="50"/>
    </row>
    <row r="37" spans="2:17" ht="21.6" customHeight="1">
      <c r="B37" s="152" t="str">
        <f t="shared" si="0"/>
        <v>EMILIO CONTIGIANI</v>
      </c>
      <c r="C37" s="27"/>
      <c r="D37" s="23"/>
      <c r="E37" s="46"/>
      <c r="F37" s="85"/>
      <c r="G37" s="42"/>
      <c r="H37" s="2"/>
      <c r="I37" s="48"/>
      <c r="J37" s="48"/>
      <c r="K37" s="4"/>
      <c r="L37" s="2"/>
      <c r="M37" s="56"/>
      <c r="N37" s="56"/>
      <c r="O37" s="2"/>
      <c r="P37" s="50"/>
      <c r="Q37" s="50"/>
    </row>
    <row r="38" spans="2:17" ht="21.6" customHeight="1">
      <c r="B38" s="152" t="str">
        <f t="shared" si="0"/>
        <v>EMILIO CONTIGIANI</v>
      </c>
      <c r="C38" s="27"/>
      <c r="D38" s="23"/>
      <c r="E38" s="29"/>
      <c r="F38" s="84"/>
      <c r="G38" s="23"/>
      <c r="H38" s="14"/>
      <c r="I38" s="44"/>
      <c r="J38" s="48"/>
      <c r="K38" s="4"/>
      <c r="L38" s="2"/>
      <c r="M38" s="56"/>
      <c r="N38" s="56"/>
      <c r="O38" s="2"/>
      <c r="P38" s="50"/>
      <c r="Q38" s="50"/>
    </row>
    <row r="39" spans="2:17" ht="21.6" customHeight="1">
      <c r="B39" s="152" t="str">
        <f t="shared" si="0"/>
        <v>EMILIO CONTIGIANI</v>
      </c>
      <c r="C39" s="27"/>
      <c r="D39" s="42"/>
      <c r="E39" s="46"/>
      <c r="F39" s="85"/>
      <c r="G39" s="42"/>
      <c r="H39" s="86"/>
      <c r="I39" s="48"/>
      <c r="J39" s="48"/>
      <c r="K39" s="4"/>
      <c r="L39" s="2"/>
      <c r="M39" s="56"/>
      <c r="N39" s="56"/>
      <c r="O39" s="2"/>
      <c r="P39" s="50"/>
      <c r="Q39" s="50"/>
    </row>
    <row r="40" spans="2:17" ht="21.6" customHeight="1">
      <c r="B40" s="152" t="str">
        <f t="shared" si="0"/>
        <v>EMILIO CONTIGIANI</v>
      </c>
      <c r="C40" s="27"/>
      <c r="D40" s="42"/>
      <c r="E40" s="46"/>
      <c r="F40" s="85"/>
      <c r="G40" s="23"/>
      <c r="H40" s="2"/>
      <c r="I40" s="48"/>
      <c r="J40" s="48"/>
      <c r="K40" s="4"/>
      <c r="L40" s="2"/>
      <c r="M40" s="56"/>
      <c r="N40" s="56"/>
      <c r="O40" s="2"/>
      <c r="P40" s="50"/>
      <c r="Q40" s="50"/>
    </row>
    <row r="41" spans="2:17" ht="21.6" customHeight="1">
      <c r="B41" s="152" t="str">
        <f t="shared" si="0"/>
        <v>EMILIO CONTIGIANI</v>
      </c>
      <c r="C41" s="27"/>
      <c r="D41" s="38"/>
      <c r="E41" s="38"/>
      <c r="F41" s="85"/>
      <c r="G41" s="39"/>
      <c r="H41" s="88"/>
      <c r="I41" s="40"/>
      <c r="J41" s="40"/>
      <c r="K41" s="4"/>
      <c r="L41" s="2"/>
      <c r="M41" s="56"/>
      <c r="N41" s="56"/>
      <c r="O41" s="2"/>
      <c r="P41" s="50"/>
      <c r="Q41" s="50"/>
    </row>
    <row r="42" spans="2:17" ht="21.6" customHeight="1">
      <c r="B42" s="152" t="str">
        <f t="shared" si="0"/>
        <v>EMILIO CONTIGIANI</v>
      </c>
      <c r="C42" s="27"/>
      <c r="D42" s="38"/>
      <c r="E42" s="38"/>
      <c r="F42" s="85"/>
      <c r="G42" s="39"/>
      <c r="H42" s="88"/>
      <c r="I42" s="40"/>
      <c r="J42" s="40"/>
      <c r="K42" s="4"/>
      <c r="L42" s="2"/>
      <c r="M42" s="56"/>
      <c r="N42" s="56"/>
      <c r="O42" s="2"/>
      <c r="P42" s="50"/>
      <c r="Q42" s="50"/>
    </row>
    <row r="43" spans="2:17" ht="21.6" customHeight="1">
      <c r="B43" s="152" t="str">
        <f t="shared" si="0"/>
        <v>EMILIO CONTIGIANI</v>
      </c>
      <c r="C43" s="27"/>
      <c r="D43" s="38"/>
      <c r="E43" s="38"/>
      <c r="F43" s="85"/>
      <c r="G43" s="39"/>
      <c r="H43" s="88"/>
      <c r="I43" s="40"/>
      <c r="J43" s="40"/>
      <c r="K43" s="4"/>
      <c r="L43" s="2"/>
      <c r="M43" s="56"/>
      <c r="N43" s="56"/>
      <c r="O43" s="2"/>
      <c r="P43" s="50"/>
      <c r="Q43" s="50"/>
    </row>
    <row r="44" spans="2:17" ht="21.6" customHeight="1">
      <c r="B44" s="152" t="str">
        <f t="shared" si="0"/>
        <v>EMILIO CONTIGIANI</v>
      </c>
      <c r="C44" s="27"/>
      <c r="D44" s="38"/>
      <c r="E44" s="38"/>
      <c r="F44" s="85"/>
      <c r="G44" s="39"/>
      <c r="H44" s="88"/>
      <c r="I44" s="40"/>
      <c r="J44" s="40"/>
      <c r="K44" s="4"/>
      <c r="L44" s="2"/>
      <c r="M44" s="56"/>
      <c r="N44" s="56"/>
      <c r="O44" s="2"/>
      <c r="P44" s="50"/>
      <c r="Q44" s="50"/>
    </row>
    <row r="45" spans="2:17" ht="21.6" customHeight="1">
      <c r="B45" s="152" t="str">
        <f t="shared" si="0"/>
        <v>EMILIO CONTIGIANI</v>
      </c>
      <c r="C45" s="27"/>
      <c r="D45" s="38"/>
      <c r="E45" s="38"/>
      <c r="F45" s="85"/>
      <c r="G45" s="39"/>
      <c r="H45" s="88"/>
      <c r="I45" s="40"/>
      <c r="J45" s="40"/>
      <c r="K45" s="4"/>
      <c r="L45" s="2"/>
      <c r="M45" s="56"/>
      <c r="N45" s="56"/>
      <c r="O45" s="2"/>
      <c r="P45" s="50"/>
      <c r="Q45" s="50"/>
    </row>
    <row r="46" spans="2:17" ht="21.6" customHeight="1">
      <c r="B46" s="152" t="str">
        <f t="shared" si="0"/>
        <v>EMILIO CONTIGIANI</v>
      </c>
      <c r="C46" s="27"/>
      <c r="D46" s="38"/>
      <c r="E46" s="38"/>
      <c r="F46" s="85"/>
      <c r="G46" s="39"/>
      <c r="H46" s="88"/>
      <c r="I46" s="40"/>
      <c r="J46" s="40"/>
      <c r="K46" s="4"/>
      <c r="L46" s="2"/>
      <c r="M46" s="56"/>
      <c r="N46" s="56"/>
      <c r="O46" s="2"/>
      <c r="P46" s="50"/>
      <c r="Q46" s="50"/>
    </row>
    <row r="47" spans="2:17" ht="21.6" customHeight="1">
      <c r="B47" s="152" t="str">
        <f t="shared" si="0"/>
        <v>EMILIO CONTIGIANI</v>
      </c>
      <c r="C47" s="27"/>
      <c r="D47" s="38"/>
      <c r="E47" s="38"/>
      <c r="F47" s="85"/>
      <c r="G47" s="39"/>
      <c r="H47" s="88"/>
      <c r="I47" s="40"/>
      <c r="J47" s="40"/>
      <c r="K47" s="4"/>
      <c r="L47" s="2"/>
      <c r="M47" s="56"/>
      <c r="N47" s="56"/>
      <c r="O47" s="2"/>
      <c r="P47" s="50"/>
      <c r="Q47" s="50"/>
    </row>
    <row r="48" spans="2:17" ht="21.6" customHeight="1">
      <c r="B48" s="152" t="str">
        <f t="shared" si="0"/>
        <v>EMILIO CONTIGIANI</v>
      </c>
      <c r="C48" s="27"/>
      <c r="D48" s="38"/>
      <c r="E48" s="38"/>
      <c r="F48" s="85"/>
      <c r="G48" s="39"/>
      <c r="H48" s="88"/>
      <c r="I48" s="40"/>
      <c r="J48" s="40"/>
      <c r="K48" s="4"/>
      <c r="L48" s="2"/>
      <c r="M48" s="56"/>
      <c r="N48" s="56"/>
      <c r="O48" s="2"/>
      <c r="P48" s="50"/>
      <c r="Q48" s="50"/>
    </row>
    <row r="49" spans="2:17" ht="20.100000000000001" customHeight="1">
      <c r="B49" s="152" t="str">
        <f t="shared" si="0"/>
        <v>EMILIO CONTIGIANI</v>
      </c>
      <c r="C49" s="27"/>
      <c r="D49" s="89"/>
      <c r="E49" s="38"/>
      <c r="F49" s="88"/>
      <c r="G49" s="53"/>
      <c r="H49" s="89"/>
      <c r="I49" s="4"/>
      <c r="J49" s="4"/>
      <c r="K49" s="4"/>
      <c r="L49" s="14"/>
      <c r="M49" s="56"/>
      <c r="N49" s="56"/>
      <c r="O49" s="14"/>
      <c r="P49" s="50"/>
      <c r="Q49" s="50"/>
    </row>
    <row r="50" spans="2:17" ht="20.100000000000001" customHeight="1" thickBot="1">
      <c r="B50" s="6"/>
      <c r="H50" s="20"/>
      <c r="I50" s="20"/>
    </row>
    <row r="51" spans="2:17" ht="19.350000000000001" customHeight="1" thickBot="1">
      <c r="B51" s="6"/>
      <c r="H51" s="5" t="s">
        <v>258</v>
      </c>
      <c r="I51" s="32">
        <f>SUM(I10:I49)</f>
        <v>105000</v>
      </c>
    </row>
    <row r="52" spans="2:17" ht="13.35" customHeight="1">
      <c r="B52" s="6"/>
      <c r="H52" s="20"/>
      <c r="I52" s="20"/>
    </row>
    <row r="53" spans="2:17">
      <c r="B53" s="6"/>
      <c r="H53" s="20"/>
      <c r="I53" s="20"/>
    </row>
    <row r="54" spans="2:17">
      <c r="B54" s="6"/>
      <c r="H54" s="20"/>
      <c r="I54" s="20"/>
    </row>
    <row r="55" spans="2:17">
      <c r="B55" s="6"/>
      <c r="H55" s="20"/>
      <c r="I55" s="20"/>
    </row>
    <row r="56" spans="2:17">
      <c r="B56" s="6"/>
      <c r="H56" s="20"/>
      <c r="I56" s="20"/>
    </row>
    <row r="57" spans="2:17">
      <c r="B57" s="6"/>
      <c r="H57" s="20"/>
      <c r="I57" s="20"/>
    </row>
    <row r="58" spans="2:17">
      <c r="B58" s="6"/>
      <c r="H58" s="20"/>
      <c r="I58" s="20"/>
    </row>
    <row r="59" spans="2:17">
      <c r="B59" s="6"/>
      <c r="H59" s="20"/>
      <c r="I59" s="20"/>
    </row>
    <row r="60" spans="2:17">
      <c r="B60" s="6"/>
      <c r="H60" s="20"/>
      <c r="I60" s="20"/>
    </row>
    <row r="61" spans="2:17">
      <c r="B61" s="6"/>
      <c r="H61" s="20"/>
      <c r="I61" s="20"/>
    </row>
    <row r="62" spans="2:17">
      <c r="B62" s="6"/>
      <c r="H62" s="20"/>
      <c r="I62" s="20"/>
    </row>
    <row r="63" spans="2:17">
      <c r="B63" s="6"/>
      <c r="H63" s="20"/>
      <c r="I63" s="20"/>
    </row>
    <row r="64" spans="2:17">
      <c r="B64" s="6"/>
      <c r="H64" s="20"/>
      <c r="I64" s="20"/>
    </row>
    <row r="65" spans="2:9">
      <c r="B65" s="6"/>
      <c r="H65" s="20"/>
      <c r="I65" s="20"/>
    </row>
    <row r="66" spans="2:9">
      <c r="B66" s="6"/>
      <c r="H66" s="20"/>
      <c r="I66" s="20"/>
    </row>
    <row r="67" spans="2:9">
      <c r="B67" s="6"/>
      <c r="H67" s="20"/>
      <c r="I67" s="20"/>
    </row>
    <row r="68" spans="2:9">
      <c r="B68" s="6"/>
      <c r="H68" s="20"/>
      <c r="I68" s="20"/>
    </row>
    <row r="69" spans="2:9">
      <c r="B69" s="6"/>
      <c r="H69" s="20"/>
      <c r="I69" s="20"/>
    </row>
    <row r="70" spans="2:9">
      <c r="B70" s="6"/>
      <c r="H70" s="20"/>
      <c r="I70" s="20"/>
    </row>
    <row r="71" spans="2:9">
      <c r="B71" s="6"/>
      <c r="H71" s="20"/>
      <c r="I71" s="20"/>
    </row>
    <row r="72" spans="2:9">
      <c r="B72" s="6"/>
      <c r="H72" s="20"/>
      <c r="I72" s="20"/>
    </row>
    <row r="73" spans="2:9">
      <c r="B73" s="6"/>
      <c r="H73" s="20"/>
      <c r="I73" s="20"/>
    </row>
    <row r="74" spans="2:9">
      <c r="B74" s="6"/>
      <c r="H74" s="20"/>
      <c r="I74" s="20"/>
    </row>
    <row r="75" spans="2:9">
      <c r="B75" s="6"/>
      <c r="H75" s="20"/>
      <c r="I75" s="20"/>
    </row>
    <row r="76" spans="2:9">
      <c r="B76" s="6"/>
      <c r="H76" s="20"/>
      <c r="I76" s="20"/>
    </row>
    <row r="77" spans="2:9">
      <c r="B77" s="6"/>
      <c r="H77" s="20"/>
      <c r="I77" s="20"/>
    </row>
    <row r="78" spans="2:9">
      <c r="B78" s="6"/>
      <c r="H78" s="20"/>
      <c r="I78" s="20"/>
    </row>
    <row r="79" spans="2:9">
      <c r="B79" s="6"/>
      <c r="H79" s="20"/>
      <c r="I79" s="20"/>
    </row>
    <row r="80" spans="2:9">
      <c r="B80" s="6"/>
      <c r="H80" s="20"/>
      <c r="I80" s="20"/>
    </row>
    <row r="81" spans="2:9">
      <c r="B81" s="6"/>
      <c r="H81" s="20"/>
      <c r="I81" s="20"/>
    </row>
    <row r="82" spans="2:9">
      <c r="B82" s="6"/>
      <c r="H82" s="20"/>
      <c r="I82" s="20"/>
    </row>
    <row r="83" spans="2:9">
      <c r="B83" s="6"/>
      <c r="H83" s="20"/>
      <c r="I83" s="20"/>
    </row>
    <row r="84" spans="2:9">
      <c r="B84" s="6"/>
      <c r="H84" s="20"/>
      <c r="I84" s="20"/>
    </row>
    <row r="85" spans="2:9">
      <c r="B85" s="6"/>
      <c r="H85" s="20"/>
      <c r="I85" s="20"/>
    </row>
    <row r="86" spans="2:9">
      <c r="B86" s="6"/>
      <c r="H86" s="20"/>
      <c r="I86" s="20"/>
    </row>
    <row r="87" spans="2:9">
      <c r="B87" s="6"/>
      <c r="H87" s="20"/>
      <c r="I87" s="20"/>
    </row>
    <row r="88" spans="2:9">
      <c r="B88" s="6"/>
      <c r="H88" s="20"/>
      <c r="I88" s="20"/>
    </row>
    <row r="89" spans="2:9">
      <c r="B89" s="6"/>
      <c r="H89" s="20"/>
      <c r="I89" s="20"/>
    </row>
    <row r="90" spans="2:9">
      <c r="B90" s="6"/>
      <c r="H90" s="20"/>
      <c r="I90" s="20"/>
    </row>
    <row r="91" spans="2:9">
      <c r="B91" s="6"/>
      <c r="H91" s="20"/>
      <c r="I91" s="20"/>
    </row>
    <row r="92" spans="2:9">
      <c r="B92" s="6"/>
      <c r="H92" s="20"/>
      <c r="I92" s="20"/>
    </row>
  </sheetData>
  <mergeCells count="5">
    <mergeCell ref="D2:H2"/>
    <mergeCell ref="F3:G3"/>
    <mergeCell ref="F4:G4"/>
    <mergeCell ref="F5:G5"/>
    <mergeCell ref="F6:G6"/>
  </mergeCells>
  <conditionalFormatting sqref="L14:M19 O14:O19">
    <cfRule type="containsText" dxfId="997" priority="7" operator="containsText" text="Pendiente">
      <formula>NOT(ISERROR(SEARCH("Pendiente",L14)))</formula>
    </cfRule>
    <cfRule type="containsText" dxfId="996" priority="8" operator="containsText" text="Pagado">
      <formula>NOT(ISERROR(SEARCH("Pagado",L14)))</formula>
    </cfRule>
    <cfRule type="containsText" dxfId="995" priority="9" operator="containsText" text="Para abonar">
      <formula>NOT(ISERROR(SEARCH("Para abonar",L14)))</formula>
    </cfRule>
  </conditionalFormatting>
  <conditionalFormatting sqref="L10:N11">
    <cfRule type="cellIs" dxfId="994" priority="46" operator="equal">
      <formula>"Cuenta Corriente"</formula>
    </cfRule>
    <cfRule type="cellIs" dxfId="993" priority="47" operator="equal">
      <formula>"No Pagado"</formula>
    </cfRule>
  </conditionalFormatting>
  <conditionalFormatting sqref="L13:N13">
    <cfRule type="cellIs" dxfId="992" priority="39" operator="equal">
      <formula>"Cuenta Corriente"</formula>
    </cfRule>
    <cfRule type="cellIs" dxfId="991" priority="40" operator="equal">
      <formula>"No Pagado"</formula>
    </cfRule>
  </conditionalFormatting>
  <conditionalFormatting sqref="L20:O21">
    <cfRule type="cellIs" dxfId="990" priority="1" operator="equal">
      <formula>"Cuenta Corriente"</formula>
    </cfRule>
    <cfRule type="cellIs" dxfId="989" priority="2" operator="equal">
      <formula>"No Pagado"</formula>
    </cfRule>
  </conditionalFormatting>
  <conditionalFormatting sqref="N14:N19 L22:N49">
    <cfRule type="cellIs" dxfId="988" priority="57" operator="equal">
      <formula>"Cuenta Corriente"</formula>
    </cfRule>
    <cfRule type="cellIs" dxfId="987" priority="58" operator="equal">
      <formula>"No Pagado"</formula>
    </cfRule>
  </conditionalFormatting>
  <conditionalFormatting sqref="N12:P12">
    <cfRule type="cellIs" dxfId="986" priority="48" operator="equal">
      <formula>"Cuenta Corriente"</formula>
    </cfRule>
    <cfRule type="cellIs" dxfId="985" priority="49" operator="equal">
      <formula>"No Pagado"</formula>
    </cfRule>
  </conditionalFormatting>
  <conditionalFormatting sqref="O10:O11 O22:O49">
    <cfRule type="cellIs" dxfId="984" priority="50" operator="equal">
      <formula>"Cuenta Corriente"</formula>
    </cfRule>
    <cfRule type="cellIs" dxfId="983" priority="51" operator="equal">
      <formula>"No Pagado"</formula>
    </cfRule>
  </conditionalFormatting>
  <conditionalFormatting sqref="O13">
    <cfRule type="cellIs" dxfId="982" priority="34" operator="equal">
      <formula>"Cuenta Corriente"</formula>
    </cfRule>
    <cfRule type="cellIs" dxfId="981" priority="35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BD001D-3E24-4EE1-922F-220DEBE41F1A}">
          <x14:formula1>
            <xm:f>Consultas!$B$9:$B$11</xm:f>
          </x14:formula1>
          <xm:sqref>P12 N12 O10:O11 L10:M11 O13:O16 L13:M16 K17:K18 N17:N18 L19:M49 O19:O49</xm:sqref>
        </x14:dataValidation>
        <x14:dataValidation type="list" allowBlank="1" showInputMessage="1" showErrorMessage="1" xr:uid="{D54630E5-25DF-4BF1-983C-63C80871F75D}">
          <x14:formula1>
            <xm:f>Consultas!$B$13:$B$15</xm:f>
          </x14:formula1>
          <xm:sqref>O12 N10:N11 N13:N16 L17:M18 N19:N49</xm:sqref>
        </x14:dataValidation>
        <x14:dataValidation type="list" allowBlank="1" showInputMessage="1" showErrorMessage="1" xr:uid="{591C8ACA-D9EE-49D1-930C-D9302D525331}">
          <x14:formula1>
            <xm:f>Proveedores!$B$3:$B$111</xm:f>
          </x14:formula1>
          <xm:sqref>G10:G16 F17:F18 G19:G117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5D57-C6C3-49A7-84F8-C3CF42490635}">
  <dimension ref="A1:T227"/>
  <sheetViews>
    <sheetView tabSelected="1" topLeftCell="E162" zoomScale="85" zoomScaleNormal="85" workbookViewId="0">
      <selection activeCell="J189" sqref="J189"/>
    </sheetView>
  </sheetViews>
  <sheetFormatPr defaultColWidth="11.42578125" defaultRowHeight="15" customHeight="1"/>
  <cols>
    <col min="2" max="2" width="12.42578125" customWidth="1"/>
    <col min="3" max="3" width="16.28515625" bestFit="1" customWidth="1"/>
    <col min="4" max="4" width="25.42578125" customWidth="1"/>
    <col min="5" max="5" width="32.42578125" customWidth="1"/>
    <col min="6" max="6" width="54" customWidth="1"/>
    <col min="7" max="7" width="20.42578125" customWidth="1"/>
    <col min="8" max="8" width="18" customWidth="1"/>
    <col min="9" max="9" width="18.28515625" customWidth="1"/>
    <col min="10" max="10" width="17.85546875" customWidth="1"/>
    <col min="11" max="11" width="16.28515625" bestFit="1" customWidth="1"/>
    <col min="12" max="12" width="22.85546875" customWidth="1"/>
    <col min="13" max="13" width="23.140625" customWidth="1"/>
    <col min="14" max="14" width="15.7109375" customWidth="1"/>
  </cols>
  <sheetData>
    <row r="1" spans="2:19" thickBot="1">
      <c r="B1" s="6"/>
    </row>
    <row r="2" spans="2:19" ht="23.45">
      <c r="B2" s="6"/>
      <c r="D2" s="420" t="s">
        <v>176</v>
      </c>
      <c r="E2" s="420"/>
      <c r="F2" s="420"/>
      <c r="G2" s="420"/>
      <c r="H2" s="420"/>
      <c r="I2" s="28"/>
    </row>
    <row r="3" spans="2:19" ht="18" customHeight="1">
      <c r="B3" s="6"/>
      <c r="D3" s="100" t="s">
        <v>177</v>
      </c>
      <c r="E3" s="101" t="s">
        <v>819</v>
      </c>
      <c r="F3" s="436"/>
      <c r="G3" s="436"/>
      <c r="H3" s="37"/>
      <c r="I3" s="15"/>
    </row>
    <row r="4" spans="2:19" ht="14.45">
      <c r="B4" s="6"/>
      <c r="D4" s="102" t="s">
        <v>179</v>
      </c>
      <c r="E4" s="491" t="s">
        <v>820</v>
      </c>
      <c r="F4" s="492" t="s">
        <v>821</v>
      </c>
      <c r="G4" s="492"/>
      <c r="H4" s="35"/>
      <c r="I4" s="452"/>
    </row>
    <row r="5" spans="2:19" ht="14.45">
      <c r="B5" s="6"/>
      <c r="D5" s="102"/>
      <c r="E5" s="21"/>
      <c r="F5" s="492" t="s">
        <v>822</v>
      </c>
      <c r="G5" s="492"/>
      <c r="H5" s="10"/>
      <c r="I5" s="15"/>
    </row>
    <row r="6" spans="2:19" thickBot="1">
      <c r="B6" s="6"/>
      <c r="D6" s="103"/>
      <c r="E6" s="104"/>
      <c r="F6" s="499"/>
      <c r="G6" s="499"/>
      <c r="H6" s="13"/>
      <c r="I6" s="15"/>
    </row>
    <row r="7" spans="2:19" ht="14.45">
      <c r="B7" s="6"/>
    </row>
    <row r="8" spans="2:19" thickBot="1">
      <c r="B8" s="6"/>
    </row>
    <row r="9" spans="2:19" ht="34.5" customHeight="1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  <c r="R9" s="155" t="s">
        <v>265</v>
      </c>
      <c r="S9" s="155" t="s">
        <v>266</v>
      </c>
    </row>
    <row r="10" spans="2:19" ht="21" customHeight="1">
      <c r="B10" s="152" t="str">
        <f t="shared" ref="B10:B184" si="0">+$E$3</f>
        <v>HNOS ROSSI</v>
      </c>
      <c r="C10" s="91">
        <v>45894</v>
      </c>
      <c r="D10" s="33" t="s">
        <v>823</v>
      </c>
      <c r="E10" s="33" t="s">
        <v>824</v>
      </c>
      <c r="F10" s="457" t="s">
        <v>825</v>
      </c>
      <c r="G10" s="92" t="s">
        <v>826</v>
      </c>
      <c r="H10" s="500" t="s">
        <v>270</v>
      </c>
      <c r="I10" s="93">
        <v>9416519.6099999994</v>
      </c>
      <c r="J10" s="94"/>
      <c r="K10" s="94"/>
      <c r="L10" s="95" t="s">
        <v>209</v>
      </c>
      <c r="M10" s="286" t="s">
        <v>209</v>
      </c>
      <c r="N10" s="56" t="s">
        <v>305</v>
      </c>
      <c r="O10" s="41"/>
      <c r="P10" s="459"/>
      <c r="Q10" s="459"/>
    </row>
    <row r="11" spans="2:19" ht="24.6" customHeight="1">
      <c r="B11" s="152" t="str">
        <f t="shared" si="0"/>
        <v>HNOS ROSSI</v>
      </c>
      <c r="C11" s="73">
        <v>45898</v>
      </c>
      <c r="D11" s="60" t="s">
        <v>827</v>
      </c>
      <c r="E11" s="29" t="s">
        <v>824</v>
      </c>
      <c r="F11" s="460" t="s">
        <v>23</v>
      </c>
      <c r="G11" s="74" t="s">
        <v>22</v>
      </c>
      <c r="H11" s="501" t="s">
        <v>434</v>
      </c>
      <c r="I11" s="64">
        <v>420462.9</v>
      </c>
      <c r="J11" s="75"/>
      <c r="K11" s="75"/>
      <c r="L11" s="96" t="s">
        <v>209</v>
      </c>
      <c r="M11" s="286" t="s">
        <v>209</v>
      </c>
      <c r="N11" s="56" t="s">
        <v>305</v>
      </c>
      <c r="O11" s="23"/>
      <c r="P11" s="49"/>
      <c r="Q11" s="49"/>
    </row>
    <row r="12" spans="2:19" ht="22.35" customHeight="1">
      <c r="B12" s="152" t="str">
        <f t="shared" si="0"/>
        <v>HNOS ROSSI</v>
      </c>
      <c r="C12" s="59">
        <v>45903</v>
      </c>
      <c r="D12" s="46" t="s">
        <v>828</v>
      </c>
      <c r="E12" s="60" t="s">
        <v>824</v>
      </c>
      <c r="F12" s="462" t="s">
        <v>829</v>
      </c>
      <c r="G12" s="23" t="s">
        <v>433</v>
      </c>
      <c r="H12" s="501" t="s">
        <v>434</v>
      </c>
      <c r="I12" s="61">
        <v>1028351.91</v>
      </c>
      <c r="J12" s="63"/>
      <c r="K12" s="62"/>
      <c r="L12" s="96" t="s">
        <v>209</v>
      </c>
      <c r="M12" s="286" t="s">
        <v>209</v>
      </c>
      <c r="N12" s="56" t="s">
        <v>305</v>
      </c>
      <c r="O12" s="23"/>
      <c r="P12" s="49"/>
      <c r="Q12" s="49"/>
    </row>
    <row r="13" spans="2:19" ht="27" customHeight="1">
      <c r="B13" s="152" t="str">
        <f t="shared" si="0"/>
        <v>HNOS ROSSI</v>
      </c>
      <c r="C13" s="59">
        <v>45904</v>
      </c>
      <c r="D13" s="29" t="s">
        <v>469</v>
      </c>
      <c r="E13" s="46" t="s">
        <v>808</v>
      </c>
      <c r="F13" s="462" t="s">
        <v>830</v>
      </c>
      <c r="G13" s="23" t="s">
        <v>72</v>
      </c>
      <c r="H13" s="501" t="s">
        <v>831</v>
      </c>
      <c r="I13" s="61">
        <v>173752.87</v>
      </c>
      <c r="J13" s="63"/>
      <c r="K13" s="62"/>
      <c r="L13" s="96" t="s">
        <v>209</v>
      </c>
      <c r="M13" s="286" t="s">
        <v>209</v>
      </c>
      <c r="N13" s="56" t="s">
        <v>305</v>
      </c>
      <c r="O13" s="23"/>
      <c r="P13" s="49"/>
      <c r="Q13" s="49"/>
    </row>
    <row r="14" spans="2:19" ht="27" customHeight="1">
      <c r="B14" s="152" t="str">
        <f t="shared" si="0"/>
        <v>HNOS ROSSI</v>
      </c>
      <c r="C14" s="59">
        <v>45936</v>
      </c>
      <c r="D14" s="29" t="s">
        <v>832</v>
      </c>
      <c r="E14" s="29" t="s">
        <v>443</v>
      </c>
      <c r="F14" s="462" t="s">
        <v>833</v>
      </c>
      <c r="G14" s="97" t="s">
        <v>445</v>
      </c>
      <c r="H14" s="501" t="s">
        <v>434</v>
      </c>
      <c r="I14" s="61">
        <v>2740000</v>
      </c>
      <c r="J14" s="63"/>
      <c r="K14" s="62"/>
      <c r="L14" s="96" t="s">
        <v>209</v>
      </c>
      <c r="M14" s="286" t="s">
        <v>209</v>
      </c>
      <c r="N14" s="56" t="s">
        <v>305</v>
      </c>
      <c r="O14" s="23"/>
      <c r="P14" s="49"/>
      <c r="Q14" s="49"/>
    </row>
    <row r="15" spans="2:19" ht="27" customHeight="1">
      <c r="B15" s="152" t="str">
        <f t="shared" si="0"/>
        <v>HNOS ROSSI</v>
      </c>
      <c r="C15" s="484">
        <v>45961</v>
      </c>
      <c r="D15" s="46" t="s">
        <v>834</v>
      </c>
      <c r="E15" s="46" t="s">
        <v>808</v>
      </c>
      <c r="F15" s="462" t="s">
        <v>835</v>
      </c>
      <c r="G15" s="23" t="s">
        <v>54</v>
      </c>
      <c r="H15" s="502" t="s">
        <v>225</v>
      </c>
      <c r="I15" s="61">
        <v>43028.22</v>
      </c>
      <c r="J15" s="63"/>
      <c r="K15" s="99" t="s">
        <v>836</v>
      </c>
      <c r="L15" s="98" t="s">
        <v>202</v>
      </c>
      <c r="M15" s="285"/>
      <c r="N15" s="56" t="s">
        <v>305</v>
      </c>
      <c r="O15" s="23"/>
      <c r="P15" s="49"/>
      <c r="Q15" s="49"/>
    </row>
    <row r="16" spans="2:19" ht="26.1" customHeight="1">
      <c r="B16" s="152" t="str">
        <f t="shared" si="0"/>
        <v>HNOS ROSSI</v>
      </c>
      <c r="C16" s="484">
        <v>45972</v>
      </c>
      <c r="D16" s="46" t="s">
        <v>837</v>
      </c>
      <c r="E16" s="46" t="s">
        <v>808</v>
      </c>
      <c r="F16" s="462" t="s">
        <v>838</v>
      </c>
      <c r="G16" s="23" t="s">
        <v>54</v>
      </c>
      <c r="H16" s="502" t="s">
        <v>225</v>
      </c>
      <c r="I16" s="61">
        <v>158243.85</v>
      </c>
      <c r="J16" s="63"/>
      <c r="K16" s="99" t="s">
        <v>836</v>
      </c>
      <c r="L16" s="98" t="s">
        <v>202</v>
      </c>
      <c r="M16" s="285"/>
      <c r="N16" s="56" t="s">
        <v>305</v>
      </c>
      <c r="O16" s="23"/>
      <c r="P16" s="49"/>
      <c r="Q16" s="49"/>
    </row>
    <row r="17" spans="1:17" ht="26.1" customHeight="1">
      <c r="B17" s="152" t="str">
        <f t="shared" si="0"/>
        <v>HNOS ROSSI</v>
      </c>
      <c r="C17" s="484">
        <v>45972</v>
      </c>
      <c r="D17" s="46" t="s">
        <v>839</v>
      </c>
      <c r="E17" s="60" t="s">
        <v>824</v>
      </c>
      <c r="F17" s="416" t="s">
        <v>840</v>
      </c>
      <c r="G17" s="42" t="s">
        <v>96</v>
      </c>
      <c r="H17" s="503" t="s">
        <v>270</v>
      </c>
      <c r="I17" s="40">
        <v>401418</v>
      </c>
      <c r="J17" s="40"/>
      <c r="K17" s="105"/>
      <c r="L17" s="96" t="s">
        <v>209</v>
      </c>
      <c r="M17" s="286" t="s">
        <v>209</v>
      </c>
      <c r="N17" s="56" t="s">
        <v>305</v>
      </c>
      <c r="O17" s="23"/>
      <c r="P17" s="106"/>
      <c r="Q17" s="106"/>
    </row>
    <row r="18" spans="1:17" ht="26.1" customHeight="1">
      <c r="B18" s="152" t="str">
        <f t="shared" si="0"/>
        <v>HNOS ROSSI</v>
      </c>
      <c r="C18" s="484">
        <v>45972</v>
      </c>
      <c r="D18" s="46" t="s">
        <v>841</v>
      </c>
      <c r="E18" s="60" t="s">
        <v>824</v>
      </c>
      <c r="F18" s="416" t="s">
        <v>842</v>
      </c>
      <c r="G18" s="42" t="s">
        <v>96</v>
      </c>
      <c r="H18" s="503" t="s">
        <v>270</v>
      </c>
      <c r="I18" s="40">
        <v>280992.59999999998</v>
      </c>
      <c r="J18" s="40"/>
      <c r="K18" s="105"/>
      <c r="L18" s="96" t="s">
        <v>209</v>
      </c>
      <c r="M18" s="286" t="s">
        <v>209</v>
      </c>
      <c r="N18" s="56" t="s">
        <v>305</v>
      </c>
      <c r="O18" s="23"/>
      <c r="P18" s="106"/>
      <c r="Q18" s="106"/>
    </row>
    <row r="19" spans="1:17" ht="26.1" customHeight="1">
      <c r="B19" s="152" t="str">
        <f t="shared" si="0"/>
        <v>HNOS ROSSI</v>
      </c>
      <c r="C19" s="484">
        <v>45972</v>
      </c>
      <c r="D19" s="46" t="s">
        <v>843</v>
      </c>
      <c r="E19" s="60" t="s">
        <v>824</v>
      </c>
      <c r="F19" s="416" t="s">
        <v>844</v>
      </c>
      <c r="G19" s="42" t="s">
        <v>96</v>
      </c>
      <c r="H19" s="503" t="s">
        <v>270</v>
      </c>
      <c r="I19" s="40">
        <v>3090918.6</v>
      </c>
      <c r="J19" s="40"/>
      <c r="K19" s="105"/>
      <c r="L19" s="96" t="s">
        <v>209</v>
      </c>
      <c r="M19" s="286" t="s">
        <v>209</v>
      </c>
      <c r="N19" s="56" t="s">
        <v>305</v>
      </c>
      <c r="O19" s="23"/>
      <c r="P19" s="106"/>
      <c r="Q19" s="106"/>
    </row>
    <row r="20" spans="1:17" ht="23.45" customHeight="1">
      <c r="B20" s="152" t="str">
        <f t="shared" si="0"/>
        <v>HNOS ROSSI</v>
      </c>
      <c r="C20" s="26">
        <v>45978</v>
      </c>
      <c r="D20" s="46" t="s">
        <v>845</v>
      </c>
      <c r="E20" s="60" t="s">
        <v>824</v>
      </c>
      <c r="F20" s="462" t="s">
        <v>846</v>
      </c>
      <c r="G20" s="41" t="s">
        <v>58</v>
      </c>
      <c r="H20" s="502" t="s">
        <v>225</v>
      </c>
      <c r="I20" s="65">
        <v>230850</v>
      </c>
      <c r="J20" s="65"/>
      <c r="K20" s="19"/>
      <c r="L20" s="96" t="s">
        <v>209</v>
      </c>
      <c r="M20" s="286" t="s">
        <v>209</v>
      </c>
      <c r="N20" s="56" t="s">
        <v>305</v>
      </c>
      <c r="O20" s="23"/>
      <c r="P20" s="49"/>
      <c r="Q20" s="49"/>
    </row>
    <row r="21" spans="1:17" ht="23.1" customHeight="1">
      <c r="B21" s="152" t="str">
        <f t="shared" si="0"/>
        <v>HNOS ROSSI</v>
      </c>
      <c r="C21" s="26">
        <v>45978</v>
      </c>
      <c r="D21" s="46" t="s">
        <v>847</v>
      </c>
      <c r="E21" s="60" t="s">
        <v>824</v>
      </c>
      <c r="F21" s="462" t="s">
        <v>848</v>
      </c>
      <c r="G21" s="23" t="s">
        <v>135</v>
      </c>
      <c r="H21" s="503" t="s">
        <v>270</v>
      </c>
      <c r="I21" s="65">
        <v>4722050.1100000003</v>
      </c>
      <c r="J21" s="65"/>
      <c r="K21" s="47"/>
      <c r="L21" s="96" t="s">
        <v>209</v>
      </c>
      <c r="M21" s="286" t="s">
        <v>209</v>
      </c>
      <c r="N21" s="56" t="s">
        <v>305</v>
      </c>
      <c r="O21" s="23"/>
      <c r="P21" s="49"/>
      <c r="Q21" s="49"/>
    </row>
    <row r="22" spans="1:17" s="138" customFormat="1" ht="28.9">
      <c r="A22" s="168" t="s">
        <v>218</v>
      </c>
      <c r="B22" s="156"/>
      <c r="C22" s="129"/>
      <c r="D22" s="130"/>
      <c r="E22" s="130"/>
      <c r="F22" s="465"/>
      <c r="G22" s="131"/>
      <c r="H22" s="465"/>
      <c r="I22" s="132"/>
      <c r="J22" s="132"/>
      <c r="K22" s="133"/>
      <c r="L22" s="134"/>
      <c r="M22" s="285"/>
      <c r="N22" s="135"/>
      <c r="O22" s="136"/>
      <c r="P22" s="137"/>
      <c r="Q22" s="137"/>
    </row>
    <row r="23" spans="1:17" ht="23.45" customHeight="1">
      <c r="B23" s="152" t="str">
        <f t="shared" si="0"/>
        <v>HNOS ROSSI</v>
      </c>
      <c r="C23" s="25">
        <v>45986</v>
      </c>
      <c r="D23" s="46" t="s">
        <v>849</v>
      </c>
      <c r="E23" s="60" t="s">
        <v>824</v>
      </c>
      <c r="F23" s="462" t="s">
        <v>850</v>
      </c>
      <c r="G23" s="23" t="s">
        <v>433</v>
      </c>
      <c r="H23" s="503" t="s">
        <v>270</v>
      </c>
      <c r="I23" s="65">
        <v>4426851.37</v>
      </c>
      <c r="J23" s="65"/>
      <c r="K23" s="504" t="s">
        <v>208</v>
      </c>
      <c r="L23" s="161" t="s">
        <v>209</v>
      </c>
      <c r="M23" s="286" t="s">
        <v>209</v>
      </c>
      <c r="N23" s="56" t="s">
        <v>305</v>
      </c>
      <c r="O23" s="23"/>
      <c r="P23" s="49"/>
      <c r="Q23" s="49"/>
    </row>
    <row r="24" spans="1:17" ht="26.1" customHeight="1">
      <c r="B24" s="152" t="str">
        <f t="shared" si="0"/>
        <v>HNOS ROSSI</v>
      </c>
      <c r="C24" s="25">
        <v>45981</v>
      </c>
      <c r="D24" s="46" t="s">
        <v>851</v>
      </c>
      <c r="E24" s="60" t="s">
        <v>824</v>
      </c>
      <c r="F24" s="462" t="s">
        <v>852</v>
      </c>
      <c r="G24" s="23" t="s">
        <v>2</v>
      </c>
      <c r="H24" s="503" t="s">
        <v>270</v>
      </c>
      <c r="I24" s="65">
        <v>4889683.53</v>
      </c>
      <c r="J24" s="65"/>
      <c r="K24" s="504" t="s">
        <v>208</v>
      </c>
      <c r="L24" s="161" t="s">
        <v>209</v>
      </c>
      <c r="M24" s="286" t="s">
        <v>209</v>
      </c>
      <c r="N24" s="56" t="s">
        <v>305</v>
      </c>
      <c r="O24" s="23"/>
      <c r="P24" s="49"/>
      <c r="Q24" s="49"/>
    </row>
    <row r="25" spans="1:17" ht="23.1" customHeight="1">
      <c r="B25" s="152" t="str">
        <f t="shared" si="0"/>
        <v>HNOS ROSSI</v>
      </c>
      <c r="C25" s="25">
        <v>45994</v>
      </c>
      <c r="D25" s="46" t="s">
        <v>853</v>
      </c>
      <c r="E25" s="60" t="s">
        <v>824</v>
      </c>
      <c r="F25" s="462" t="s">
        <v>854</v>
      </c>
      <c r="G25" s="23" t="s">
        <v>64</v>
      </c>
      <c r="H25" s="503" t="s">
        <v>270</v>
      </c>
      <c r="I25" s="65">
        <v>1387870</v>
      </c>
      <c r="J25" s="65"/>
      <c r="K25" s="504" t="s">
        <v>208</v>
      </c>
      <c r="L25" s="161" t="s">
        <v>209</v>
      </c>
      <c r="M25" s="286" t="s">
        <v>209</v>
      </c>
      <c r="N25" s="56" t="s">
        <v>305</v>
      </c>
      <c r="O25" s="23"/>
      <c r="P25" s="3"/>
      <c r="Q25" s="3"/>
    </row>
    <row r="26" spans="1:17" ht="21.6" customHeight="1">
      <c r="B26" s="152" t="str">
        <f t="shared" si="0"/>
        <v>HNOS ROSSI</v>
      </c>
      <c r="C26" s="25">
        <v>45986</v>
      </c>
      <c r="D26" s="46" t="s">
        <v>855</v>
      </c>
      <c r="E26" s="60" t="s">
        <v>824</v>
      </c>
      <c r="F26" s="462" t="s">
        <v>856</v>
      </c>
      <c r="G26" s="23" t="s">
        <v>17</v>
      </c>
      <c r="H26" s="503" t="s">
        <v>270</v>
      </c>
      <c r="I26" s="65">
        <v>10830204.9</v>
      </c>
      <c r="J26" s="65"/>
      <c r="K26" s="504" t="s">
        <v>208</v>
      </c>
      <c r="L26" s="161" t="s">
        <v>209</v>
      </c>
      <c r="M26" s="286" t="s">
        <v>209</v>
      </c>
      <c r="N26" s="56" t="s">
        <v>461</v>
      </c>
      <c r="O26" s="23"/>
      <c r="P26" s="50"/>
      <c r="Q26" s="50"/>
    </row>
    <row r="27" spans="1:17" s="197" customFormat="1" ht="23.1" customHeight="1">
      <c r="B27" s="198" t="str">
        <f t="shared" si="0"/>
        <v>HNOS ROSSI</v>
      </c>
      <c r="C27" s="213">
        <v>45996</v>
      </c>
      <c r="D27" s="200"/>
      <c r="E27" s="199" t="s">
        <v>443</v>
      </c>
      <c r="F27" s="505" t="s">
        <v>460</v>
      </c>
      <c r="G27" s="200" t="s">
        <v>857</v>
      </c>
      <c r="H27" s="506" t="s">
        <v>270</v>
      </c>
      <c r="I27" s="214">
        <v>4360746.83</v>
      </c>
      <c r="J27" s="214"/>
      <c r="K27" s="276" t="s">
        <v>201</v>
      </c>
      <c r="L27" s="215" t="s">
        <v>209</v>
      </c>
      <c r="M27" s="201"/>
      <c r="N27" s="201"/>
      <c r="O27" s="200"/>
      <c r="P27" s="216"/>
      <c r="Q27" s="216"/>
    </row>
    <row r="28" spans="1:17" ht="22.35" customHeight="1">
      <c r="B28" s="152" t="str">
        <f t="shared" si="0"/>
        <v>HNOS ROSSI</v>
      </c>
      <c r="C28" s="27">
        <v>45994</v>
      </c>
      <c r="D28" s="46" t="s">
        <v>858</v>
      </c>
      <c r="E28" s="60" t="s">
        <v>824</v>
      </c>
      <c r="F28" s="416" t="s">
        <v>859</v>
      </c>
      <c r="G28" s="41" t="s">
        <v>95</v>
      </c>
      <c r="H28" s="503" t="s">
        <v>270</v>
      </c>
      <c r="I28" s="66">
        <v>795549.58</v>
      </c>
      <c r="J28" s="66"/>
      <c r="K28" s="504" t="s">
        <v>208</v>
      </c>
      <c r="L28" s="161" t="s">
        <v>209</v>
      </c>
      <c r="M28" s="286" t="s">
        <v>209</v>
      </c>
      <c r="N28" s="56" t="s">
        <v>305</v>
      </c>
      <c r="O28" s="23"/>
      <c r="P28" s="50"/>
      <c r="Q28" s="50"/>
    </row>
    <row r="29" spans="1:17" ht="21.6" customHeight="1">
      <c r="B29" s="152" t="str">
        <f t="shared" si="0"/>
        <v>HNOS ROSSI</v>
      </c>
      <c r="C29" s="27">
        <v>45994</v>
      </c>
      <c r="D29" s="46" t="s">
        <v>860</v>
      </c>
      <c r="E29" s="60" t="s">
        <v>824</v>
      </c>
      <c r="F29" s="416" t="s">
        <v>861</v>
      </c>
      <c r="G29" s="41" t="s">
        <v>144</v>
      </c>
      <c r="H29" s="503" t="s">
        <v>270</v>
      </c>
      <c r="I29" s="66">
        <v>479755.32</v>
      </c>
      <c r="J29" s="66"/>
      <c r="K29" s="504" t="s">
        <v>208</v>
      </c>
      <c r="L29" s="161" t="s">
        <v>209</v>
      </c>
      <c r="M29" s="286" t="s">
        <v>209</v>
      </c>
      <c r="N29" s="56" t="s">
        <v>305</v>
      </c>
      <c r="O29" s="23"/>
      <c r="P29" s="50"/>
      <c r="Q29" s="50"/>
    </row>
    <row r="30" spans="1:17" ht="21.6" customHeight="1">
      <c r="B30" s="152" t="str">
        <f t="shared" si="0"/>
        <v>HNOS ROSSI</v>
      </c>
      <c r="C30" s="27">
        <v>45994</v>
      </c>
      <c r="D30" s="46" t="s">
        <v>862</v>
      </c>
      <c r="E30" s="60" t="s">
        <v>824</v>
      </c>
      <c r="F30" s="416" t="s">
        <v>863</v>
      </c>
      <c r="G30" s="41" t="s">
        <v>72</v>
      </c>
      <c r="H30" s="503" t="s">
        <v>270</v>
      </c>
      <c r="I30" s="66">
        <v>1140238.2</v>
      </c>
      <c r="J30" s="66"/>
      <c r="K30" s="504" t="s">
        <v>208</v>
      </c>
      <c r="L30" s="161" t="s">
        <v>209</v>
      </c>
      <c r="M30" s="286" t="s">
        <v>209</v>
      </c>
      <c r="N30" s="56" t="s">
        <v>305</v>
      </c>
      <c r="O30" s="23"/>
      <c r="P30" s="50"/>
      <c r="Q30" s="50"/>
    </row>
    <row r="31" spans="1:17" ht="21.6" customHeight="1">
      <c r="B31" s="152" t="str">
        <f t="shared" si="0"/>
        <v>HNOS ROSSI</v>
      </c>
      <c r="C31" s="27">
        <v>45994</v>
      </c>
      <c r="D31" s="46" t="s">
        <v>864</v>
      </c>
      <c r="E31" s="60" t="s">
        <v>824</v>
      </c>
      <c r="F31" s="416" t="s">
        <v>865</v>
      </c>
      <c r="G31" s="23" t="s">
        <v>135</v>
      </c>
      <c r="H31" s="503" t="s">
        <v>866</v>
      </c>
      <c r="I31" s="66">
        <v>7095091.6699999999</v>
      </c>
      <c r="J31" s="66"/>
      <c r="K31" s="504" t="s">
        <v>208</v>
      </c>
      <c r="L31" s="161" t="s">
        <v>209</v>
      </c>
      <c r="M31" s="286" t="s">
        <v>209</v>
      </c>
      <c r="N31" s="56"/>
      <c r="O31" s="23"/>
      <c r="P31" s="50"/>
      <c r="Q31" s="50"/>
    </row>
    <row r="32" spans="1:17" s="138" customFormat="1" ht="28.9">
      <c r="A32" s="168" t="s">
        <v>218</v>
      </c>
      <c r="B32" s="170"/>
      <c r="C32" s="171">
        <v>45996</v>
      </c>
      <c r="D32" s="130"/>
      <c r="E32" s="130"/>
      <c r="F32" s="465"/>
      <c r="G32" s="131"/>
      <c r="H32" s="465"/>
      <c r="I32" s="132"/>
      <c r="J32" s="132"/>
      <c r="K32" s="133"/>
      <c r="L32" s="134"/>
      <c r="M32" s="285"/>
      <c r="N32" s="135"/>
      <c r="O32" s="136"/>
      <c r="P32" s="137"/>
      <c r="Q32" s="137"/>
    </row>
    <row r="33" spans="1:18" s="116" customFormat="1" ht="28.9">
      <c r="B33" s="152" t="str">
        <f t="shared" si="0"/>
        <v>HNOS ROSSI</v>
      </c>
      <c r="C33" s="27">
        <v>45996</v>
      </c>
      <c r="D33" s="23" t="s">
        <v>867</v>
      </c>
      <c r="E33" s="29" t="s">
        <v>533</v>
      </c>
      <c r="F33" s="466" t="s">
        <v>868</v>
      </c>
      <c r="G33" s="42" t="s">
        <v>143</v>
      </c>
      <c r="H33" s="507" t="s">
        <v>225</v>
      </c>
      <c r="I33" s="66">
        <v>169554.67</v>
      </c>
      <c r="J33" s="66"/>
      <c r="K33" s="488" t="s">
        <v>201</v>
      </c>
      <c r="L33" s="161" t="s">
        <v>209</v>
      </c>
      <c r="M33" s="286" t="s">
        <v>209</v>
      </c>
      <c r="N33" s="56" t="s">
        <v>305</v>
      </c>
      <c r="O33" s="23"/>
      <c r="P33" s="106"/>
      <c r="Q33" s="106"/>
      <c r="R33" s="508"/>
    </row>
    <row r="34" spans="1:18" ht="28.9">
      <c r="B34" s="152" t="str">
        <f t="shared" si="0"/>
        <v>HNOS ROSSI</v>
      </c>
      <c r="C34" s="27">
        <v>46365</v>
      </c>
      <c r="D34" s="23" t="s">
        <v>364</v>
      </c>
      <c r="E34" s="29" t="s">
        <v>364</v>
      </c>
      <c r="F34" s="466" t="s">
        <v>869</v>
      </c>
      <c r="G34" s="42" t="s">
        <v>76</v>
      </c>
      <c r="H34" s="507" t="s">
        <v>817</v>
      </c>
      <c r="I34" s="66">
        <v>175000</v>
      </c>
      <c r="J34" s="66"/>
      <c r="K34" s="488" t="s">
        <v>201</v>
      </c>
      <c r="L34" s="161" t="s">
        <v>209</v>
      </c>
      <c r="M34" s="286" t="s">
        <v>209</v>
      </c>
      <c r="N34" s="56" t="s">
        <v>305</v>
      </c>
      <c r="O34" s="23"/>
      <c r="P34" s="50"/>
      <c r="Q34" s="50"/>
    </row>
    <row r="35" spans="1:18" ht="21" customHeight="1">
      <c r="B35" s="27" t="str">
        <f>+$E$3</f>
        <v>HNOS ROSSI</v>
      </c>
      <c r="C35" s="27">
        <v>46008</v>
      </c>
      <c r="D35" s="23" t="s">
        <v>870</v>
      </c>
      <c r="E35" s="60" t="s">
        <v>824</v>
      </c>
      <c r="F35" s="85">
        <v>1</v>
      </c>
      <c r="G35" s="42" t="s">
        <v>64</v>
      </c>
      <c r="H35" s="212" t="s">
        <v>624</v>
      </c>
      <c r="I35" s="48">
        <v>896610</v>
      </c>
      <c r="J35" s="48"/>
      <c r="K35" s="107" t="s">
        <v>208</v>
      </c>
      <c r="L35" s="161" t="s">
        <v>209</v>
      </c>
      <c r="M35" s="286" t="s">
        <v>209</v>
      </c>
      <c r="N35" s="56" t="s">
        <v>305</v>
      </c>
      <c r="O35" s="23"/>
      <c r="P35" s="50"/>
      <c r="Q35" s="50"/>
    </row>
    <row r="36" spans="1:18" s="138" customFormat="1" ht="28.9">
      <c r="A36" s="168" t="s">
        <v>218</v>
      </c>
      <c r="B36" s="170"/>
      <c r="C36" s="171">
        <v>46009</v>
      </c>
      <c r="D36" s="130"/>
      <c r="E36" s="130"/>
      <c r="F36" s="208"/>
      <c r="G36" s="131"/>
      <c r="H36" s="208"/>
      <c r="I36" s="132"/>
      <c r="J36" s="132"/>
      <c r="K36" s="133"/>
      <c r="L36" s="134"/>
      <c r="M36" s="285"/>
      <c r="N36" s="135"/>
      <c r="O36" s="136"/>
      <c r="P36" s="137"/>
      <c r="Q36" s="137"/>
    </row>
    <row r="37" spans="1:18" s="138" customFormat="1" ht="28.9">
      <c r="A37" s="168" t="s">
        <v>218</v>
      </c>
      <c r="B37" s="170"/>
      <c r="C37" s="171">
        <v>46022</v>
      </c>
      <c r="D37" s="130"/>
      <c r="E37" s="130"/>
      <c r="F37" s="208"/>
      <c r="G37" s="131"/>
      <c r="H37" s="208"/>
      <c r="I37" s="132"/>
      <c r="J37" s="132"/>
      <c r="K37" s="133"/>
      <c r="L37" s="134"/>
      <c r="M37" s="285"/>
      <c r="N37" s="135"/>
      <c r="O37" s="136"/>
      <c r="P37" s="137"/>
      <c r="Q37" s="137"/>
    </row>
    <row r="38" spans="1:18" ht="21.6" customHeight="1">
      <c r="B38" s="152" t="str">
        <f t="shared" si="0"/>
        <v>HNOS ROSSI</v>
      </c>
      <c r="C38" s="27">
        <v>46034</v>
      </c>
      <c r="D38" s="46" t="s">
        <v>871</v>
      </c>
      <c r="E38" s="60" t="s">
        <v>824</v>
      </c>
      <c r="F38" s="416" t="s">
        <v>872</v>
      </c>
      <c r="G38" s="42" t="s">
        <v>142</v>
      </c>
      <c r="H38" s="509" t="s">
        <v>121</v>
      </c>
      <c r="I38" s="48">
        <v>184000</v>
      </c>
      <c r="J38" s="48"/>
      <c r="K38" s="48" t="s">
        <v>208</v>
      </c>
      <c r="L38" s="161" t="s">
        <v>209</v>
      </c>
      <c r="M38" s="286" t="s">
        <v>209</v>
      </c>
      <c r="N38" s="56" t="s">
        <v>305</v>
      </c>
      <c r="O38" s="23"/>
      <c r="P38" s="50"/>
      <c r="Q38" s="50"/>
    </row>
    <row r="39" spans="1:18" ht="29.1" customHeight="1">
      <c r="B39" s="152" t="str">
        <f t="shared" si="0"/>
        <v>HNOS ROSSI</v>
      </c>
      <c r="C39" s="27">
        <v>46034</v>
      </c>
      <c r="D39" s="218" t="s">
        <v>873</v>
      </c>
      <c r="E39" s="60" t="s">
        <v>824</v>
      </c>
      <c r="F39" s="416" t="s">
        <v>874</v>
      </c>
      <c r="G39" s="42" t="s">
        <v>143</v>
      </c>
      <c r="H39" s="509" t="s">
        <v>225</v>
      </c>
      <c r="I39" s="48">
        <v>7215137.54</v>
      </c>
      <c r="J39" s="48"/>
      <c r="K39" s="488" t="s">
        <v>208</v>
      </c>
      <c r="L39" s="161" t="s">
        <v>209</v>
      </c>
      <c r="M39" s="286" t="s">
        <v>209</v>
      </c>
      <c r="N39" s="56" t="s">
        <v>305</v>
      </c>
      <c r="O39" s="23"/>
      <c r="P39" s="50"/>
      <c r="Q39" s="50"/>
    </row>
    <row r="40" spans="1:18" ht="21.6" customHeight="1">
      <c r="B40" s="152" t="str">
        <f t="shared" si="0"/>
        <v>HNOS ROSSI</v>
      </c>
      <c r="C40" s="27">
        <v>46034</v>
      </c>
      <c r="D40" s="46" t="s">
        <v>875</v>
      </c>
      <c r="E40" s="60" t="s">
        <v>824</v>
      </c>
      <c r="F40" s="416" t="s">
        <v>876</v>
      </c>
      <c r="G40" s="42" t="s">
        <v>135</v>
      </c>
      <c r="H40" s="503" t="s">
        <v>556</v>
      </c>
      <c r="I40" s="48">
        <v>4103527.57</v>
      </c>
      <c r="J40" s="48"/>
      <c r="K40" s="488" t="s">
        <v>208</v>
      </c>
      <c r="L40" s="161" t="s">
        <v>209</v>
      </c>
      <c r="M40" s="286" t="s">
        <v>209</v>
      </c>
      <c r="N40" s="56"/>
      <c r="O40" s="23"/>
      <c r="P40" s="50"/>
      <c r="Q40" s="50"/>
    </row>
    <row r="41" spans="1:18" ht="21.6" customHeight="1">
      <c r="B41" s="152" t="str">
        <f t="shared" si="0"/>
        <v>HNOS ROSSI</v>
      </c>
      <c r="C41" s="27">
        <v>46034</v>
      </c>
      <c r="D41" s="46" t="s">
        <v>877</v>
      </c>
      <c r="E41" s="60" t="s">
        <v>824</v>
      </c>
      <c r="F41" s="462" t="s">
        <v>878</v>
      </c>
      <c r="G41" s="23" t="s">
        <v>879</v>
      </c>
      <c r="H41" s="507" t="s">
        <v>880</v>
      </c>
      <c r="I41" s="44">
        <v>509476.55</v>
      </c>
      <c r="J41" s="48"/>
      <c r="K41" s="488" t="s">
        <v>208</v>
      </c>
      <c r="L41" s="161" t="s">
        <v>209</v>
      </c>
      <c r="M41" s="286" t="s">
        <v>209</v>
      </c>
      <c r="N41" s="56" t="s">
        <v>305</v>
      </c>
      <c r="O41" s="23"/>
      <c r="P41" s="50"/>
      <c r="Q41" s="50"/>
    </row>
    <row r="42" spans="1:18" ht="21.6" customHeight="1">
      <c r="B42" s="152" t="str">
        <f t="shared" si="0"/>
        <v>HNOS ROSSI</v>
      </c>
      <c r="C42" s="27">
        <v>46034</v>
      </c>
      <c r="D42" s="46" t="s">
        <v>881</v>
      </c>
      <c r="E42" s="60" t="s">
        <v>824</v>
      </c>
      <c r="F42" s="416" t="s">
        <v>882</v>
      </c>
      <c r="G42" s="42" t="s">
        <v>17</v>
      </c>
      <c r="H42" s="509" t="s">
        <v>270</v>
      </c>
      <c r="I42" s="48">
        <v>2908060</v>
      </c>
      <c r="J42" s="48"/>
      <c r="K42" s="488" t="s">
        <v>208</v>
      </c>
      <c r="L42" s="161" t="s">
        <v>209</v>
      </c>
      <c r="M42" s="286" t="s">
        <v>209</v>
      </c>
      <c r="N42" s="56" t="s">
        <v>305</v>
      </c>
      <c r="O42" s="23"/>
      <c r="P42" s="50"/>
      <c r="Q42" s="50"/>
    </row>
    <row r="43" spans="1:18" ht="30" customHeight="1">
      <c r="B43" s="27" t="str">
        <f>+$E$3</f>
        <v>HNOS ROSSI</v>
      </c>
      <c r="C43" s="27">
        <v>46035</v>
      </c>
      <c r="D43" s="23" t="s">
        <v>867</v>
      </c>
      <c r="E43" s="29" t="s">
        <v>533</v>
      </c>
      <c r="F43" s="466" t="s">
        <v>883</v>
      </c>
      <c r="G43" s="42" t="s">
        <v>14</v>
      </c>
      <c r="H43" s="419" t="s">
        <v>216</v>
      </c>
      <c r="I43" s="40">
        <v>100000</v>
      </c>
      <c r="J43" s="40"/>
      <c r="K43" s="48" t="s">
        <v>201</v>
      </c>
      <c r="L43" s="161" t="s">
        <v>209</v>
      </c>
      <c r="M43" s="286" t="s">
        <v>209</v>
      </c>
      <c r="N43" s="56" t="s">
        <v>305</v>
      </c>
      <c r="O43" s="23"/>
      <c r="P43" s="50"/>
      <c r="Q43" s="50"/>
    </row>
    <row r="44" spans="1:18" ht="23.45" customHeight="1">
      <c r="B44" s="27" t="str">
        <f>+$E$3</f>
        <v>HNOS ROSSI</v>
      </c>
      <c r="C44" s="59">
        <v>46035</v>
      </c>
      <c r="D44" s="38" t="s">
        <v>212</v>
      </c>
      <c r="E44" s="29" t="s">
        <v>443</v>
      </c>
      <c r="F44" s="416" t="s">
        <v>884</v>
      </c>
      <c r="G44" s="23" t="s">
        <v>76</v>
      </c>
      <c r="H44" s="419" t="s">
        <v>52</v>
      </c>
      <c r="I44" s="40">
        <v>95000</v>
      </c>
      <c r="J44" s="67"/>
      <c r="K44" s="62" t="s">
        <v>201</v>
      </c>
      <c r="L44" s="161" t="s">
        <v>209</v>
      </c>
      <c r="M44" s="286" t="s">
        <v>209</v>
      </c>
      <c r="N44" s="56" t="s">
        <v>305</v>
      </c>
      <c r="O44" s="23"/>
      <c r="P44" s="50"/>
      <c r="Q44" s="50"/>
    </row>
    <row r="45" spans="1:18" s="138" customFormat="1" ht="28.9">
      <c r="A45" s="168" t="s">
        <v>218</v>
      </c>
      <c r="B45" s="170"/>
      <c r="C45" s="171">
        <v>46037</v>
      </c>
      <c r="D45" s="130"/>
      <c r="E45" s="130"/>
      <c r="F45" s="208"/>
      <c r="G45" s="131"/>
      <c r="H45" s="208"/>
      <c r="I45" s="132"/>
      <c r="J45" s="132"/>
      <c r="K45" s="133"/>
      <c r="L45" s="134"/>
      <c r="M45" s="285"/>
      <c r="N45" s="135"/>
      <c r="O45" s="136"/>
      <c r="P45" s="137"/>
      <c r="Q45" s="137"/>
    </row>
    <row r="46" spans="1:18" ht="21.6" customHeight="1">
      <c r="B46" s="152" t="str">
        <f t="shared" si="0"/>
        <v>HNOS ROSSI</v>
      </c>
      <c r="C46" s="27">
        <v>46043</v>
      </c>
      <c r="D46" s="23" t="s">
        <v>364</v>
      </c>
      <c r="E46" s="29" t="s">
        <v>443</v>
      </c>
      <c r="F46" s="416" t="s">
        <v>885</v>
      </c>
      <c r="G46" s="42" t="s">
        <v>76</v>
      </c>
      <c r="H46" s="419" t="s">
        <v>52</v>
      </c>
      <c r="I46" s="40">
        <v>45000</v>
      </c>
      <c r="J46" s="67"/>
      <c r="K46" s="62" t="s">
        <v>201</v>
      </c>
      <c r="L46" s="266" t="s">
        <v>209</v>
      </c>
      <c r="M46" s="286" t="s">
        <v>209</v>
      </c>
      <c r="N46" s="56" t="s">
        <v>305</v>
      </c>
      <c r="O46" s="2"/>
      <c r="P46" s="50"/>
      <c r="Q46" s="50"/>
    </row>
    <row r="47" spans="1:18" ht="21.6" customHeight="1">
      <c r="B47" s="152" t="str">
        <f>+$E$3</f>
        <v>HNOS ROSSI</v>
      </c>
      <c r="C47" s="27">
        <v>46049</v>
      </c>
      <c r="D47" s="23" t="s">
        <v>364</v>
      </c>
      <c r="E47" s="29" t="s">
        <v>443</v>
      </c>
      <c r="F47" s="85" t="s">
        <v>886</v>
      </c>
      <c r="G47" s="23" t="s">
        <v>887</v>
      </c>
      <c r="H47" s="88" t="s">
        <v>52</v>
      </c>
      <c r="I47" s="40">
        <v>380000</v>
      </c>
      <c r="J47" s="67"/>
      <c r="K47" s="62" t="s">
        <v>201</v>
      </c>
      <c r="L47" s="161" t="s">
        <v>209</v>
      </c>
      <c r="M47" s="286" t="s">
        <v>209</v>
      </c>
      <c r="N47" s="56" t="s">
        <v>305</v>
      </c>
      <c r="O47" s="2"/>
      <c r="P47" s="50"/>
      <c r="Q47" s="50"/>
    </row>
    <row r="48" spans="1:18" ht="21.6" customHeight="1">
      <c r="B48" s="152" t="str">
        <f t="shared" si="0"/>
        <v>HNOS ROSSI</v>
      </c>
      <c r="C48" s="27">
        <v>46048</v>
      </c>
      <c r="D48" s="46" t="s">
        <v>888</v>
      </c>
      <c r="E48" s="60" t="s">
        <v>824</v>
      </c>
      <c r="F48" s="416" t="s">
        <v>889</v>
      </c>
      <c r="G48" s="192" t="s">
        <v>17</v>
      </c>
      <c r="H48" s="212" t="s">
        <v>270</v>
      </c>
      <c r="I48" s="40">
        <v>10742273.5</v>
      </c>
      <c r="J48" s="40"/>
      <c r="K48" s="48" t="s">
        <v>208</v>
      </c>
      <c r="L48" s="161" t="s">
        <v>209</v>
      </c>
      <c r="M48" s="286" t="s">
        <v>209</v>
      </c>
      <c r="N48" s="56" t="s">
        <v>461</v>
      </c>
      <c r="O48" s="2"/>
      <c r="P48" s="50"/>
      <c r="Q48" s="50"/>
    </row>
    <row r="49" spans="1:17" ht="21.6" customHeight="1">
      <c r="B49" s="152" t="str">
        <f t="shared" si="0"/>
        <v>HNOS ROSSI</v>
      </c>
      <c r="C49" s="27">
        <v>45975</v>
      </c>
      <c r="D49" s="46" t="s">
        <v>890</v>
      </c>
      <c r="E49" s="29" t="s">
        <v>533</v>
      </c>
      <c r="F49" s="416" t="s">
        <v>534</v>
      </c>
      <c r="G49" s="192" t="s">
        <v>22</v>
      </c>
      <c r="H49" s="212" t="s">
        <v>270</v>
      </c>
      <c r="I49" s="40">
        <v>49059.45</v>
      </c>
      <c r="J49" s="67"/>
      <c r="K49" s="62" t="s">
        <v>201</v>
      </c>
      <c r="L49" s="150" t="s">
        <v>209</v>
      </c>
      <c r="M49" s="286" t="s">
        <v>209</v>
      </c>
      <c r="N49" s="56" t="s">
        <v>305</v>
      </c>
      <c r="O49" s="2"/>
      <c r="P49" s="50"/>
      <c r="Q49" s="50"/>
    </row>
    <row r="50" spans="1:17" s="138" customFormat="1" ht="28.9">
      <c r="A50" s="168" t="s">
        <v>218</v>
      </c>
      <c r="B50" s="170"/>
      <c r="C50" s="171">
        <v>46051</v>
      </c>
      <c r="D50" s="130"/>
      <c r="E50" s="130"/>
      <c r="F50" s="465"/>
      <c r="G50" s="131"/>
      <c r="H50" s="465"/>
      <c r="I50" s="132"/>
      <c r="J50" s="132"/>
      <c r="K50" s="133"/>
      <c r="L50" s="134"/>
      <c r="M50" s="285"/>
      <c r="N50" s="135"/>
      <c r="O50" s="136"/>
      <c r="P50" s="137"/>
      <c r="Q50" s="137"/>
    </row>
    <row r="51" spans="1:17" ht="21.6" customHeight="1">
      <c r="B51" s="152" t="str">
        <f t="shared" si="0"/>
        <v>HNOS ROSSI</v>
      </c>
      <c r="C51" s="27">
        <v>46052</v>
      </c>
      <c r="D51" s="23" t="s">
        <v>891</v>
      </c>
      <c r="E51" s="271" t="s">
        <v>824</v>
      </c>
      <c r="F51" s="416" t="s">
        <v>892</v>
      </c>
      <c r="G51" s="192" t="s">
        <v>17</v>
      </c>
      <c r="H51" s="86" t="s">
        <v>270</v>
      </c>
      <c r="I51" s="40">
        <v>2681848.2000000002</v>
      </c>
      <c r="J51" s="40"/>
      <c r="K51" s="48" t="s">
        <v>208</v>
      </c>
      <c r="L51" s="161" t="s">
        <v>209</v>
      </c>
      <c r="M51" s="56"/>
      <c r="N51" s="56" t="s">
        <v>305</v>
      </c>
      <c r="O51" s="2"/>
      <c r="P51" s="50"/>
      <c r="Q51" s="50"/>
    </row>
    <row r="52" spans="1:17" ht="21.6" customHeight="1">
      <c r="B52" s="27" t="str">
        <f>+$E$3</f>
        <v>HNOS ROSSI</v>
      </c>
      <c r="C52" s="27">
        <v>46034</v>
      </c>
      <c r="D52" s="23" t="s">
        <v>893</v>
      </c>
      <c r="E52" s="271" t="s">
        <v>824</v>
      </c>
      <c r="F52" s="85" t="s">
        <v>894</v>
      </c>
      <c r="G52" s="42" t="s">
        <v>64</v>
      </c>
      <c r="H52" s="86" t="s">
        <v>624</v>
      </c>
      <c r="I52" s="48">
        <v>802692.97</v>
      </c>
      <c r="J52" s="48"/>
      <c r="K52" s="107" t="s">
        <v>208</v>
      </c>
      <c r="L52" s="161" t="s">
        <v>209</v>
      </c>
      <c r="M52" s="289"/>
      <c r="N52" s="56" t="s">
        <v>305</v>
      </c>
      <c r="O52" s="2"/>
      <c r="P52" s="50"/>
      <c r="Q52" s="50"/>
    </row>
    <row r="53" spans="1:17" ht="21.6" customHeight="1">
      <c r="B53" s="27" t="str">
        <f>+$E$3</f>
        <v>HNOS ROSSI</v>
      </c>
      <c r="C53" s="27">
        <v>46044</v>
      </c>
      <c r="D53" s="23" t="s">
        <v>895</v>
      </c>
      <c r="E53" s="271" t="s">
        <v>824</v>
      </c>
      <c r="F53" s="85" t="s">
        <v>896</v>
      </c>
      <c r="G53" s="42" t="s">
        <v>64</v>
      </c>
      <c r="H53" s="86" t="s">
        <v>624</v>
      </c>
      <c r="I53" s="48">
        <v>761178.33</v>
      </c>
      <c r="J53" s="48"/>
      <c r="K53" s="107" t="s">
        <v>208</v>
      </c>
      <c r="L53" s="161" t="s">
        <v>209</v>
      </c>
      <c r="M53" s="289"/>
      <c r="N53" s="56" t="s">
        <v>305</v>
      </c>
      <c r="O53" s="2"/>
      <c r="P53" s="50"/>
      <c r="Q53" s="50"/>
    </row>
    <row r="54" spans="1:17" ht="21.6" customHeight="1">
      <c r="B54" s="152" t="str">
        <f t="shared" ref="B54:B61" si="1">+$E$3</f>
        <v>HNOS ROSSI</v>
      </c>
      <c r="C54" s="27">
        <v>46057</v>
      </c>
      <c r="D54" s="23" t="s">
        <v>364</v>
      </c>
      <c r="E54" s="23" t="s">
        <v>443</v>
      </c>
      <c r="F54" s="416" t="s">
        <v>897</v>
      </c>
      <c r="G54" s="42" t="s">
        <v>76</v>
      </c>
      <c r="H54" s="417" t="s">
        <v>52</v>
      </c>
      <c r="I54" s="48">
        <v>185000</v>
      </c>
      <c r="J54" s="148"/>
      <c r="K54" s="62" t="s">
        <v>201</v>
      </c>
      <c r="L54" s="161" t="s">
        <v>209</v>
      </c>
      <c r="M54" s="56"/>
      <c r="N54" s="56" t="s">
        <v>305</v>
      </c>
      <c r="O54" s="2"/>
      <c r="P54" s="50"/>
      <c r="Q54" s="50"/>
    </row>
    <row r="55" spans="1:17" ht="21.6" customHeight="1">
      <c r="B55" s="27" t="str">
        <f>+$E$3</f>
        <v>HNOS ROSSI</v>
      </c>
      <c r="C55" s="27">
        <v>46063</v>
      </c>
      <c r="D55" s="23" t="s">
        <v>898</v>
      </c>
      <c r="E55" s="271" t="s">
        <v>824</v>
      </c>
      <c r="F55" s="416" t="s">
        <v>899</v>
      </c>
      <c r="G55" s="42" t="s">
        <v>433</v>
      </c>
      <c r="H55" s="417" t="s">
        <v>624</v>
      </c>
      <c r="I55" s="48">
        <v>2742735.17</v>
      </c>
      <c r="J55" s="48"/>
      <c r="K55" s="48" t="s">
        <v>208</v>
      </c>
      <c r="L55" s="161" t="s">
        <v>209</v>
      </c>
      <c r="M55" s="56"/>
      <c r="N55" s="56" t="s">
        <v>305</v>
      </c>
      <c r="O55" s="2"/>
      <c r="P55" s="50"/>
      <c r="Q55" s="50"/>
    </row>
    <row r="56" spans="1:17" ht="21.6" customHeight="1">
      <c r="B56" s="27" t="str">
        <f>+$E$3</f>
        <v>HNOS ROSSI</v>
      </c>
      <c r="C56" s="27">
        <v>46063</v>
      </c>
      <c r="D56" s="23" t="s">
        <v>900</v>
      </c>
      <c r="E56" s="271" t="s">
        <v>824</v>
      </c>
      <c r="F56" s="416" t="s">
        <v>901</v>
      </c>
      <c r="G56" s="42" t="s">
        <v>17</v>
      </c>
      <c r="H56" s="417" t="s">
        <v>270</v>
      </c>
      <c r="I56" s="40">
        <v>13033669.699999999</v>
      </c>
      <c r="J56" s="40"/>
      <c r="K56" s="48" t="s">
        <v>208</v>
      </c>
      <c r="L56" s="161" t="s">
        <v>209</v>
      </c>
      <c r="M56" s="56"/>
      <c r="N56" s="56" t="s">
        <v>305</v>
      </c>
      <c r="O56" s="2"/>
      <c r="P56" s="50"/>
      <c r="Q56" s="50"/>
    </row>
    <row r="57" spans="1:17" s="138" customFormat="1" ht="28.9">
      <c r="A57" s="168" t="s">
        <v>218</v>
      </c>
      <c r="B57" s="170"/>
      <c r="C57" s="171">
        <v>46065</v>
      </c>
      <c r="D57" s="171"/>
      <c r="E57" s="130"/>
      <c r="F57" s="465"/>
      <c r="G57" s="131"/>
      <c r="H57" s="465"/>
      <c r="I57" s="132"/>
      <c r="J57" s="132"/>
      <c r="K57" s="133"/>
      <c r="L57" s="134"/>
      <c r="M57" s="285"/>
      <c r="N57" s="135"/>
      <c r="O57" s="136"/>
      <c r="P57" s="137"/>
      <c r="Q57" s="137"/>
    </row>
    <row r="58" spans="1:17" ht="21.6" customHeight="1">
      <c r="B58" s="152" t="str">
        <f t="shared" si="1"/>
        <v>HNOS ROSSI</v>
      </c>
      <c r="C58" s="27"/>
      <c r="D58" s="38"/>
      <c r="E58" s="38"/>
      <c r="F58" s="416"/>
      <c r="G58" s="39"/>
      <c r="H58" s="419"/>
      <c r="I58" s="40"/>
      <c r="J58" s="40"/>
      <c r="K58" s="4"/>
      <c r="L58" s="2"/>
      <c r="M58" s="56"/>
      <c r="N58" s="56"/>
      <c r="O58" s="2"/>
      <c r="P58" s="50"/>
      <c r="Q58" s="50"/>
    </row>
    <row r="59" spans="1:17" s="138" customFormat="1" ht="28.9">
      <c r="A59" s="168" t="s">
        <v>218</v>
      </c>
      <c r="B59" s="170"/>
      <c r="C59" s="171">
        <v>46079</v>
      </c>
      <c r="D59" s="171"/>
      <c r="E59" s="130"/>
      <c r="F59" s="465"/>
      <c r="G59" s="131"/>
      <c r="H59" s="465"/>
      <c r="I59" s="132"/>
      <c r="J59" s="132"/>
      <c r="K59" s="133"/>
      <c r="L59" s="134"/>
      <c r="M59" s="285"/>
      <c r="N59" s="135"/>
      <c r="O59" s="136"/>
      <c r="P59" s="137"/>
      <c r="Q59" s="137"/>
    </row>
    <row r="60" spans="1:17" ht="21.6" customHeight="1">
      <c r="B60" s="152" t="str">
        <f t="shared" si="1"/>
        <v>HNOS ROSSI</v>
      </c>
      <c r="C60" s="27">
        <v>46084</v>
      </c>
      <c r="D60" s="23" t="s">
        <v>902</v>
      </c>
      <c r="E60" s="271" t="s">
        <v>824</v>
      </c>
      <c r="F60" s="85" t="s">
        <v>903</v>
      </c>
      <c r="G60" s="42" t="s">
        <v>64</v>
      </c>
      <c r="H60" s="86" t="s">
        <v>624</v>
      </c>
      <c r="I60" s="40">
        <v>1336445</v>
      </c>
      <c r="J60" s="48"/>
      <c r="K60" s="107" t="s">
        <v>208</v>
      </c>
      <c r="L60" s="161" t="s">
        <v>209</v>
      </c>
      <c r="M60" s="56"/>
      <c r="N60" s="56" t="s">
        <v>305</v>
      </c>
      <c r="O60" s="2"/>
      <c r="P60" s="50"/>
      <c r="Q60" s="50"/>
    </row>
    <row r="61" spans="1:17" ht="21.6" customHeight="1">
      <c r="B61" s="152" t="str">
        <f t="shared" si="1"/>
        <v>HNOS ROSSI</v>
      </c>
      <c r="C61" s="27">
        <v>46087</v>
      </c>
      <c r="D61" s="23" t="s">
        <v>904</v>
      </c>
      <c r="E61" s="271" t="s">
        <v>824</v>
      </c>
      <c r="F61" s="85" t="s">
        <v>905</v>
      </c>
      <c r="G61" s="42" t="s">
        <v>64</v>
      </c>
      <c r="H61" s="86" t="s">
        <v>624</v>
      </c>
      <c r="I61" s="40">
        <v>813127.97</v>
      </c>
      <c r="J61" s="40"/>
      <c r="K61" s="107" t="s">
        <v>208</v>
      </c>
      <c r="L61" s="161" t="s">
        <v>209</v>
      </c>
      <c r="M61" s="56"/>
      <c r="N61" s="56" t="s">
        <v>305</v>
      </c>
      <c r="O61" s="2"/>
      <c r="P61" s="50"/>
      <c r="Q61" s="50"/>
    </row>
    <row r="62" spans="1:17" ht="21.6" customHeight="1">
      <c r="B62" s="27" t="str">
        <f t="shared" ref="B62:B69" si="2">+$E$3</f>
        <v>HNOS ROSSI</v>
      </c>
      <c r="C62" s="27">
        <v>46090</v>
      </c>
      <c r="D62" s="23" t="s">
        <v>906</v>
      </c>
      <c r="E62" s="271" t="s">
        <v>824</v>
      </c>
      <c r="F62" s="416" t="s">
        <v>907</v>
      </c>
      <c r="G62" s="42" t="s">
        <v>135</v>
      </c>
      <c r="H62" s="417" t="s">
        <v>29</v>
      </c>
      <c r="I62" s="40">
        <v>4179591.98</v>
      </c>
      <c r="J62" s="40"/>
      <c r="K62" s="107" t="s">
        <v>208</v>
      </c>
      <c r="L62" s="161" t="s">
        <v>209</v>
      </c>
      <c r="M62" s="56"/>
      <c r="N62" s="56" t="s">
        <v>305</v>
      </c>
      <c r="O62" s="2"/>
      <c r="P62" s="50"/>
      <c r="Q62" s="50"/>
    </row>
    <row r="63" spans="1:17" ht="21.6" customHeight="1">
      <c r="B63" s="152" t="str">
        <f t="shared" si="2"/>
        <v>HNOS ROSSI</v>
      </c>
      <c r="C63" s="27">
        <v>46090</v>
      </c>
      <c r="D63" s="23" t="s">
        <v>908</v>
      </c>
      <c r="E63" s="271" t="s">
        <v>824</v>
      </c>
      <c r="F63" s="416" t="s">
        <v>909</v>
      </c>
      <c r="G63" s="42" t="s">
        <v>135</v>
      </c>
      <c r="H63" s="417" t="s">
        <v>29</v>
      </c>
      <c r="I63" s="40">
        <v>4084060.85</v>
      </c>
      <c r="J63" s="40"/>
      <c r="K63" s="107" t="s">
        <v>208</v>
      </c>
      <c r="L63" s="161" t="s">
        <v>209</v>
      </c>
      <c r="M63" s="56"/>
      <c r="N63" s="56" t="s">
        <v>305</v>
      </c>
      <c r="O63" s="2"/>
      <c r="P63" s="50"/>
      <c r="Q63" s="50"/>
    </row>
    <row r="64" spans="1:17" ht="21.6" customHeight="1">
      <c r="B64" s="27" t="str">
        <f>+$E$3</f>
        <v>HNOS ROSSI</v>
      </c>
      <c r="C64" s="27"/>
      <c r="D64" s="23" t="s">
        <v>364</v>
      </c>
      <c r="E64" s="23" t="s">
        <v>443</v>
      </c>
      <c r="F64" s="416" t="s">
        <v>910</v>
      </c>
      <c r="G64" s="42" t="s">
        <v>124</v>
      </c>
      <c r="H64" s="417" t="s">
        <v>270</v>
      </c>
      <c r="I64" s="40">
        <v>980000</v>
      </c>
      <c r="J64" s="40"/>
      <c r="K64" s="510" t="s">
        <v>201</v>
      </c>
      <c r="L64" s="161" t="s">
        <v>209</v>
      </c>
      <c r="M64" s="56"/>
      <c r="N64" s="56" t="s">
        <v>305</v>
      </c>
      <c r="O64" s="2"/>
      <c r="P64" s="50"/>
      <c r="Q64" s="50"/>
    </row>
    <row r="65" spans="1:20" ht="21.6" customHeight="1">
      <c r="B65" s="27" t="str">
        <f>+$E$3</f>
        <v>HNOS ROSSI</v>
      </c>
      <c r="C65" s="25">
        <v>46094</v>
      </c>
      <c r="D65" s="272" t="s">
        <v>364</v>
      </c>
      <c r="E65" s="42" t="s">
        <v>443</v>
      </c>
      <c r="F65" s="416" t="s">
        <v>569</v>
      </c>
      <c r="G65" s="42" t="s">
        <v>76</v>
      </c>
      <c r="H65" s="419"/>
      <c r="I65" s="40">
        <v>60000</v>
      </c>
      <c r="J65" s="40"/>
      <c r="K65" s="48" t="s">
        <v>201</v>
      </c>
      <c r="L65" s="161" t="s">
        <v>209</v>
      </c>
      <c r="M65" s="86" t="s">
        <v>209</v>
      </c>
      <c r="N65" s="56" t="s">
        <v>305</v>
      </c>
      <c r="O65" s="2"/>
      <c r="P65" s="50"/>
      <c r="Q65" s="50"/>
    </row>
    <row r="66" spans="1:20" s="138" customFormat="1" ht="28.9">
      <c r="A66" s="168" t="s">
        <v>218</v>
      </c>
      <c r="B66" s="170"/>
      <c r="C66" s="171">
        <v>46093</v>
      </c>
      <c r="D66" s="171"/>
      <c r="E66" s="130"/>
      <c r="F66" s="465"/>
      <c r="G66" s="131"/>
      <c r="H66" s="465"/>
      <c r="I66" s="132"/>
      <c r="J66" s="132"/>
      <c r="K66" s="133"/>
      <c r="L66" s="134"/>
      <c r="M66" s="134"/>
      <c r="N66" s="135"/>
      <c r="O66" s="136"/>
      <c r="P66" s="137"/>
      <c r="Q66" s="137"/>
    </row>
    <row r="67" spans="1:20" ht="21.6" customHeight="1">
      <c r="B67" s="152" t="str">
        <f t="shared" si="2"/>
        <v>HNOS ROSSI</v>
      </c>
      <c r="C67" s="27">
        <v>46094</v>
      </c>
      <c r="D67" s="23" t="s">
        <v>911</v>
      </c>
      <c r="E67" s="271" t="s">
        <v>824</v>
      </c>
      <c r="F67" s="416" t="s">
        <v>912</v>
      </c>
      <c r="G67" s="42" t="s">
        <v>5</v>
      </c>
      <c r="H67" s="417" t="s">
        <v>106</v>
      </c>
      <c r="I67" s="40">
        <v>1770534.65</v>
      </c>
      <c r="J67" s="40"/>
      <c r="K67" s="107" t="s">
        <v>208</v>
      </c>
      <c r="L67" s="161" t="s">
        <v>209</v>
      </c>
      <c r="M67" s="56"/>
      <c r="N67" s="56" t="s">
        <v>305</v>
      </c>
      <c r="O67" s="2"/>
      <c r="P67" s="50"/>
      <c r="Q67" s="50"/>
    </row>
    <row r="68" spans="1:20" ht="21.6" customHeight="1">
      <c r="B68" s="152" t="str">
        <f t="shared" si="2"/>
        <v>HNOS ROSSI</v>
      </c>
      <c r="C68" s="27">
        <v>46100</v>
      </c>
      <c r="D68" s="23" t="s">
        <v>913</v>
      </c>
      <c r="E68" s="271" t="s">
        <v>824</v>
      </c>
      <c r="F68" s="416" t="s">
        <v>914</v>
      </c>
      <c r="G68" s="42" t="s">
        <v>5</v>
      </c>
      <c r="H68" s="417" t="s">
        <v>106</v>
      </c>
      <c r="I68" s="40">
        <v>2283844.5499999998</v>
      </c>
      <c r="J68" s="40"/>
      <c r="K68" s="107" t="s">
        <v>208</v>
      </c>
      <c r="L68" s="161" t="s">
        <v>209</v>
      </c>
      <c r="M68" s="56"/>
      <c r="N68" s="56" t="s">
        <v>305</v>
      </c>
      <c r="O68" s="2"/>
      <c r="P68" s="50"/>
      <c r="Q68" s="50"/>
    </row>
    <row r="69" spans="1:20" ht="24" customHeight="1">
      <c r="B69" s="152" t="str">
        <f t="shared" si="2"/>
        <v>HNOS ROSSI</v>
      </c>
      <c r="C69" s="27">
        <v>46100</v>
      </c>
      <c r="D69" s="23" t="s">
        <v>915</v>
      </c>
      <c r="E69" s="271" t="s">
        <v>824</v>
      </c>
      <c r="F69" s="416" t="s">
        <v>916</v>
      </c>
      <c r="G69" s="42" t="s">
        <v>5</v>
      </c>
      <c r="H69" s="417" t="s">
        <v>106</v>
      </c>
      <c r="I69" s="40">
        <v>1348409.72</v>
      </c>
      <c r="J69" s="40"/>
      <c r="K69" s="107" t="s">
        <v>208</v>
      </c>
      <c r="L69" s="161" t="s">
        <v>209</v>
      </c>
      <c r="M69" s="56"/>
      <c r="N69" s="56" t="s">
        <v>305</v>
      </c>
      <c r="O69" s="2"/>
      <c r="P69" s="50"/>
      <c r="Q69" s="50"/>
    </row>
    <row r="70" spans="1:20" s="138" customFormat="1" ht="28.9">
      <c r="A70" s="168" t="s">
        <v>218</v>
      </c>
      <c r="B70" s="170"/>
      <c r="C70" s="171">
        <v>46107</v>
      </c>
      <c r="D70" s="171"/>
      <c r="E70" s="130"/>
      <c r="F70" s="465"/>
      <c r="G70" s="131"/>
      <c r="H70" s="465"/>
      <c r="I70" s="132"/>
      <c r="J70" s="132"/>
      <c r="K70" s="133"/>
      <c r="L70" s="134"/>
      <c r="M70" s="134"/>
      <c r="N70" s="135"/>
      <c r="O70" s="136"/>
      <c r="P70" s="137"/>
      <c r="Q70" s="137"/>
    </row>
    <row r="71" spans="1:20" ht="21.6" customHeight="1">
      <c r="B71" s="152" t="str">
        <f t="shared" si="0"/>
        <v>HNOS ROSSI</v>
      </c>
      <c r="C71" s="27">
        <v>46121</v>
      </c>
      <c r="D71" s="23" t="s">
        <v>917</v>
      </c>
      <c r="E71" s="271" t="s">
        <v>824</v>
      </c>
      <c r="F71" s="85" t="s">
        <v>896</v>
      </c>
      <c r="G71" s="42" t="s">
        <v>64</v>
      </c>
      <c r="H71" s="86" t="s">
        <v>624</v>
      </c>
      <c r="I71" s="40">
        <v>777163.07</v>
      </c>
      <c r="J71" s="40"/>
      <c r="K71" s="107" t="s">
        <v>208</v>
      </c>
      <c r="L71" s="161" t="s">
        <v>209</v>
      </c>
      <c r="M71" s="56"/>
      <c r="N71" s="56" t="s">
        <v>305</v>
      </c>
      <c r="O71" s="2"/>
      <c r="P71" s="50"/>
      <c r="Q71" s="50"/>
    </row>
    <row r="72" spans="1:20" ht="21.6" customHeight="1">
      <c r="B72" s="27" t="str">
        <f t="shared" ref="B72:B87" si="3">+$E$3</f>
        <v>HNOS ROSSI</v>
      </c>
      <c r="C72" s="27">
        <v>46121</v>
      </c>
      <c r="D72" s="23" t="s">
        <v>918</v>
      </c>
      <c r="E72" s="271" t="s">
        <v>824</v>
      </c>
      <c r="F72" s="85" t="s">
        <v>894</v>
      </c>
      <c r="G72" s="42" t="s">
        <v>64</v>
      </c>
      <c r="H72" s="86" t="s">
        <v>624</v>
      </c>
      <c r="I72" s="40">
        <v>830203.66</v>
      </c>
      <c r="J72" s="40"/>
      <c r="K72" s="107" t="s">
        <v>208</v>
      </c>
      <c r="L72" s="161" t="s">
        <v>209</v>
      </c>
      <c r="M72" s="56"/>
      <c r="N72" s="56" t="s">
        <v>305</v>
      </c>
      <c r="O72" s="2"/>
      <c r="P72" s="50"/>
      <c r="Q72" s="50"/>
    </row>
    <row r="73" spans="1:20" ht="21.6" customHeight="1">
      <c r="B73" s="152" t="str">
        <f t="shared" si="3"/>
        <v>HNOS ROSSI</v>
      </c>
      <c r="C73" s="27">
        <v>46107</v>
      </c>
      <c r="D73" s="23" t="s">
        <v>919</v>
      </c>
      <c r="E73" s="271" t="s">
        <v>824</v>
      </c>
      <c r="F73" s="85" t="s">
        <v>896</v>
      </c>
      <c r="G73" s="42" t="s">
        <v>64</v>
      </c>
      <c r="H73" s="86" t="s">
        <v>624</v>
      </c>
      <c r="I73" s="40">
        <v>785711.87</v>
      </c>
      <c r="J73" s="40"/>
      <c r="K73" s="107" t="s">
        <v>208</v>
      </c>
      <c r="L73" s="161" t="s">
        <v>209</v>
      </c>
      <c r="M73" s="56"/>
      <c r="N73" s="56" t="s">
        <v>305</v>
      </c>
      <c r="O73" s="2"/>
      <c r="P73" s="50"/>
      <c r="Q73" s="50"/>
    </row>
    <row r="74" spans="1:20" ht="21.6" customHeight="1">
      <c r="B74" s="152" t="str">
        <f t="shared" si="3"/>
        <v>HNOS ROSSI</v>
      </c>
      <c r="C74" s="27">
        <v>46119</v>
      </c>
      <c r="D74" s="23" t="s">
        <v>920</v>
      </c>
      <c r="E74" s="271" t="s">
        <v>824</v>
      </c>
      <c r="F74" s="85" t="s">
        <v>894</v>
      </c>
      <c r="G74" s="42" t="s">
        <v>64</v>
      </c>
      <c r="H74" s="86" t="s">
        <v>624</v>
      </c>
      <c r="I74" s="40">
        <v>839335.91</v>
      </c>
      <c r="J74" s="40"/>
      <c r="K74" s="107" t="s">
        <v>208</v>
      </c>
      <c r="L74" s="161" t="s">
        <v>209</v>
      </c>
      <c r="M74" s="56"/>
      <c r="N74" s="56" t="s">
        <v>305</v>
      </c>
      <c r="O74" s="2"/>
      <c r="P74" s="50"/>
      <c r="Q74" s="50"/>
    </row>
    <row r="75" spans="1:20" ht="21.6" customHeight="1">
      <c r="B75" s="152" t="str">
        <f t="shared" si="3"/>
        <v>HNOS ROSSI</v>
      </c>
      <c r="C75" s="27">
        <v>46119</v>
      </c>
      <c r="D75" s="23" t="s">
        <v>921</v>
      </c>
      <c r="E75" s="271" t="s">
        <v>824</v>
      </c>
      <c r="F75" s="85" t="s">
        <v>922</v>
      </c>
      <c r="G75" s="42" t="s">
        <v>64</v>
      </c>
      <c r="H75" s="86" t="s">
        <v>624</v>
      </c>
      <c r="I75" s="40">
        <v>1192115.5900000001</v>
      </c>
      <c r="J75" s="40"/>
      <c r="K75" s="107" t="s">
        <v>208</v>
      </c>
      <c r="L75" s="161" t="s">
        <v>209</v>
      </c>
      <c r="M75" s="56"/>
      <c r="N75" s="56" t="s">
        <v>305</v>
      </c>
      <c r="O75" s="2"/>
      <c r="P75" s="50"/>
      <c r="Q75" s="50"/>
    </row>
    <row r="76" spans="1:20" s="138" customFormat="1" ht="28.9">
      <c r="A76" s="168" t="s">
        <v>218</v>
      </c>
      <c r="B76" s="156" t="str">
        <f t="shared" si="3"/>
        <v>HNOS ROSSI</v>
      </c>
      <c r="C76" s="171">
        <v>46121</v>
      </c>
      <c r="D76" s="130"/>
      <c r="E76" s="317"/>
      <c r="F76" s="465"/>
      <c r="G76" s="131"/>
      <c r="H76" s="465"/>
      <c r="I76" s="132"/>
      <c r="J76" s="132"/>
      <c r="K76" s="368"/>
      <c r="L76" s="369"/>
      <c r="M76" s="135"/>
      <c r="N76" s="135"/>
      <c r="O76" s="140"/>
      <c r="P76" s="370"/>
      <c r="Q76" s="370"/>
      <c r="T76" s="371"/>
    </row>
    <row r="77" spans="1:20" ht="21.6" customHeight="1">
      <c r="B77" s="152" t="str">
        <f t="shared" si="3"/>
        <v>HNOS ROSSI</v>
      </c>
      <c r="C77" s="27">
        <v>46121</v>
      </c>
      <c r="D77" s="23" t="s">
        <v>923</v>
      </c>
      <c r="E77" s="271" t="s">
        <v>824</v>
      </c>
      <c r="F77" s="85" t="s">
        <v>924</v>
      </c>
      <c r="G77" s="42" t="s">
        <v>142</v>
      </c>
      <c r="H77" s="86" t="s">
        <v>106</v>
      </c>
      <c r="I77" s="40">
        <v>893000</v>
      </c>
      <c r="J77" s="40"/>
      <c r="K77" s="107" t="s">
        <v>208</v>
      </c>
      <c r="L77" s="161" t="s">
        <v>209</v>
      </c>
      <c r="M77" s="56"/>
      <c r="N77" s="56" t="s">
        <v>305</v>
      </c>
      <c r="O77" s="2"/>
      <c r="P77" s="50"/>
      <c r="Q77" s="50"/>
    </row>
    <row r="78" spans="1:20" ht="21.6" customHeight="1">
      <c r="B78" s="152" t="str">
        <f t="shared" si="3"/>
        <v>HNOS ROSSI</v>
      </c>
      <c r="C78" s="27">
        <v>46122</v>
      </c>
      <c r="D78" s="23" t="s">
        <v>925</v>
      </c>
      <c r="E78" s="271" t="s">
        <v>824</v>
      </c>
      <c r="F78" s="85" t="s">
        <v>580</v>
      </c>
      <c r="G78" s="42" t="s">
        <v>65</v>
      </c>
      <c r="H78" s="86" t="s">
        <v>66</v>
      </c>
      <c r="I78" s="40">
        <v>31275</v>
      </c>
      <c r="J78" s="40"/>
      <c r="K78" s="107" t="s">
        <v>208</v>
      </c>
      <c r="L78" s="161" t="s">
        <v>209</v>
      </c>
      <c r="M78" s="56"/>
      <c r="N78" s="56" t="s">
        <v>305</v>
      </c>
      <c r="O78" s="2"/>
      <c r="P78" s="50"/>
      <c r="Q78" s="50"/>
    </row>
    <row r="79" spans="1:20" ht="21.6" customHeight="1">
      <c r="B79" s="152" t="str">
        <f t="shared" si="3"/>
        <v>HNOS ROSSI</v>
      </c>
      <c r="C79" s="27">
        <v>46132</v>
      </c>
      <c r="D79" s="23" t="s">
        <v>926</v>
      </c>
      <c r="E79" s="42" t="s">
        <v>268</v>
      </c>
      <c r="F79" s="416" t="s">
        <v>927</v>
      </c>
      <c r="G79" s="42" t="s">
        <v>143</v>
      </c>
      <c r="H79" s="417" t="s">
        <v>344</v>
      </c>
      <c r="I79" s="40">
        <v>54179.7</v>
      </c>
      <c r="J79" s="40"/>
      <c r="K79" s="48" t="s">
        <v>201</v>
      </c>
      <c r="L79" s="161" t="s">
        <v>209</v>
      </c>
      <c r="M79" s="56"/>
      <c r="N79" s="56" t="s">
        <v>305</v>
      </c>
      <c r="O79" s="2"/>
      <c r="P79" s="50"/>
      <c r="Q79" s="50"/>
    </row>
    <row r="80" spans="1:20" ht="21.6" customHeight="1">
      <c r="B80" s="27" t="str">
        <f>+$E$3</f>
        <v>HNOS ROSSI</v>
      </c>
      <c r="C80" s="25">
        <v>46132</v>
      </c>
      <c r="D80" s="272" t="s">
        <v>364</v>
      </c>
      <c r="E80" s="42" t="s">
        <v>443</v>
      </c>
      <c r="F80" s="416" t="s">
        <v>928</v>
      </c>
      <c r="G80" s="42" t="s">
        <v>76</v>
      </c>
      <c r="H80" s="417" t="s">
        <v>52</v>
      </c>
      <c r="I80" s="40">
        <v>176000</v>
      </c>
      <c r="J80" s="40"/>
      <c r="K80" s="48" t="s">
        <v>201</v>
      </c>
      <c r="L80" s="345" t="s">
        <v>209</v>
      </c>
      <c r="M80" s="56"/>
      <c r="N80" s="56" t="s">
        <v>305</v>
      </c>
      <c r="O80" s="2"/>
      <c r="P80" s="50"/>
      <c r="Q80" s="50"/>
    </row>
    <row r="81" spans="1:20" ht="21.6" customHeight="1">
      <c r="B81" s="152" t="str">
        <f t="shared" si="3"/>
        <v>HNOS ROSSI</v>
      </c>
      <c r="C81" s="25">
        <v>46133</v>
      </c>
      <c r="D81" s="272" t="s">
        <v>364</v>
      </c>
      <c r="E81" s="42" t="s">
        <v>443</v>
      </c>
      <c r="F81" s="416" t="s">
        <v>929</v>
      </c>
      <c r="G81" s="42" t="s">
        <v>79</v>
      </c>
      <c r="H81" s="417" t="s">
        <v>52</v>
      </c>
      <c r="I81" s="40">
        <v>190000</v>
      </c>
      <c r="J81" s="40"/>
      <c r="K81" s="48" t="s">
        <v>201</v>
      </c>
      <c r="L81" s="161" t="s">
        <v>209</v>
      </c>
      <c r="M81" s="56" t="s">
        <v>209</v>
      </c>
      <c r="N81" s="56" t="s">
        <v>305</v>
      </c>
      <c r="O81" s="2"/>
      <c r="P81" s="50"/>
      <c r="Q81" s="50"/>
    </row>
    <row r="82" spans="1:20" s="138" customFormat="1" ht="28.9">
      <c r="A82" s="168" t="s">
        <v>218</v>
      </c>
      <c r="B82" s="156" t="str">
        <f t="shared" si="3"/>
        <v>HNOS ROSSI</v>
      </c>
      <c r="C82" s="171">
        <v>46136</v>
      </c>
      <c r="D82" s="130"/>
      <c r="E82" s="317"/>
      <c r="F82" s="465"/>
      <c r="G82" s="131"/>
      <c r="H82" s="465"/>
      <c r="I82" s="132"/>
      <c r="J82" s="132"/>
      <c r="K82" s="368"/>
      <c r="L82" s="369"/>
      <c r="M82" s="135"/>
      <c r="N82" s="135"/>
      <c r="O82" s="140"/>
      <c r="P82" s="370"/>
      <c r="Q82" s="370"/>
      <c r="T82" s="371"/>
    </row>
    <row r="83" spans="1:20" ht="21.6" customHeight="1">
      <c r="B83" s="152" t="str">
        <f t="shared" si="3"/>
        <v>HNOS ROSSI</v>
      </c>
      <c r="C83" s="27">
        <v>46136</v>
      </c>
      <c r="D83" s="23" t="s">
        <v>930</v>
      </c>
      <c r="E83" s="271" t="s">
        <v>824</v>
      </c>
      <c r="F83" s="416" t="s">
        <v>931</v>
      </c>
      <c r="G83" s="42" t="s">
        <v>5</v>
      </c>
      <c r="H83" s="417" t="s">
        <v>106</v>
      </c>
      <c r="I83" s="40">
        <v>8098611.2199999997</v>
      </c>
      <c r="J83" s="40"/>
      <c r="K83" s="107" t="s">
        <v>208</v>
      </c>
      <c r="L83" s="161" t="s">
        <v>209</v>
      </c>
      <c r="M83" s="56"/>
      <c r="N83" s="56" t="s">
        <v>305</v>
      </c>
      <c r="O83" s="2"/>
      <c r="P83" s="50"/>
      <c r="Q83" s="50"/>
    </row>
    <row r="84" spans="1:20" ht="21.6" customHeight="1">
      <c r="B84" s="152" t="str">
        <f t="shared" si="3"/>
        <v>HNOS ROSSI</v>
      </c>
      <c r="C84" s="27">
        <v>46146</v>
      </c>
      <c r="D84" s="23" t="s">
        <v>932</v>
      </c>
      <c r="E84" s="271" t="s">
        <v>824</v>
      </c>
      <c r="F84" s="85" t="s">
        <v>933</v>
      </c>
      <c r="G84" s="42" t="s">
        <v>135</v>
      </c>
      <c r="H84" s="86" t="s">
        <v>29</v>
      </c>
      <c r="I84" s="40">
        <v>8452545.6199999992</v>
      </c>
      <c r="J84" s="40"/>
      <c r="K84" s="107" t="s">
        <v>208</v>
      </c>
      <c r="L84" s="161" t="s">
        <v>209</v>
      </c>
      <c r="M84" s="56"/>
      <c r="N84" s="56" t="s">
        <v>305</v>
      </c>
      <c r="O84" s="2"/>
      <c r="P84" s="50"/>
      <c r="Q84" s="50"/>
    </row>
    <row r="85" spans="1:20" ht="21.6" customHeight="1">
      <c r="B85" s="152" t="str">
        <f t="shared" si="3"/>
        <v>HNOS ROSSI</v>
      </c>
      <c r="C85" s="27">
        <v>46147</v>
      </c>
      <c r="D85" s="23" t="s">
        <v>934</v>
      </c>
      <c r="E85" s="271" t="s">
        <v>824</v>
      </c>
      <c r="F85" s="416" t="s">
        <v>935</v>
      </c>
      <c r="G85" s="42" t="s">
        <v>17</v>
      </c>
      <c r="H85" s="86" t="s">
        <v>270</v>
      </c>
      <c r="I85" s="40">
        <v>7558058.2999999998</v>
      </c>
      <c r="J85" s="40"/>
      <c r="K85" s="48" t="s">
        <v>208</v>
      </c>
      <c r="L85" s="161" t="s">
        <v>209</v>
      </c>
      <c r="M85" s="56"/>
      <c r="N85" s="56" t="s">
        <v>305</v>
      </c>
      <c r="O85" s="2"/>
      <c r="P85" s="50"/>
      <c r="Q85" s="50"/>
    </row>
    <row r="86" spans="1:20" s="138" customFormat="1" ht="28.9">
      <c r="A86" s="168" t="s">
        <v>218</v>
      </c>
      <c r="B86" s="156" t="str">
        <f t="shared" si="3"/>
        <v>HNOS ROSSI</v>
      </c>
      <c r="C86" s="171">
        <v>46149</v>
      </c>
      <c r="D86" s="130"/>
      <c r="E86" s="317"/>
      <c r="F86" s="465"/>
      <c r="G86" s="131"/>
      <c r="H86" s="465"/>
      <c r="I86" s="132"/>
      <c r="J86" s="132"/>
      <c r="K86" s="368"/>
      <c r="L86" s="369"/>
      <c r="M86" s="135"/>
      <c r="N86" s="135"/>
      <c r="O86" s="140"/>
      <c r="P86" s="370"/>
      <c r="Q86" s="370"/>
      <c r="T86" s="371"/>
    </row>
    <row r="87" spans="1:20" ht="21.6" customHeight="1">
      <c r="B87" s="152" t="str">
        <f t="shared" si="3"/>
        <v>HNOS ROSSI</v>
      </c>
      <c r="C87" s="27">
        <v>46149</v>
      </c>
      <c r="D87" s="272" t="s">
        <v>364</v>
      </c>
      <c r="E87" s="42" t="s">
        <v>443</v>
      </c>
      <c r="F87" s="416" t="s">
        <v>936</v>
      </c>
      <c r="G87" s="42" t="s">
        <v>105</v>
      </c>
      <c r="H87" s="417" t="s">
        <v>106</v>
      </c>
      <c r="I87" s="40">
        <v>640283.96</v>
      </c>
      <c r="J87" s="40"/>
      <c r="K87" s="48" t="s">
        <v>201</v>
      </c>
      <c r="L87" s="272" t="s">
        <v>732</v>
      </c>
      <c r="M87" s="56"/>
      <c r="N87" s="56" t="s">
        <v>305</v>
      </c>
      <c r="O87" s="2"/>
      <c r="P87" s="50"/>
      <c r="Q87" s="50"/>
    </row>
    <row r="88" spans="1:20" ht="28.9">
      <c r="B88" s="27" t="str">
        <f>+$E$3</f>
        <v>HNOS ROSSI</v>
      </c>
      <c r="C88" s="27">
        <v>46149</v>
      </c>
      <c r="D88" s="42" t="s">
        <v>937</v>
      </c>
      <c r="E88" s="42" t="s">
        <v>268</v>
      </c>
      <c r="F88" s="466" t="s">
        <v>938</v>
      </c>
      <c r="G88" s="42" t="s">
        <v>16</v>
      </c>
      <c r="H88" s="417" t="s">
        <v>216</v>
      </c>
      <c r="I88" s="40">
        <v>77790</v>
      </c>
      <c r="J88" s="40"/>
      <c r="K88" s="48" t="s">
        <v>201</v>
      </c>
      <c r="L88" s="272" t="s">
        <v>732</v>
      </c>
      <c r="M88" s="56"/>
      <c r="N88" s="56" t="s">
        <v>305</v>
      </c>
      <c r="O88" s="2"/>
      <c r="P88" s="50"/>
      <c r="Q88" s="50"/>
    </row>
    <row r="89" spans="1:20" ht="21.6" customHeight="1">
      <c r="B89" s="27" t="str">
        <f t="shared" ref="B89:B123" si="4">+$E$3</f>
        <v>HNOS ROSSI</v>
      </c>
      <c r="C89" s="27">
        <v>46150</v>
      </c>
      <c r="D89" s="23" t="s">
        <v>939</v>
      </c>
      <c r="E89" s="271" t="s">
        <v>824</v>
      </c>
      <c r="F89" s="416" t="s">
        <v>940</v>
      </c>
      <c r="G89" s="42" t="s">
        <v>5</v>
      </c>
      <c r="H89" s="417" t="s">
        <v>8</v>
      </c>
      <c r="I89" s="40">
        <v>2820085.41</v>
      </c>
      <c r="J89" s="40"/>
      <c r="K89" s="48" t="s">
        <v>208</v>
      </c>
      <c r="L89" s="161" t="s">
        <v>209</v>
      </c>
      <c r="M89" s="56"/>
      <c r="N89" s="56" t="s">
        <v>305</v>
      </c>
      <c r="O89" s="2"/>
      <c r="P89" s="50"/>
      <c r="Q89" s="50"/>
    </row>
    <row r="90" spans="1:20" ht="21.6" customHeight="1">
      <c r="B90" s="152" t="str">
        <f t="shared" si="4"/>
        <v>HNOS ROSSI</v>
      </c>
      <c r="C90" s="27">
        <v>46153</v>
      </c>
      <c r="D90" s="23" t="s">
        <v>941</v>
      </c>
      <c r="E90" s="271" t="s">
        <v>824</v>
      </c>
      <c r="F90" s="416" t="s">
        <v>608</v>
      </c>
      <c r="G90" s="42" t="s">
        <v>22</v>
      </c>
      <c r="H90" s="417" t="s">
        <v>270</v>
      </c>
      <c r="I90" s="40">
        <v>162660</v>
      </c>
      <c r="J90" s="40"/>
      <c r="K90" s="48" t="s">
        <v>208</v>
      </c>
      <c r="L90" s="161" t="s">
        <v>209</v>
      </c>
      <c r="M90" s="56"/>
      <c r="N90" s="56" t="s">
        <v>305</v>
      </c>
      <c r="O90" s="2"/>
      <c r="P90" s="50"/>
      <c r="Q90" s="50"/>
    </row>
    <row r="91" spans="1:20" ht="21.6" customHeight="1">
      <c r="B91" s="152" t="str">
        <f t="shared" si="4"/>
        <v>HNOS ROSSI</v>
      </c>
      <c r="C91" s="27">
        <v>46150</v>
      </c>
      <c r="D91" s="272" t="s">
        <v>364</v>
      </c>
      <c r="E91" s="42" t="s">
        <v>443</v>
      </c>
      <c r="F91" s="416" t="s">
        <v>942</v>
      </c>
      <c r="G91" s="39" t="s">
        <v>151</v>
      </c>
      <c r="H91" s="417" t="s">
        <v>106</v>
      </c>
      <c r="I91" s="40">
        <v>90000</v>
      </c>
      <c r="J91" s="40"/>
      <c r="K91" s="6" t="s">
        <v>201</v>
      </c>
      <c r="L91" s="273" t="s">
        <v>209</v>
      </c>
      <c r="M91" s="56"/>
      <c r="N91" s="56" t="s">
        <v>305</v>
      </c>
      <c r="O91" s="2"/>
      <c r="P91" s="50"/>
      <c r="Q91" s="50"/>
    </row>
    <row r="92" spans="1:20" ht="21.6" customHeight="1">
      <c r="B92" s="27" t="str">
        <f t="shared" ref="B92:B99" si="5">+$E$3</f>
        <v>HNOS ROSSI</v>
      </c>
      <c r="C92" s="27">
        <v>46160</v>
      </c>
      <c r="D92" s="23" t="s">
        <v>943</v>
      </c>
      <c r="E92" s="271" t="s">
        <v>824</v>
      </c>
      <c r="F92" s="416" t="s">
        <v>944</v>
      </c>
      <c r="G92" s="42" t="s">
        <v>17</v>
      </c>
      <c r="H92" s="86" t="s">
        <v>270</v>
      </c>
      <c r="I92" s="40">
        <v>1081752.3999999999</v>
      </c>
      <c r="J92" s="40"/>
      <c r="K92" s="48" t="s">
        <v>208</v>
      </c>
      <c r="L92" s="161" t="s">
        <v>209</v>
      </c>
      <c r="M92" s="56"/>
      <c r="N92" s="56" t="s">
        <v>305</v>
      </c>
      <c r="O92" s="2"/>
      <c r="P92" s="50"/>
      <c r="Q92" s="50"/>
    </row>
    <row r="93" spans="1:20" ht="21.6" customHeight="1">
      <c r="B93" s="27" t="str">
        <f t="shared" si="5"/>
        <v>HNOS ROSSI</v>
      </c>
      <c r="C93" s="27">
        <v>46156</v>
      </c>
      <c r="D93" s="272" t="s">
        <v>364</v>
      </c>
      <c r="E93" s="42" t="s">
        <v>443</v>
      </c>
      <c r="F93" s="416" t="s">
        <v>945</v>
      </c>
      <c r="G93" s="42" t="s">
        <v>76</v>
      </c>
      <c r="H93" s="417" t="s">
        <v>52</v>
      </c>
      <c r="I93" s="40">
        <v>62000</v>
      </c>
      <c r="J93" s="40"/>
      <c r="K93" s="6" t="s">
        <v>201</v>
      </c>
      <c r="L93" s="42" t="s">
        <v>732</v>
      </c>
      <c r="M93" s="56"/>
      <c r="N93" s="56" t="s">
        <v>305</v>
      </c>
      <c r="O93" s="2"/>
      <c r="P93" s="50"/>
      <c r="Q93" s="50"/>
    </row>
    <row r="94" spans="1:20" ht="21.6" customHeight="1">
      <c r="B94" s="27" t="str">
        <f t="shared" si="5"/>
        <v>HNOS ROSSI</v>
      </c>
      <c r="C94" s="27">
        <v>46161</v>
      </c>
      <c r="D94" s="38"/>
      <c r="E94" s="271" t="s">
        <v>824</v>
      </c>
      <c r="F94" s="416" t="s">
        <v>946</v>
      </c>
      <c r="G94" s="42" t="s">
        <v>5</v>
      </c>
      <c r="H94" s="417" t="s">
        <v>8</v>
      </c>
      <c r="I94" s="40"/>
      <c r="J94" s="40"/>
      <c r="K94" s="48" t="s">
        <v>208</v>
      </c>
      <c r="L94" s="272" t="s">
        <v>732</v>
      </c>
      <c r="M94" s="56"/>
      <c r="N94" s="56" t="s">
        <v>305</v>
      </c>
      <c r="O94" s="2"/>
      <c r="P94" s="50"/>
      <c r="Q94" s="50"/>
    </row>
    <row r="95" spans="1:20" ht="21.6" customHeight="1">
      <c r="B95" s="27" t="str">
        <f t="shared" si="5"/>
        <v>HNOS ROSSI</v>
      </c>
      <c r="C95" s="27">
        <v>46161</v>
      </c>
      <c r="D95" s="23" t="s">
        <v>947</v>
      </c>
      <c r="E95" s="271" t="s">
        <v>824</v>
      </c>
      <c r="F95" s="416" t="s">
        <v>948</v>
      </c>
      <c r="G95" s="42" t="s">
        <v>143</v>
      </c>
      <c r="H95" s="417" t="s">
        <v>344</v>
      </c>
      <c r="I95" s="40">
        <v>953421.97</v>
      </c>
      <c r="J95" s="40"/>
      <c r="K95" s="48" t="s">
        <v>208</v>
      </c>
      <c r="L95" s="161" t="s">
        <v>209</v>
      </c>
      <c r="M95" s="56"/>
      <c r="N95" s="56" t="s">
        <v>305</v>
      </c>
      <c r="O95" s="2"/>
      <c r="P95" s="50"/>
      <c r="Q95" s="50"/>
    </row>
    <row r="96" spans="1:20" ht="21.6" customHeight="1">
      <c r="B96" s="27" t="str">
        <f t="shared" si="5"/>
        <v>HNOS ROSSI</v>
      </c>
      <c r="C96" s="27">
        <v>46161</v>
      </c>
      <c r="D96" s="23" t="s">
        <v>949</v>
      </c>
      <c r="E96" s="271" t="s">
        <v>824</v>
      </c>
      <c r="F96" s="416" t="s">
        <v>950</v>
      </c>
      <c r="G96" s="42" t="s">
        <v>143</v>
      </c>
      <c r="H96" s="417" t="s">
        <v>344</v>
      </c>
      <c r="I96" s="40">
        <v>213348.55</v>
      </c>
      <c r="J96" s="40"/>
      <c r="K96" s="48" t="s">
        <v>208</v>
      </c>
      <c r="L96" s="161" t="s">
        <v>209</v>
      </c>
      <c r="M96" s="56"/>
      <c r="N96" s="56" t="s">
        <v>305</v>
      </c>
      <c r="O96" s="2"/>
      <c r="P96" s="50"/>
      <c r="Q96" s="50"/>
    </row>
    <row r="97" spans="1:20" ht="21.6" customHeight="1">
      <c r="B97" s="27" t="str">
        <f t="shared" si="5"/>
        <v>HNOS ROSSI</v>
      </c>
      <c r="C97" s="27">
        <v>46161</v>
      </c>
      <c r="D97" s="23" t="s">
        <v>951</v>
      </c>
      <c r="E97" s="271" t="s">
        <v>824</v>
      </c>
      <c r="F97" s="416" t="s">
        <v>304</v>
      </c>
      <c r="G97" s="42" t="s">
        <v>143</v>
      </c>
      <c r="H97" s="417" t="s">
        <v>344</v>
      </c>
      <c r="I97" s="40">
        <v>2708041.03</v>
      </c>
      <c r="J97" s="40"/>
      <c r="K97" s="48" t="s">
        <v>208</v>
      </c>
      <c r="L97" s="161" t="s">
        <v>209</v>
      </c>
      <c r="M97" s="56"/>
      <c r="N97" s="56" t="s">
        <v>305</v>
      </c>
      <c r="O97" s="2"/>
      <c r="P97" s="50"/>
      <c r="Q97" s="50"/>
    </row>
    <row r="98" spans="1:20" ht="21.6" customHeight="1">
      <c r="B98" s="27" t="str">
        <f t="shared" si="5"/>
        <v>HNOS ROSSI</v>
      </c>
      <c r="C98" s="27">
        <v>46163</v>
      </c>
      <c r="D98" s="23" t="s">
        <v>952</v>
      </c>
      <c r="E98" s="271" t="s">
        <v>824</v>
      </c>
      <c r="F98" s="416" t="s">
        <v>953</v>
      </c>
      <c r="G98" s="42" t="s">
        <v>119</v>
      </c>
      <c r="H98" s="417" t="s">
        <v>624</v>
      </c>
      <c r="I98" s="40">
        <v>4386077.04</v>
      </c>
      <c r="J98" s="40"/>
      <c r="K98" s="48" t="s">
        <v>208</v>
      </c>
      <c r="L98" s="161" t="s">
        <v>209</v>
      </c>
      <c r="M98" s="56"/>
      <c r="N98" s="56" t="s">
        <v>305</v>
      </c>
      <c r="O98" s="2"/>
      <c r="P98" s="50"/>
      <c r="Q98" s="50"/>
    </row>
    <row r="99" spans="1:20" s="138" customFormat="1" ht="28.9">
      <c r="A99" s="168" t="s">
        <v>218</v>
      </c>
      <c r="B99" s="156" t="str">
        <f t="shared" si="5"/>
        <v>HNOS ROSSI</v>
      </c>
      <c r="C99" s="129">
        <v>46163</v>
      </c>
      <c r="D99" s="130"/>
      <c r="E99" s="317"/>
      <c r="F99" s="465"/>
      <c r="G99" s="131"/>
      <c r="H99" s="465"/>
      <c r="I99" s="132"/>
      <c r="J99" s="132"/>
      <c r="K99" s="368"/>
      <c r="L99" s="369"/>
      <c r="M99" s="135"/>
      <c r="N99" s="135"/>
      <c r="O99" s="140"/>
      <c r="P99" s="370"/>
      <c r="Q99" s="370"/>
      <c r="T99" s="371"/>
    </row>
    <row r="100" spans="1:20" ht="21.6" customHeight="1">
      <c r="B100" s="27" t="str">
        <f>+$E$3</f>
        <v>HNOS ROSSI</v>
      </c>
      <c r="C100" s="27">
        <v>46169</v>
      </c>
      <c r="D100" s="272" t="s">
        <v>364</v>
      </c>
      <c r="E100" s="42" t="s">
        <v>443</v>
      </c>
      <c r="F100" s="85" t="s">
        <v>954</v>
      </c>
      <c r="G100" s="42" t="s">
        <v>76</v>
      </c>
      <c r="H100" s="86" t="s">
        <v>52</v>
      </c>
      <c r="I100" s="40">
        <v>175000</v>
      </c>
      <c r="J100" s="40"/>
      <c r="K100" s="6" t="s">
        <v>201</v>
      </c>
      <c r="L100" s="379" t="s">
        <v>209</v>
      </c>
      <c r="M100" s="56"/>
      <c r="N100" s="56"/>
      <c r="O100" s="2"/>
      <c r="P100" s="50"/>
      <c r="Q100" s="50"/>
    </row>
    <row r="101" spans="1:20" ht="21.6" customHeight="1">
      <c r="B101" s="27" t="str">
        <f>+$E$3</f>
        <v>HNOS ROSSI</v>
      </c>
      <c r="C101" s="27">
        <v>46182</v>
      </c>
      <c r="D101" s="272" t="s">
        <v>364</v>
      </c>
      <c r="E101" s="42" t="s">
        <v>443</v>
      </c>
      <c r="F101" s="85" t="s">
        <v>955</v>
      </c>
      <c r="G101" s="42" t="s">
        <v>79</v>
      </c>
      <c r="H101" s="86" t="s">
        <v>52</v>
      </c>
      <c r="I101" s="40">
        <v>230000</v>
      </c>
      <c r="J101" s="40"/>
      <c r="K101" s="48" t="s">
        <v>629</v>
      </c>
      <c r="L101" s="42" t="s">
        <v>732</v>
      </c>
      <c r="M101" s="56"/>
      <c r="N101" s="56"/>
      <c r="O101" s="2"/>
      <c r="P101" s="50"/>
      <c r="Q101" s="50"/>
    </row>
    <row r="102" spans="1:20" s="138" customFormat="1" ht="28.9">
      <c r="A102" s="168" t="s">
        <v>218</v>
      </c>
      <c r="B102" s="156" t="str">
        <f t="shared" ref="B102" si="6">+$E$3</f>
        <v>HNOS ROSSI</v>
      </c>
      <c r="C102" s="129">
        <v>46177</v>
      </c>
      <c r="D102" s="130"/>
      <c r="E102" s="317"/>
      <c r="F102" s="465"/>
      <c r="G102" s="131"/>
      <c r="H102" s="465"/>
      <c r="I102" s="132"/>
      <c r="J102" s="132"/>
      <c r="K102" s="368"/>
      <c r="L102" s="369"/>
      <c r="M102" s="135"/>
      <c r="N102" s="135"/>
      <c r="O102" s="140"/>
      <c r="P102" s="370"/>
      <c r="Q102" s="370"/>
      <c r="T102" s="371"/>
    </row>
    <row r="103" spans="1:20" ht="21.6" customHeight="1">
      <c r="B103" s="27" t="str">
        <f t="shared" ref="B103:B114" si="7">+$E$3</f>
        <v>HNOS ROSSI</v>
      </c>
      <c r="C103" s="27">
        <v>46134</v>
      </c>
      <c r="D103" s="23" t="s">
        <v>956</v>
      </c>
      <c r="E103" s="271" t="s">
        <v>824</v>
      </c>
      <c r="F103" s="85" t="s">
        <v>896</v>
      </c>
      <c r="G103" s="42" t="s">
        <v>64</v>
      </c>
      <c r="H103" s="86" t="s">
        <v>624</v>
      </c>
      <c r="I103" s="40">
        <v>792783.28</v>
      </c>
      <c r="J103" s="40"/>
      <c r="K103" s="107" t="s">
        <v>208</v>
      </c>
      <c r="L103" s="161" t="s">
        <v>209</v>
      </c>
      <c r="M103" s="56"/>
      <c r="N103" s="56" t="s">
        <v>305</v>
      </c>
      <c r="O103" s="2"/>
      <c r="P103" s="50"/>
      <c r="Q103" s="50"/>
    </row>
    <row r="104" spans="1:20" ht="21.6" customHeight="1">
      <c r="B104" s="27" t="str">
        <f t="shared" si="7"/>
        <v>HNOS ROSSI</v>
      </c>
      <c r="C104" s="27">
        <v>46134</v>
      </c>
      <c r="D104" s="23" t="s">
        <v>957</v>
      </c>
      <c r="E104" s="271" t="s">
        <v>824</v>
      </c>
      <c r="F104" s="85" t="s">
        <v>958</v>
      </c>
      <c r="G104" s="42" t="s">
        <v>64</v>
      </c>
      <c r="H104" s="86" t="s">
        <v>624</v>
      </c>
      <c r="I104" s="40">
        <v>416240</v>
      </c>
      <c r="J104" s="40"/>
      <c r="K104" s="107" t="s">
        <v>208</v>
      </c>
      <c r="L104" s="161" t="s">
        <v>209</v>
      </c>
      <c r="M104" s="56"/>
      <c r="N104" s="56" t="s">
        <v>305</v>
      </c>
      <c r="O104" s="2"/>
      <c r="P104" s="50"/>
      <c r="Q104" s="50"/>
    </row>
    <row r="105" spans="1:20" ht="21.6" customHeight="1">
      <c r="B105" s="27" t="str">
        <f t="shared" si="7"/>
        <v>HNOS ROSSI</v>
      </c>
      <c r="C105" s="27">
        <v>46148</v>
      </c>
      <c r="D105" s="23" t="s">
        <v>959</v>
      </c>
      <c r="E105" s="271" t="s">
        <v>824</v>
      </c>
      <c r="F105" s="85" t="s">
        <v>894</v>
      </c>
      <c r="G105" s="42" t="s">
        <v>64</v>
      </c>
      <c r="H105" s="86" t="s">
        <v>624</v>
      </c>
      <c r="I105" s="40">
        <v>846889.93</v>
      </c>
      <c r="J105" s="40"/>
      <c r="K105" s="107" t="s">
        <v>208</v>
      </c>
      <c r="L105" s="161" t="s">
        <v>209</v>
      </c>
      <c r="M105" s="56"/>
      <c r="N105" s="56" t="s">
        <v>305</v>
      </c>
      <c r="O105" s="2"/>
      <c r="P105" s="50"/>
      <c r="Q105" s="50"/>
    </row>
    <row r="106" spans="1:20" ht="21.6" customHeight="1">
      <c r="B106" s="27" t="str">
        <f t="shared" si="7"/>
        <v>HNOS ROSSI</v>
      </c>
      <c r="C106" s="27">
        <v>46148</v>
      </c>
      <c r="D106" s="23" t="s">
        <v>960</v>
      </c>
      <c r="E106" s="271" t="s">
        <v>824</v>
      </c>
      <c r="F106" s="85" t="s">
        <v>922</v>
      </c>
      <c r="G106" s="42" t="s">
        <v>64</v>
      </c>
      <c r="H106" s="86" t="s">
        <v>624</v>
      </c>
      <c r="I106" s="40">
        <v>1202844.6399999999</v>
      </c>
      <c r="J106" s="40"/>
      <c r="K106" s="107" t="s">
        <v>208</v>
      </c>
      <c r="L106" s="161" t="s">
        <v>209</v>
      </c>
      <c r="M106" s="56"/>
      <c r="N106" s="56" t="s">
        <v>305</v>
      </c>
      <c r="O106" s="2"/>
      <c r="P106" s="50"/>
      <c r="Q106" s="50"/>
    </row>
    <row r="107" spans="1:20" ht="21.6" customHeight="1">
      <c r="B107" s="27" t="str">
        <f>+$E$3</f>
        <v>HNOS ROSSI</v>
      </c>
      <c r="C107" s="27">
        <v>46177</v>
      </c>
      <c r="D107" s="23" t="s">
        <v>961</v>
      </c>
      <c r="E107" s="271" t="s">
        <v>824</v>
      </c>
      <c r="F107" s="85" t="s">
        <v>922</v>
      </c>
      <c r="G107" s="42" t="s">
        <v>64</v>
      </c>
      <c r="H107" s="86" t="s">
        <v>624</v>
      </c>
      <c r="I107" s="40">
        <v>1238929.97</v>
      </c>
      <c r="J107" s="40"/>
      <c r="K107" s="107" t="s">
        <v>208</v>
      </c>
      <c r="L107" s="161" t="s">
        <v>209</v>
      </c>
      <c r="M107" s="56"/>
      <c r="N107" s="56" t="s">
        <v>305</v>
      </c>
      <c r="O107" s="2"/>
      <c r="P107" s="50"/>
      <c r="Q107" s="50"/>
    </row>
    <row r="108" spans="1:20" ht="21.6" customHeight="1">
      <c r="B108" s="27" t="str">
        <f t="shared" si="7"/>
        <v>HNOS ROSSI</v>
      </c>
      <c r="C108" s="27">
        <v>46183</v>
      </c>
      <c r="D108" s="23" t="s">
        <v>962</v>
      </c>
      <c r="E108" s="271" t="s">
        <v>824</v>
      </c>
      <c r="F108" s="416" t="s">
        <v>963</v>
      </c>
      <c r="G108" s="42" t="s">
        <v>143</v>
      </c>
      <c r="H108" s="417" t="s">
        <v>344</v>
      </c>
      <c r="I108" s="40">
        <v>-266123.49</v>
      </c>
      <c r="J108" s="40"/>
      <c r="K108" s="48" t="s">
        <v>208</v>
      </c>
      <c r="L108" s="161" t="s">
        <v>209</v>
      </c>
      <c r="M108" s="56"/>
      <c r="N108" s="56" t="s">
        <v>305</v>
      </c>
      <c r="O108" s="2"/>
      <c r="P108" s="50"/>
      <c r="Q108" s="50"/>
    </row>
    <row r="109" spans="1:20" ht="21.6" customHeight="1">
      <c r="B109" s="27" t="str">
        <f t="shared" si="7"/>
        <v>HNOS ROSSI</v>
      </c>
      <c r="C109" s="27">
        <v>46183</v>
      </c>
      <c r="D109" s="23" t="s">
        <v>964</v>
      </c>
      <c r="E109" s="271" t="s">
        <v>824</v>
      </c>
      <c r="F109" s="416" t="s">
        <v>965</v>
      </c>
      <c r="G109" s="42" t="s">
        <v>143</v>
      </c>
      <c r="H109" s="417" t="s">
        <v>344</v>
      </c>
      <c r="I109" s="40">
        <v>-101542.62</v>
      </c>
      <c r="J109" s="40"/>
      <c r="K109" s="48" t="s">
        <v>208</v>
      </c>
      <c r="L109" s="161" t="s">
        <v>209</v>
      </c>
      <c r="M109" s="56"/>
      <c r="N109" s="56" t="s">
        <v>305</v>
      </c>
      <c r="O109" s="2"/>
      <c r="P109" s="50"/>
      <c r="Q109" s="50"/>
    </row>
    <row r="110" spans="1:20" ht="21.6" customHeight="1">
      <c r="B110" s="27" t="str">
        <f t="shared" si="7"/>
        <v>HNOS ROSSI</v>
      </c>
      <c r="C110" s="27">
        <v>46185</v>
      </c>
      <c r="D110" s="23" t="s">
        <v>966</v>
      </c>
      <c r="E110" s="271" t="s">
        <v>824</v>
      </c>
      <c r="F110" s="416" t="s">
        <v>948</v>
      </c>
      <c r="G110" s="42" t="s">
        <v>143</v>
      </c>
      <c r="H110" s="417" t="s">
        <v>344</v>
      </c>
      <c r="I110" s="40">
        <v>-31110.5</v>
      </c>
      <c r="J110" s="40"/>
      <c r="K110" s="48" t="s">
        <v>208</v>
      </c>
      <c r="L110" s="161" t="s">
        <v>209</v>
      </c>
      <c r="M110" s="56"/>
      <c r="N110" s="56" t="s">
        <v>305</v>
      </c>
      <c r="O110" s="2"/>
      <c r="P110" s="50"/>
      <c r="Q110" s="50"/>
    </row>
    <row r="111" spans="1:20" ht="21.6" customHeight="1">
      <c r="B111" s="27" t="str">
        <f t="shared" si="7"/>
        <v>HNOS ROSSI</v>
      </c>
      <c r="C111" s="27">
        <v>46185</v>
      </c>
      <c r="D111" s="23" t="s">
        <v>967</v>
      </c>
      <c r="E111" s="271" t="s">
        <v>824</v>
      </c>
      <c r="F111" s="416" t="s">
        <v>948</v>
      </c>
      <c r="G111" s="42" t="s">
        <v>143</v>
      </c>
      <c r="H111" s="417" t="s">
        <v>344</v>
      </c>
      <c r="I111" s="40">
        <v>-294641.96999999997</v>
      </c>
      <c r="J111" s="40"/>
      <c r="K111" s="48" t="s">
        <v>208</v>
      </c>
      <c r="L111" s="161" t="s">
        <v>209</v>
      </c>
      <c r="M111" s="56"/>
      <c r="N111" s="56" t="s">
        <v>305</v>
      </c>
      <c r="O111" s="2"/>
      <c r="P111" s="50"/>
      <c r="Q111" s="50"/>
    </row>
    <row r="112" spans="1:20" ht="21.6" customHeight="1">
      <c r="B112" s="27" t="str">
        <f t="shared" si="7"/>
        <v>HNOS ROSSI</v>
      </c>
      <c r="C112" s="27">
        <v>46156</v>
      </c>
      <c r="D112" s="272" t="s">
        <v>364</v>
      </c>
      <c r="E112" s="42" t="s">
        <v>443</v>
      </c>
      <c r="F112" s="416" t="s">
        <v>630</v>
      </c>
      <c r="G112" s="42" t="s">
        <v>21</v>
      </c>
      <c r="H112" s="417" t="s">
        <v>321</v>
      </c>
      <c r="I112" s="40">
        <v>115000</v>
      </c>
      <c r="J112" s="40"/>
      <c r="K112" s="48" t="s">
        <v>629</v>
      </c>
      <c r="L112" s="161" t="s">
        <v>209</v>
      </c>
      <c r="M112" s="56"/>
      <c r="N112" s="56" t="s">
        <v>305</v>
      </c>
      <c r="O112" s="2"/>
      <c r="P112" s="50"/>
      <c r="Q112" s="50"/>
    </row>
    <row r="113" spans="1:20" ht="21.6" customHeight="1">
      <c r="B113" s="27" t="str">
        <f t="shared" si="7"/>
        <v>HNOS ROSSI</v>
      </c>
      <c r="C113" s="27">
        <v>46162</v>
      </c>
      <c r="D113" s="272" t="s">
        <v>364</v>
      </c>
      <c r="E113" s="42" t="s">
        <v>443</v>
      </c>
      <c r="F113" s="416" t="s">
        <v>630</v>
      </c>
      <c r="G113" s="42" t="s">
        <v>21</v>
      </c>
      <c r="H113" s="417" t="s">
        <v>321</v>
      </c>
      <c r="I113" s="40">
        <v>115000</v>
      </c>
      <c r="J113" s="40"/>
      <c r="K113" s="48" t="s">
        <v>629</v>
      </c>
      <c r="L113" s="161" t="s">
        <v>209</v>
      </c>
      <c r="M113" s="56"/>
      <c r="N113" s="56" t="s">
        <v>305</v>
      </c>
      <c r="O113" s="2"/>
      <c r="P113" s="50"/>
      <c r="Q113" s="50"/>
    </row>
    <row r="114" spans="1:20" ht="21.6" customHeight="1">
      <c r="B114" s="27" t="str">
        <f t="shared" si="7"/>
        <v>HNOS ROSSI</v>
      </c>
      <c r="C114" s="27">
        <v>46182</v>
      </c>
      <c r="D114" s="272" t="s">
        <v>364</v>
      </c>
      <c r="E114" s="42" t="s">
        <v>443</v>
      </c>
      <c r="F114" s="416" t="s">
        <v>630</v>
      </c>
      <c r="G114" s="42" t="s">
        <v>21</v>
      </c>
      <c r="H114" s="417" t="s">
        <v>321</v>
      </c>
      <c r="I114" s="40">
        <v>115000</v>
      </c>
      <c r="J114" s="40"/>
      <c r="K114" s="48" t="s">
        <v>629</v>
      </c>
      <c r="L114" s="161" t="s">
        <v>209</v>
      </c>
      <c r="M114" s="56"/>
      <c r="N114" s="56" t="s">
        <v>305</v>
      </c>
      <c r="O114" s="2"/>
      <c r="P114" s="50"/>
      <c r="Q114" s="50"/>
    </row>
    <row r="115" spans="1:20" ht="21.6" customHeight="1">
      <c r="B115" s="27" t="str">
        <f>+$E$3</f>
        <v>HNOS ROSSI</v>
      </c>
      <c r="C115" s="59">
        <v>46191</v>
      </c>
      <c r="D115" s="41" t="s">
        <v>968</v>
      </c>
      <c r="E115" s="271" t="s">
        <v>824</v>
      </c>
      <c r="F115" s="486" t="s">
        <v>652</v>
      </c>
      <c r="G115" s="23" t="s">
        <v>72</v>
      </c>
      <c r="H115" s="464" t="s">
        <v>63</v>
      </c>
      <c r="I115" s="66">
        <v>855179.23</v>
      </c>
      <c r="J115" s="356"/>
      <c r="K115" s="148" t="s">
        <v>208</v>
      </c>
      <c r="L115" s="42" t="s">
        <v>732</v>
      </c>
      <c r="M115" s="56"/>
      <c r="N115" s="56" t="s">
        <v>305</v>
      </c>
      <c r="O115" s="2"/>
      <c r="P115" s="50"/>
      <c r="Q115" s="50"/>
      <c r="S115" t="s">
        <v>969</v>
      </c>
    </row>
    <row r="116" spans="1:20" s="138" customFormat="1" ht="28.9">
      <c r="A116" s="168" t="s">
        <v>218</v>
      </c>
      <c r="B116" s="156" t="str">
        <f t="shared" si="4"/>
        <v>HNOS ROSSI</v>
      </c>
      <c r="C116" s="171">
        <v>46191</v>
      </c>
      <c r="D116" s="130"/>
      <c r="E116" s="317"/>
      <c r="F116" s="465"/>
      <c r="G116" s="131"/>
      <c r="H116" s="465"/>
      <c r="I116" s="132"/>
      <c r="J116" s="132"/>
      <c r="K116" s="368"/>
      <c r="L116" s="369"/>
      <c r="M116" s="135"/>
      <c r="N116" s="135"/>
      <c r="O116" s="140"/>
      <c r="P116" s="370"/>
      <c r="Q116" s="370"/>
      <c r="T116" s="371"/>
    </row>
    <row r="117" spans="1:20" ht="21.6" customHeight="1">
      <c r="B117" s="152" t="str">
        <f t="shared" si="4"/>
        <v>HNOS ROSSI</v>
      </c>
      <c r="C117" s="27">
        <v>46192</v>
      </c>
      <c r="D117" s="272" t="s">
        <v>364</v>
      </c>
      <c r="E117" s="42" t="s">
        <v>443</v>
      </c>
      <c r="F117" s="416" t="s">
        <v>970</v>
      </c>
      <c r="G117" s="42" t="s">
        <v>90</v>
      </c>
      <c r="H117" s="417" t="s">
        <v>92</v>
      </c>
      <c r="I117" s="40">
        <v>1575000</v>
      </c>
      <c r="J117" s="40"/>
      <c r="K117" s="48" t="s">
        <v>629</v>
      </c>
      <c r="L117" s="42" t="s">
        <v>732</v>
      </c>
      <c r="M117" s="56"/>
      <c r="N117" s="56" t="s">
        <v>305</v>
      </c>
      <c r="O117" s="2"/>
      <c r="P117" s="50"/>
      <c r="Q117" s="50"/>
    </row>
    <row r="118" spans="1:20" ht="21.6" customHeight="1">
      <c r="B118" s="152" t="str">
        <f t="shared" si="4"/>
        <v>HNOS ROSSI</v>
      </c>
      <c r="C118" s="27">
        <v>46196</v>
      </c>
      <c r="D118" s="23" t="s">
        <v>971</v>
      </c>
      <c r="E118" s="271" t="s">
        <v>824</v>
      </c>
      <c r="F118" s="416" t="s">
        <v>972</v>
      </c>
      <c r="G118" s="42" t="s">
        <v>135</v>
      </c>
      <c r="H118" s="86" t="s">
        <v>29</v>
      </c>
      <c r="I118" s="40">
        <v>2844465.53</v>
      </c>
      <c r="J118" s="40"/>
      <c r="K118" s="107" t="s">
        <v>208</v>
      </c>
      <c r="L118" s="161" t="s">
        <v>209</v>
      </c>
      <c r="M118" s="56"/>
      <c r="N118" s="56" t="s">
        <v>305</v>
      </c>
      <c r="O118" s="2"/>
      <c r="P118" s="50"/>
      <c r="Q118" s="50"/>
    </row>
    <row r="119" spans="1:20" ht="21.6" customHeight="1">
      <c r="B119" s="152" t="str">
        <f t="shared" si="4"/>
        <v>HNOS ROSSI</v>
      </c>
      <c r="C119" s="27">
        <v>46198</v>
      </c>
      <c r="D119" s="23" t="s">
        <v>973</v>
      </c>
      <c r="E119" s="271" t="s">
        <v>824</v>
      </c>
      <c r="F119" s="416" t="s">
        <v>974</v>
      </c>
      <c r="G119" s="42" t="s">
        <v>143</v>
      </c>
      <c r="H119" s="417" t="s">
        <v>344</v>
      </c>
      <c r="I119" s="40">
        <v>198182.16</v>
      </c>
      <c r="J119" s="40"/>
      <c r="K119" s="48" t="s">
        <v>208</v>
      </c>
      <c r="L119" s="161" t="s">
        <v>209</v>
      </c>
      <c r="M119" s="56"/>
      <c r="N119" s="56" t="s">
        <v>461</v>
      </c>
      <c r="O119" s="2"/>
      <c r="P119" s="50"/>
      <c r="Q119" s="50"/>
    </row>
    <row r="120" spans="1:20" ht="21.6" customHeight="1">
      <c r="B120" s="152" t="str">
        <f t="shared" si="4"/>
        <v>HNOS ROSSI</v>
      </c>
      <c r="C120" s="27">
        <v>46199</v>
      </c>
      <c r="D120" s="23" t="s">
        <v>975</v>
      </c>
      <c r="E120" s="271" t="s">
        <v>824</v>
      </c>
      <c r="F120" s="85" t="s">
        <v>976</v>
      </c>
      <c r="G120" s="42" t="s">
        <v>143</v>
      </c>
      <c r="H120" s="86" t="s">
        <v>344</v>
      </c>
      <c r="I120" s="40">
        <v>12997.64</v>
      </c>
      <c r="J120" s="40"/>
      <c r="K120" s="48" t="s">
        <v>208</v>
      </c>
      <c r="L120" s="161" t="s">
        <v>209</v>
      </c>
      <c r="M120" s="56"/>
      <c r="N120" s="56" t="s">
        <v>461</v>
      </c>
      <c r="O120" s="2"/>
      <c r="P120" s="50"/>
      <c r="Q120" s="50"/>
    </row>
    <row r="121" spans="1:20" ht="21.6" customHeight="1">
      <c r="B121" s="27" t="str">
        <f t="shared" ref="B121:B130" si="8">+$E$3</f>
        <v>HNOS ROSSI</v>
      </c>
      <c r="C121" s="27">
        <v>46204</v>
      </c>
      <c r="D121" s="272" t="s">
        <v>364</v>
      </c>
      <c r="E121" s="42" t="s">
        <v>443</v>
      </c>
      <c r="F121" s="416" t="s">
        <v>977</v>
      </c>
      <c r="G121" s="42" t="s">
        <v>131</v>
      </c>
      <c r="H121" s="417" t="s">
        <v>270</v>
      </c>
      <c r="I121" s="40">
        <v>2040000</v>
      </c>
      <c r="J121" s="40"/>
      <c r="K121" s="48" t="s">
        <v>629</v>
      </c>
      <c r="L121" s="42" t="s">
        <v>732</v>
      </c>
      <c r="M121" s="56"/>
      <c r="N121" s="56" t="s">
        <v>305</v>
      </c>
      <c r="O121" s="2"/>
      <c r="P121" s="50"/>
      <c r="Q121" s="50"/>
    </row>
    <row r="122" spans="1:20" ht="21.6" customHeight="1">
      <c r="B122" s="27" t="str">
        <f>+$E$3</f>
        <v>HNOS ROSSI</v>
      </c>
      <c r="C122" s="27">
        <v>46205</v>
      </c>
      <c r="D122" s="23" t="s">
        <v>978</v>
      </c>
      <c r="E122" s="271" t="s">
        <v>824</v>
      </c>
      <c r="F122" s="416" t="s">
        <v>979</v>
      </c>
      <c r="G122" s="42" t="s">
        <v>95</v>
      </c>
      <c r="H122" s="417" t="s">
        <v>270</v>
      </c>
      <c r="I122" s="40">
        <v>687465.3</v>
      </c>
      <c r="J122" s="40"/>
      <c r="K122" s="48" t="s">
        <v>208</v>
      </c>
      <c r="L122" s="161" t="s">
        <v>209</v>
      </c>
      <c r="M122" s="56"/>
      <c r="N122" s="56" t="s">
        <v>305</v>
      </c>
      <c r="O122" s="2"/>
      <c r="P122" s="50"/>
      <c r="Q122" s="50"/>
    </row>
    <row r="123" spans="1:20" s="138" customFormat="1" ht="28.9">
      <c r="A123" s="168" t="s">
        <v>218</v>
      </c>
      <c r="B123" s="156" t="str">
        <f t="shared" si="4"/>
        <v>HNOS ROSSI</v>
      </c>
      <c r="C123" s="171">
        <v>46205</v>
      </c>
      <c r="D123" s="130"/>
      <c r="E123" s="317"/>
      <c r="F123" s="465"/>
      <c r="G123" s="131"/>
      <c r="H123" s="465"/>
      <c r="I123" s="132"/>
      <c r="J123" s="132"/>
      <c r="K123" s="368"/>
      <c r="L123" s="369"/>
      <c r="M123" s="135"/>
      <c r="N123" s="135"/>
      <c r="O123" s="140"/>
      <c r="P123" s="370"/>
      <c r="Q123" s="370"/>
      <c r="T123" s="371"/>
    </row>
    <row r="124" spans="1:20" ht="21.6" customHeight="1">
      <c r="B124" s="152" t="str">
        <f t="shared" si="8"/>
        <v>HNOS ROSSI</v>
      </c>
      <c r="C124" s="27">
        <v>46206</v>
      </c>
      <c r="D124" s="23" t="s">
        <v>978</v>
      </c>
      <c r="E124" s="271" t="s">
        <v>824</v>
      </c>
      <c r="F124" s="416" t="s">
        <v>980</v>
      </c>
      <c r="G124" s="42" t="s">
        <v>138</v>
      </c>
      <c r="H124" s="417" t="s">
        <v>106</v>
      </c>
      <c r="I124" s="40">
        <v>13894291.58</v>
      </c>
      <c r="J124" s="40"/>
      <c r="K124" s="48" t="s">
        <v>208</v>
      </c>
      <c r="L124" s="161" t="s">
        <v>209</v>
      </c>
      <c r="M124" s="56"/>
      <c r="N124" s="56" t="s">
        <v>353</v>
      </c>
      <c r="O124" s="2"/>
      <c r="P124" s="50"/>
      <c r="Q124" s="50"/>
    </row>
    <row r="125" spans="1:20" ht="21.6" customHeight="1">
      <c r="B125" s="152" t="str">
        <f t="shared" si="8"/>
        <v>HNOS ROSSI</v>
      </c>
      <c r="C125" s="27">
        <v>46191</v>
      </c>
      <c r="D125" s="23" t="s">
        <v>981</v>
      </c>
      <c r="E125" s="271" t="s">
        <v>824</v>
      </c>
      <c r="F125" s="85" t="s">
        <v>982</v>
      </c>
      <c r="G125" s="42" t="s">
        <v>75</v>
      </c>
      <c r="H125" s="417" t="s">
        <v>624</v>
      </c>
      <c r="I125" s="40">
        <v>181500</v>
      </c>
      <c r="J125" s="40"/>
      <c r="K125" s="48" t="s">
        <v>208</v>
      </c>
      <c r="L125" s="161" t="s">
        <v>209</v>
      </c>
      <c r="M125" s="56"/>
      <c r="N125" s="56" t="s">
        <v>305</v>
      </c>
      <c r="O125" s="2"/>
      <c r="P125" s="50"/>
      <c r="Q125" s="50"/>
    </row>
    <row r="126" spans="1:20" ht="21.6" customHeight="1">
      <c r="B126" s="152" t="str">
        <f t="shared" si="8"/>
        <v>HNOS ROSSI</v>
      </c>
      <c r="C126" s="27">
        <v>46194</v>
      </c>
      <c r="D126" s="23" t="s">
        <v>983</v>
      </c>
      <c r="E126" s="271" t="s">
        <v>824</v>
      </c>
      <c r="F126" s="85" t="s">
        <v>896</v>
      </c>
      <c r="G126" s="42" t="s">
        <v>64</v>
      </c>
      <c r="H126" s="417" t="s">
        <v>624</v>
      </c>
      <c r="I126" s="40">
        <v>544377.85</v>
      </c>
      <c r="J126" s="40"/>
      <c r="K126" s="48" t="s">
        <v>208</v>
      </c>
      <c r="L126" s="161" t="s">
        <v>209</v>
      </c>
      <c r="M126" s="56"/>
      <c r="N126" s="56" t="s">
        <v>305</v>
      </c>
      <c r="O126" s="2"/>
      <c r="P126" s="50"/>
      <c r="Q126" s="50"/>
    </row>
    <row r="127" spans="1:20" ht="21.6" customHeight="1">
      <c r="B127" s="152" t="str">
        <f t="shared" si="8"/>
        <v>HNOS ROSSI</v>
      </c>
      <c r="C127" s="27">
        <v>46194</v>
      </c>
      <c r="D127" s="23" t="s">
        <v>984</v>
      </c>
      <c r="E127" s="271" t="s">
        <v>824</v>
      </c>
      <c r="F127" s="85" t="s">
        <v>958</v>
      </c>
      <c r="G127" s="42" t="s">
        <v>64</v>
      </c>
      <c r="H127" s="417" t="s">
        <v>624</v>
      </c>
      <c r="I127" s="40">
        <v>428727.2</v>
      </c>
      <c r="J127" s="40"/>
      <c r="K127" s="48" t="s">
        <v>208</v>
      </c>
      <c r="L127" s="161" t="s">
        <v>209</v>
      </c>
      <c r="M127" s="56"/>
      <c r="N127" s="56" t="s">
        <v>305</v>
      </c>
      <c r="O127" s="2"/>
      <c r="P127" s="50"/>
      <c r="Q127" s="50"/>
    </row>
    <row r="128" spans="1:20" ht="21.6" customHeight="1">
      <c r="B128" s="152" t="str">
        <f t="shared" si="8"/>
        <v>HNOS ROSSI</v>
      </c>
      <c r="C128" s="27">
        <v>46201</v>
      </c>
      <c r="D128" s="23" t="s">
        <v>985</v>
      </c>
      <c r="E128" s="271" t="s">
        <v>824</v>
      </c>
      <c r="F128" s="85" t="s">
        <v>894</v>
      </c>
      <c r="G128" s="42" t="s">
        <v>64</v>
      </c>
      <c r="H128" s="417" t="s">
        <v>624</v>
      </c>
      <c r="I128" s="40">
        <v>872296.62</v>
      </c>
      <c r="J128" s="40"/>
      <c r="K128" s="48" t="s">
        <v>208</v>
      </c>
      <c r="L128" s="161" t="s">
        <v>209</v>
      </c>
      <c r="M128" s="56"/>
      <c r="N128" s="56" t="s">
        <v>305</v>
      </c>
      <c r="O128" s="2"/>
      <c r="P128" s="50"/>
      <c r="Q128" s="50"/>
    </row>
    <row r="129" spans="1:20" ht="21.6" customHeight="1">
      <c r="B129" s="152" t="str">
        <f t="shared" si="8"/>
        <v>HNOS ROSSI</v>
      </c>
      <c r="C129" s="27">
        <v>46207</v>
      </c>
      <c r="D129" s="23" t="s">
        <v>986</v>
      </c>
      <c r="E129" s="271" t="s">
        <v>824</v>
      </c>
      <c r="F129" s="85" t="s">
        <v>922</v>
      </c>
      <c r="G129" s="42" t="s">
        <v>64</v>
      </c>
      <c r="H129" s="417" t="s">
        <v>624</v>
      </c>
      <c r="I129" s="40">
        <v>1238929.97</v>
      </c>
      <c r="J129" s="40"/>
      <c r="K129" s="48" t="s">
        <v>208</v>
      </c>
      <c r="L129" s="161" t="s">
        <v>209</v>
      </c>
      <c r="M129" s="56"/>
      <c r="N129" s="56" t="s">
        <v>305</v>
      </c>
      <c r="O129" s="2"/>
      <c r="P129" s="50"/>
      <c r="Q129" s="50"/>
    </row>
    <row r="130" spans="1:20" ht="21.6" customHeight="1">
      <c r="B130" s="152" t="str">
        <f t="shared" si="8"/>
        <v>HNOS ROSSI</v>
      </c>
      <c r="C130" s="27">
        <v>46210</v>
      </c>
      <c r="D130" s="23" t="s">
        <v>987</v>
      </c>
      <c r="E130" s="271" t="s">
        <v>824</v>
      </c>
      <c r="F130" s="416" t="s">
        <v>988</v>
      </c>
      <c r="G130" s="42" t="s">
        <v>83</v>
      </c>
      <c r="H130" s="417" t="s">
        <v>207</v>
      </c>
      <c r="I130" s="40">
        <v>429500.82</v>
      </c>
      <c r="J130" s="40"/>
      <c r="K130" s="48" t="s">
        <v>208</v>
      </c>
      <c r="L130" s="161" t="s">
        <v>209</v>
      </c>
      <c r="M130" s="56"/>
      <c r="N130" s="56" t="s">
        <v>305</v>
      </c>
      <c r="O130" s="2"/>
      <c r="P130" s="50"/>
      <c r="Q130" s="50"/>
    </row>
    <row r="131" spans="1:20" ht="21.6" customHeight="1">
      <c r="B131" s="27" t="str">
        <f t="shared" ref="B131:B141" si="9">+$E$3</f>
        <v>HNOS ROSSI</v>
      </c>
      <c r="C131" s="27">
        <v>46216</v>
      </c>
      <c r="D131" s="23" t="s">
        <v>989</v>
      </c>
      <c r="E131" s="271" t="s">
        <v>824</v>
      </c>
      <c r="F131" s="416" t="s">
        <v>990</v>
      </c>
      <c r="G131" s="42" t="s">
        <v>83</v>
      </c>
      <c r="H131" s="417" t="s">
        <v>207</v>
      </c>
      <c r="I131" s="40">
        <v>258929.68</v>
      </c>
      <c r="J131" s="40"/>
      <c r="K131" s="48" t="s">
        <v>208</v>
      </c>
      <c r="L131" s="161" t="s">
        <v>209</v>
      </c>
      <c r="M131" s="56"/>
      <c r="N131" s="56" t="s">
        <v>305</v>
      </c>
      <c r="O131" s="2"/>
      <c r="P131" s="50"/>
      <c r="Q131" s="50"/>
    </row>
    <row r="132" spans="1:20" ht="21.6" customHeight="1">
      <c r="B132" s="27" t="str">
        <f>+$E$3</f>
        <v>HNOS ROSSI</v>
      </c>
      <c r="C132" s="27">
        <v>46202</v>
      </c>
      <c r="D132" s="272" t="s">
        <v>364</v>
      </c>
      <c r="E132" s="42" t="s">
        <v>443</v>
      </c>
      <c r="F132" s="416" t="s">
        <v>630</v>
      </c>
      <c r="G132" s="42" t="s">
        <v>21</v>
      </c>
      <c r="H132" s="417" t="s">
        <v>321</v>
      </c>
      <c r="I132" s="40">
        <v>115000</v>
      </c>
      <c r="J132" s="40"/>
      <c r="K132" s="48" t="s">
        <v>629</v>
      </c>
      <c r="L132" s="161" t="s">
        <v>209</v>
      </c>
      <c r="M132" s="56"/>
      <c r="N132" s="56" t="s">
        <v>305</v>
      </c>
      <c r="O132" s="2"/>
      <c r="P132" s="50"/>
      <c r="Q132" s="50"/>
    </row>
    <row r="133" spans="1:20" ht="21.6" customHeight="1">
      <c r="B133" s="152" t="str">
        <f t="shared" si="9"/>
        <v>HNOS ROSSI</v>
      </c>
      <c r="C133" s="27">
        <v>46217</v>
      </c>
      <c r="D133" s="272" t="s">
        <v>364</v>
      </c>
      <c r="E133" s="42" t="s">
        <v>443</v>
      </c>
      <c r="F133" s="416" t="s">
        <v>630</v>
      </c>
      <c r="G133" s="42" t="s">
        <v>21</v>
      </c>
      <c r="H133" s="417" t="s">
        <v>321</v>
      </c>
      <c r="I133" s="40">
        <v>115000</v>
      </c>
      <c r="J133" s="40"/>
      <c r="K133" s="48" t="s">
        <v>629</v>
      </c>
      <c r="L133" s="161" t="s">
        <v>209</v>
      </c>
      <c r="M133" s="56"/>
      <c r="N133" s="56" t="s">
        <v>305</v>
      </c>
      <c r="O133" s="2"/>
      <c r="P133" s="50"/>
      <c r="Q133" s="50"/>
    </row>
    <row r="134" spans="1:20" ht="21.6" customHeight="1">
      <c r="B134" s="152" t="str">
        <f t="shared" si="9"/>
        <v>HNOS ROSSI</v>
      </c>
      <c r="C134" s="27">
        <v>46217</v>
      </c>
      <c r="D134" s="272" t="s">
        <v>364</v>
      </c>
      <c r="E134" s="42" t="s">
        <v>443</v>
      </c>
      <c r="F134" s="416" t="s">
        <v>991</v>
      </c>
      <c r="G134" s="42" t="s">
        <v>76</v>
      </c>
      <c r="H134" s="417" t="s">
        <v>52</v>
      </c>
      <c r="I134" s="40">
        <v>87500</v>
      </c>
      <c r="J134" s="40"/>
      <c r="K134" s="48" t="s">
        <v>629</v>
      </c>
      <c r="L134" s="161" t="s">
        <v>209</v>
      </c>
      <c r="M134" s="56"/>
      <c r="N134" s="56" t="s">
        <v>305</v>
      </c>
      <c r="O134" s="2"/>
      <c r="P134" s="50"/>
      <c r="Q134" s="50"/>
    </row>
    <row r="135" spans="1:20" ht="21.6" customHeight="1">
      <c r="B135" s="152" t="str">
        <f t="shared" si="9"/>
        <v>HNOS ROSSI</v>
      </c>
      <c r="C135" s="27">
        <v>46219</v>
      </c>
      <c r="D135" s="23" t="s">
        <v>992</v>
      </c>
      <c r="E135" s="271" t="s">
        <v>824</v>
      </c>
      <c r="F135" s="416" t="s">
        <v>993</v>
      </c>
      <c r="G135" s="42" t="s">
        <v>17</v>
      </c>
      <c r="H135" s="86" t="s">
        <v>270</v>
      </c>
      <c r="I135" s="40">
        <v>4122259</v>
      </c>
      <c r="J135" s="40"/>
      <c r="K135" s="48" t="s">
        <v>208</v>
      </c>
      <c r="L135" s="161" t="s">
        <v>209</v>
      </c>
      <c r="M135" s="56"/>
      <c r="N135" s="56" t="s">
        <v>353</v>
      </c>
      <c r="O135" s="2"/>
      <c r="P135" s="50"/>
      <c r="Q135" s="50"/>
    </row>
    <row r="136" spans="1:20" s="138" customFormat="1" ht="28.9">
      <c r="A136" s="168" t="s">
        <v>218</v>
      </c>
      <c r="B136" s="156" t="str">
        <f t="shared" si="9"/>
        <v>HNOS ROSSI</v>
      </c>
      <c r="C136" s="171">
        <v>46219</v>
      </c>
      <c r="D136" s="130"/>
      <c r="E136" s="317"/>
      <c r="F136" s="465"/>
      <c r="G136" s="131"/>
      <c r="H136" s="465"/>
      <c r="I136" s="132"/>
      <c r="J136" s="132"/>
      <c r="K136" s="368"/>
      <c r="L136" s="369"/>
      <c r="M136" s="135"/>
      <c r="N136" s="135"/>
      <c r="O136" s="140"/>
      <c r="P136" s="370"/>
      <c r="Q136" s="370"/>
      <c r="T136" s="371"/>
    </row>
    <row r="137" spans="1:20" ht="21.6" customHeight="1">
      <c r="B137" s="152" t="str">
        <f t="shared" si="9"/>
        <v>HNOS ROSSI</v>
      </c>
      <c r="C137" s="27">
        <v>46225</v>
      </c>
      <c r="D137" s="23" t="s">
        <v>994</v>
      </c>
      <c r="E137" s="271" t="s">
        <v>824</v>
      </c>
      <c r="F137" s="416" t="s">
        <v>995</v>
      </c>
      <c r="G137" s="42" t="s">
        <v>49</v>
      </c>
      <c r="H137" s="86" t="s">
        <v>8</v>
      </c>
      <c r="I137" s="40">
        <v>12427522.66</v>
      </c>
      <c r="J137" s="40"/>
      <c r="K137" s="48" t="s">
        <v>208</v>
      </c>
      <c r="L137" s="161" t="s">
        <v>209</v>
      </c>
      <c r="M137" s="56"/>
      <c r="N137" s="56" t="s">
        <v>353</v>
      </c>
      <c r="O137" s="2"/>
      <c r="P137" s="50"/>
      <c r="Q137" s="50"/>
    </row>
    <row r="138" spans="1:20" ht="21.6" customHeight="1">
      <c r="B138" s="27" t="str">
        <f>+$E$3</f>
        <v>HNOS ROSSI</v>
      </c>
      <c r="C138" s="27">
        <v>46227</v>
      </c>
      <c r="D138" s="23" t="s">
        <v>996</v>
      </c>
      <c r="E138" s="271" t="s">
        <v>824</v>
      </c>
      <c r="F138" s="416" t="s">
        <v>997</v>
      </c>
      <c r="G138" s="42" t="s">
        <v>135</v>
      </c>
      <c r="H138" s="86" t="s">
        <v>29</v>
      </c>
      <c r="I138" s="40">
        <v>4474753.5999999996</v>
      </c>
      <c r="J138" s="40"/>
      <c r="K138" s="107" t="s">
        <v>208</v>
      </c>
      <c r="L138" s="161" t="s">
        <v>209</v>
      </c>
      <c r="M138" s="56"/>
      <c r="N138" s="56" t="s">
        <v>305</v>
      </c>
      <c r="O138" s="2"/>
      <c r="P138" s="50"/>
      <c r="Q138" s="50"/>
    </row>
    <row r="139" spans="1:20" ht="21.6" customHeight="1">
      <c r="B139" s="27" t="str">
        <f>+$E$3</f>
        <v>HNOS ROSSI</v>
      </c>
      <c r="C139" s="27">
        <v>46231</v>
      </c>
      <c r="D139" s="23" t="s">
        <v>998</v>
      </c>
      <c r="E139" s="271" t="s">
        <v>824</v>
      </c>
      <c r="F139" s="85" t="s">
        <v>999</v>
      </c>
      <c r="G139" s="42" t="s">
        <v>143</v>
      </c>
      <c r="H139" s="86" t="s">
        <v>344</v>
      </c>
      <c r="I139" s="40">
        <v>296671.84999999998</v>
      </c>
      <c r="J139" s="40"/>
      <c r="K139" s="48" t="s">
        <v>208</v>
      </c>
      <c r="L139" s="161" t="s">
        <v>209</v>
      </c>
      <c r="M139" s="56"/>
      <c r="N139" s="56" t="s">
        <v>353</v>
      </c>
      <c r="O139" s="2"/>
      <c r="P139" s="50"/>
      <c r="Q139" s="50"/>
    </row>
    <row r="140" spans="1:20" ht="21.6" customHeight="1">
      <c r="B140" s="27" t="str">
        <f>+$E$3</f>
        <v>HNOS ROSSI</v>
      </c>
      <c r="C140" s="27">
        <v>46211</v>
      </c>
      <c r="D140" s="23" t="s">
        <v>1000</v>
      </c>
      <c r="E140" s="271" t="s">
        <v>824</v>
      </c>
      <c r="F140" s="416" t="s">
        <v>1001</v>
      </c>
      <c r="G140" s="42" t="s">
        <v>5</v>
      </c>
      <c r="H140" s="417" t="s">
        <v>8</v>
      </c>
      <c r="I140" s="40">
        <v>10390486.73</v>
      </c>
      <c r="J140" s="40"/>
      <c r="K140" s="48" t="s">
        <v>208</v>
      </c>
      <c r="L140" s="161" t="s">
        <v>209</v>
      </c>
      <c r="M140" s="56"/>
      <c r="N140" s="56" t="s">
        <v>305</v>
      </c>
      <c r="O140" s="2"/>
      <c r="P140" s="50"/>
      <c r="Q140" s="50"/>
    </row>
    <row r="141" spans="1:20" ht="21.6" customHeight="1">
      <c r="B141" s="152" t="str">
        <f t="shared" si="9"/>
        <v>HNOS ROSSI</v>
      </c>
      <c r="C141" s="27">
        <v>46234</v>
      </c>
      <c r="D141" s="272" t="s">
        <v>364</v>
      </c>
      <c r="E141" s="42" t="s">
        <v>443</v>
      </c>
      <c r="F141" s="416" t="s">
        <v>630</v>
      </c>
      <c r="G141" s="42" t="s">
        <v>21</v>
      </c>
      <c r="H141" s="417" t="s">
        <v>321</v>
      </c>
      <c r="I141" s="40">
        <v>120000</v>
      </c>
      <c r="J141" s="40"/>
      <c r="K141" s="48" t="s">
        <v>629</v>
      </c>
      <c r="L141" s="161" t="s">
        <v>209</v>
      </c>
      <c r="M141" s="56"/>
      <c r="N141" s="56" t="s">
        <v>305</v>
      </c>
      <c r="O141" s="2"/>
      <c r="P141" s="50"/>
      <c r="Q141" s="50"/>
    </row>
    <row r="142" spans="1:20" ht="21.6" customHeight="1">
      <c r="B142" s="27" t="str">
        <f>+$E$3</f>
        <v>HNOS ROSSI</v>
      </c>
      <c r="C142" s="27">
        <v>46191</v>
      </c>
      <c r="D142" s="23" t="s">
        <v>1002</v>
      </c>
      <c r="E142" s="271" t="s">
        <v>824</v>
      </c>
      <c r="F142" s="85" t="s">
        <v>1003</v>
      </c>
      <c r="G142" s="42" t="s">
        <v>64</v>
      </c>
      <c r="H142" s="417" t="s">
        <v>624</v>
      </c>
      <c r="I142" s="40">
        <v>444796</v>
      </c>
      <c r="J142" s="40"/>
      <c r="K142" s="48" t="s">
        <v>208</v>
      </c>
      <c r="L142" s="161" t="s">
        <v>209</v>
      </c>
      <c r="M142" s="56"/>
      <c r="N142" s="56" t="s">
        <v>305</v>
      </c>
      <c r="O142" s="2"/>
      <c r="P142" s="50"/>
      <c r="Q142" s="50"/>
    </row>
    <row r="143" spans="1:20" ht="21.6" customHeight="1">
      <c r="B143" s="27" t="str">
        <f>+$E$3</f>
        <v>HNOS ROSSI</v>
      </c>
      <c r="C143" s="27">
        <v>46191</v>
      </c>
      <c r="D143" s="23" t="s">
        <v>981</v>
      </c>
      <c r="E143" s="271" t="s">
        <v>824</v>
      </c>
      <c r="F143" s="85" t="s">
        <v>817</v>
      </c>
      <c r="G143" s="42" t="s">
        <v>64</v>
      </c>
      <c r="H143" s="417" t="s">
        <v>624</v>
      </c>
      <c r="I143" s="40">
        <v>181500</v>
      </c>
      <c r="J143" s="40"/>
      <c r="K143" s="48" t="s">
        <v>208</v>
      </c>
      <c r="L143" s="161" t="s">
        <v>209</v>
      </c>
      <c r="M143" s="56"/>
      <c r="N143" s="56" t="s">
        <v>305</v>
      </c>
      <c r="O143" s="2"/>
      <c r="P143" s="50"/>
      <c r="Q143" s="50"/>
    </row>
    <row r="144" spans="1:20" ht="21.6" customHeight="1">
      <c r="B144" s="27" t="str">
        <f>+$E$3</f>
        <v>HNOS ROSSI</v>
      </c>
      <c r="C144" s="27">
        <v>46196</v>
      </c>
      <c r="D144" s="23" t="s">
        <v>1004</v>
      </c>
      <c r="E144" s="271" t="s">
        <v>824</v>
      </c>
      <c r="F144" s="85" t="s">
        <v>958</v>
      </c>
      <c r="G144" s="42" t="s">
        <v>64</v>
      </c>
      <c r="H144" s="417" t="s">
        <v>624</v>
      </c>
      <c r="I144" s="40">
        <v>440731.56</v>
      </c>
      <c r="J144" s="40"/>
      <c r="K144" s="48" t="s">
        <v>208</v>
      </c>
      <c r="L144" s="161" t="s">
        <v>209</v>
      </c>
      <c r="M144" s="56"/>
      <c r="N144" s="56" t="s">
        <v>305</v>
      </c>
      <c r="O144" s="2"/>
      <c r="P144" s="50"/>
      <c r="Q144" s="50"/>
    </row>
    <row r="145" spans="1:20" ht="21.6" customHeight="1">
      <c r="B145" s="27" t="str">
        <f>+$E$3</f>
        <v>HNOS ROSSI</v>
      </c>
      <c r="C145" s="27">
        <v>46233</v>
      </c>
      <c r="D145" s="23" t="s">
        <v>1005</v>
      </c>
      <c r="E145" s="271" t="s">
        <v>824</v>
      </c>
      <c r="F145" s="85" t="s">
        <v>894</v>
      </c>
      <c r="G145" s="42" t="s">
        <v>64</v>
      </c>
      <c r="H145" s="417" t="s">
        <v>624</v>
      </c>
      <c r="I145" s="40">
        <v>896720.93</v>
      </c>
      <c r="J145" s="40"/>
      <c r="K145" s="48" t="s">
        <v>208</v>
      </c>
      <c r="L145" s="161" t="s">
        <v>209</v>
      </c>
      <c r="M145" s="56"/>
      <c r="N145" s="56" t="s">
        <v>305</v>
      </c>
      <c r="O145" s="2"/>
      <c r="P145" s="50"/>
      <c r="Q145" s="50"/>
    </row>
    <row r="146" spans="1:20" s="138" customFormat="1" ht="28.9">
      <c r="A146" s="168" t="s">
        <v>218</v>
      </c>
      <c r="B146" s="156" t="str">
        <f t="shared" ref="B146" si="10">+$E$3</f>
        <v>HNOS ROSSI</v>
      </c>
      <c r="C146" s="171">
        <v>46233</v>
      </c>
      <c r="D146" s="130"/>
      <c r="E146" s="317"/>
      <c r="F146" s="465"/>
      <c r="G146" s="131"/>
      <c r="H146" s="465"/>
      <c r="I146" s="132"/>
      <c r="J146" s="132"/>
      <c r="K146" s="368"/>
      <c r="L146" s="369"/>
      <c r="M146" s="135"/>
      <c r="N146" s="135"/>
      <c r="O146" s="140"/>
      <c r="P146" s="370"/>
      <c r="Q146" s="370"/>
      <c r="T146" s="371"/>
    </row>
    <row r="147" spans="1:20" ht="21.6" customHeight="1">
      <c r="B147" s="152" t="str">
        <f t="shared" ref="B147:B183" si="11">+$E$3</f>
        <v>HNOS ROSSI</v>
      </c>
      <c r="C147" s="27"/>
      <c r="D147" s="38"/>
      <c r="E147" s="38"/>
      <c r="F147" s="416"/>
      <c r="G147" s="39"/>
      <c r="H147" s="419"/>
      <c r="I147" s="40"/>
      <c r="J147" s="40"/>
      <c r="K147" s="48"/>
      <c r="L147" s="272"/>
      <c r="M147" s="56"/>
      <c r="N147" s="56"/>
      <c r="O147" s="2"/>
      <c r="P147" s="50"/>
      <c r="Q147" s="50"/>
    </row>
    <row r="148" spans="1:20" ht="21.6" customHeight="1">
      <c r="B148" s="152" t="str">
        <f t="shared" si="11"/>
        <v>HNOS ROSSI</v>
      </c>
      <c r="C148" s="27"/>
      <c r="D148" s="38"/>
      <c r="E148" s="38"/>
      <c r="F148" s="416"/>
      <c r="G148" s="39"/>
      <c r="H148" s="419"/>
      <c r="I148" s="40"/>
      <c r="J148" s="40"/>
      <c r="K148" s="48"/>
      <c r="L148" s="272"/>
      <c r="M148" s="56"/>
      <c r="N148" s="56"/>
      <c r="O148" s="2"/>
      <c r="P148" s="50"/>
      <c r="Q148" s="50"/>
    </row>
    <row r="149" spans="1:20" ht="21.6" customHeight="1">
      <c r="B149" s="152" t="str">
        <f t="shared" si="11"/>
        <v>HNOS ROSSI</v>
      </c>
      <c r="C149" s="27"/>
      <c r="D149" s="38"/>
      <c r="E149" s="38"/>
      <c r="F149" s="416"/>
      <c r="G149" s="39"/>
      <c r="H149" s="419"/>
      <c r="I149" s="40"/>
      <c r="J149" s="40"/>
      <c r="K149" s="48"/>
      <c r="L149" s="272"/>
      <c r="M149" s="56"/>
      <c r="N149" s="56"/>
      <c r="O149" s="2"/>
      <c r="P149" s="50"/>
      <c r="Q149" s="50"/>
    </row>
    <row r="150" spans="1:20" s="138" customFormat="1" ht="28.9">
      <c r="A150" s="168" t="s">
        <v>218</v>
      </c>
      <c r="B150" s="156" t="str">
        <f t="shared" si="11"/>
        <v>HNOS ROSSI</v>
      </c>
      <c r="C150" s="171">
        <v>46247</v>
      </c>
      <c r="D150" s="130"/>
      <c r="E150" s="317"/>
      <c r="F150" s="465"/>
      <c r="G150" s="131"/>
      <c r="H150" s="465"/>
      <c r="I150" s="132"/>
      <c r="J150" s="132"/>
      <c r="K150" s="368"/>
      <c r="L150" s="369"/>
      <c r="M150" s="135"/>
      <c r="N150" s="135"/>
      <c r="O150" s="140"/>
      <c r="P150" s="370"/>
      <c r="Q150" s="370"/>
      <c r="T150" s="371"/>
    </row>
    <row r="151" spans="1:20" ht="21.6" customHeight="1">
      <c r="B151" s="152" t="str">
        <f t="shared" si="11"/>
        <v>HNOS ROSSI</v>
      </c>
      <c r="C151" s="27">
        <v>46252</v>
      </c>
      <c r="D151" s="272" t="s">
        <v>364</v>
      </c>
      <c r="E151" s="42" t="s">
        <v>443</v>
      </c>
      <c r="F151" s="416" t="s">
        <v>1006</v>
      </c>
      <c r="G151" s="42" t="s">
        <v>119</v>
      </c>
      <c r="H151" s="417" t="s">
        <v>624</v>
      </c>
      <c r="I151" s="40">
        <v>246660.85</v>
      </c>
      <c r="J151" s="40"/>
      <c r="K151" s="48" t="s">
        <v>629</v>
      </c>
      <c r="L151" s="42" t="s">
        <v>732</v>
      </c>
      <c r="M151" s="56"/>
      <c r="N151" s="56" t="s">
        <v>305</v>
      </c>
      <c r="O151" s="2"/>
      <c r="P151" s="50"/>
      <c r="Q151" s="50"/>
    </row>
    <row r="152" spans="1:20" ht="21.6" customHeight="1">
      <c r="B152" s="152" t="str">
        <f t="shared" si="11"/>
        <v>HNOS ROSSI</v>
      </c>
      <c r="C152" s="27">
        <v>46253</v>
      </c>
      <c r="D152" s="23" t="s">
        <v>1007</v>
      </c>
      <c r="E152" s="271" t="s">
        <v>824</v>
      </c>
      <c r="F152" s="85" t="s">
        <v>1008</v>
      </c>
      <c r="G152" s="42" t="s">
        <v>143</v>
      </c>
      <c r="H152" s="86" t="s">
        <v>344</v>
      </c>
      <c r="I152" s="40">
        <v>117890.27</v>
      </c>
      <c r="J152" s="40"/>
      <c r="K152" s="48" t="s">
        <v>208</v>
      </c>
      <c r="L152" s="161" t="s">
        <v>209</v>
      </c>
      <c r="M152" s="56"/>
      <c r="N152" s="56" t="s">
        <v>305</v>
      </c>
      <c r="O152" s="2"/>
      <c r="P152" s="50"/>
      <c r="Q152" s="50"/>
    </row>
    <row r="153" spans="1:20" ht="21.6" customHeight="1">
      <c r="B153" s="27" t="str">
        <f>+$E$3</f>
        <v>HNOS ROSSI</v>
      </c>
      <c r="C153" s="27">
        <v>46261</v>
      </c>
      <c r="D153" s="272" t="s">
        <v>364</v>
      </c>
      <c r="E153" s="42" t="s">
        <v>443</v>
      </c>
      <c r="F153" s="416" t="s">
        <v>754</v>
      </c>
      <c r="G153" s="42" t="s">
        <v>21</v>
      </c>
      <c r="H153" s="417" t="s">
        <v>321</v>
      </c>
      <c r="I153" s="40">
        <v>650000</v>
      </c>
      <c r="J153" s="40"/>
      <c r="K153" s="48" t="s">
        <v>629</v>
      </c>
      <c r="L153" s="161" t="s">
        <v>209</v>
      </c>
      <c r="M153" s="286" t="s">
        <v>732</v>
      </c>
      <c r="N153" s="56" t="s">
        <v>461</v>
      </c>
      <c r="O153" s="2"/>
      <c r="P153" s="50"/>
      <c r="Q153" s="50"/>
    </row>
    <row r="154" spans="1:20" ht="21.6" customHeight="1">
      <c r="B154" s="27" t="str">
        <f>+$E$3</f>
        <v>HNOS ROSSI</v>
      </c>
      <c r="C154" s="27">
        <v>46261</v>
      </c>
      <c r="D154" s="272" t="s">
        <v>364</v>
      </c>
      <c r="E154" s="42" t="s">
        <v>443</v>
      </c>
      <c r="F154" s="416" t="s">
        <v>1009</v>
      </c>
      <c r="G154" s="42" t="s">
        <v>137</v>
      </c>
      <c r="H154" s="417" t="s">
        <v>33</v>
      </c>
      <c r="I154" s="40">
        <v>785000</v>
      </c>
      <c r="J154" s="40"/>
      <c r="K154" s="48" t="s">
        <v>629</v>
      </c>
      <c r="L154" s="161" t="s">
        <v>209</v>
      </c>
      <c r="M154" s="286" t="s">
        <v>732</v>
      </c>
      <c r="N154" s="56" t="s">
        <v>353</v>
      </c>
      <c r="O154" s="2"/>
      <c r="P154" s="50"/>
      <c r="Q154" s="50"/>
    </row>
    <row r="155" spans="1:20" ht="21.6" customHeight="1">
      <c r="B155" s="27" t="str">
        <f>+$E$3</f>
        <v>HNOS ROSSI</v>
      </c>
      <c r="C155" s="27">
        <v>46261</v>
      </c>
      <c r="D155" s="272" t="s">
        <v>364</v>
      </c>
      <c r="E155" s="42" t="s">
        <v>443</v>
      </c>
      <c r="F155" s="416" t="s">
        <v>1010</v>
      </c>
      <c r="G155" s="42" t="s">
        <v>127</v>
      </c>
      <c r="H155" s="417" t="s">
        <v>128</v>
      </c>
      <c r="I155" s="40"/>
      <c r="J155" s="40"/>
      <c r="K155" s="48" t="s">
        <v>629</v>
      </c>
      <c r="L155" s="161" t="s">
        <v>209</v>
      </c>
      <c r="M155" s="286" t="s">
        <v>732</v>
      </c>
      <c r="N155" s="56" t="s">
        <v>353</v>
      </c>
      <c r="O155" s="2"/>
      <c r="P155" s="50"/>
      <c r="Q155" s="50"/>
    </row>
    <row r="156" spans="1:20" ht="21.6" customHeight="1">
      <c r="B156" s="27" t="str">
        <f>+$E$3</f>
        <v>HNOS ROSSI</v>
      </c>
      <c r="C156" s="27">
        <v>46261</v>
      </c>
      <c r="D156" s="41" t="s">
        <v>1011</v>
      </c>
      <c r="E156" s="271" t="s">
        <v>824</v>
      </c>
      <c r="F156" s="416" t="s">
        <v>751</v>
      </c>
      <c r="G156" s="42" t="s">
        <v>85</v>
      </c>
      <c r="H156" s="417" t="s">
        <v>33</v>
      </c>
      <c r="I156" s="40">
        <v>1275000</v>
      </c>
      <c r="J156" s="40"/>
      <c r="K156" s="48" t="s">
        <v>208</v>
      </c>
      <c r="L156" s="161" t="s">
        <v>209</v>
      </c>
      <c r="M156" s="56"/>
      <c r="N156" s="56" t="s">
        <v>305</v>
      </c>
      <c r="O156" s="2"/>
      <c r="P156" s="50"/>
      <c r="Q156" s="50"/>
    </row>
    <row r="157" spans="1:20" ht="21.6" customHeight="1">
      <c r="B157" s="27" t="str">
        <f>+$E$3</f>
        <v>HNOS ROSSI</v>
      </c>
      <c r="C157" s="27">
        <v>46261</v>
      </c>
      <c r="D157" s="41" t="s">
        <v>1012</v>
      </c>
      <c r="E157" s="271" t="s">
        <v>824</v>
      </c>
      <c r="F157" s="416" t="s">
        <v>753</v>
      </c>
      <c r="G157" s="42" t="s">
        <v>85</v>
      </c>
      <c r="H157" s="417" t="s">
        <v>33</v>
      </c>
      <c r="I157" s="40">
        <v>2104000</v>
      </c>
      <c r="J157" s="40"/>
      <c r="K157" s="48" t="s">
        <v>208</v>
      </c>
      <c r="L157" s="161" t="s">
        <v>209</v>
      </c>
      <c r="M157" s="56"/>
      <c r="N157" s="56" t="s">
        <v>305</v>
      </c>
      <c r="O157" s="2"/>
      <c r="P157" s="50"/>
      <c r="Q157" s="50"/>
    </row>
    <row r="158" spans="1:20" ht="21.6" customHeight="1">
      <c r="B158" s="152" t="str">
        <f t="shared" si="11"/>
        <v>HNOS ROSSI</v>
      </c>
      <c r="C158" s="27">
        <v>46262</v>
      </c>
      <c r="D158" s="272" t="s">
        <v>364</v>
      </c>
      <c r="E158" s="42" t="s">
        <v>443</v>
      </c>
      <c r="F158" s="416" t="s">
        <v>1013</v>
      </c>
      <c r="G158" s="42" t="s">
        <v>77</v>
      </c>
      <c r="H158" s="417" t="s">
        <v>52</v>
      </c>
      <c r="I158" s="40">
        <v>225000</v>
      </c>
      <c r="J158" s="40"/>
      <c r="K158" s="48" t="s">
        <v>629</v>
      </c>
      <c r="L158" s="161" t="s">
        <v>209</v>
      </c>
      <c r="M158" s="161" t="s">
        <v>209</v>
      </c>
      <c r="N158" s="56" t="s">
        <v>305</v>
      </c>
      <c r="O158" s="2"/>
      <c r="P158" s="50"/>
      <c r="Q158" s="50"/>
    </row>
    <row r="159" spans="1:20" ht="21.6" customHeight="1">
      <c r="B159" s="152" t="str">
        <f t="shared" si="11"/>
        <v>HNOS ROSSI</v>
      </c>
      <c r="C159" s="27">
        <v>46262</v>
      </c>
      <c r="D159" s="272" t="s">
        <v>364</v>
      </c>
      <c r="E159" s="42" t="s">
        <v>443</v>
      </c>
      <c r="F159" s="416" t="s">
        <v>1014</v>
      </c>
      <c r="G159" s="42" t="s">
        <v>77</v>
      </c>
      <c r="H159" s="417" t="s">
        <v>52</v>
      </c>
      <c r="I159" s="40">
        <v>112500</v>
      </c>
      <c r="J159" s="40"/>
      <c r="K159" s="48" t="s">
        <v>629</v>
      </c>
      <c r="L159" s="161" t="s">
        <v>209</v>
      </c>
      <c r="M159" s="161" t="s">
        <v>209</v>
      </c>
      <c r="N159" s="56" t="s">
        <v>305</v>
      </c>
      <c r="O159" s="2"/>
      <c r="P159" s="50"/>
      <c r="Q159" s="50"/>
    </row>
    <row r="160" spans="1:20" ht="21.6" customHeight="1">
      <c r="B160" s="152" t="str">
        <f t="shared" si="11"/>
        <v>HNOS ROSSI</v>
      </c>
      <c r="C160" s="27">
        <v>46262</v>
      </c>
      <c r="D160" s="41" t="s">
        <v>755</v>
      </c>
      <c r="E160" s="271" t="s">
        <v>824</v>
      </c>
      <c r="F160" s="416" t="s">
        <v>1015</v>
      </c>
      <c r="G160" s="42" t="s">
        <v>85</v>
      </c>
      <c r="H160" s="417" t="s">
        <v>33</v>
      </c>
      <c r="I160" s="40">
        <v>2104000</v>
      </c>
      <c r="J160" s="40"/>
      <c r="K160" s="48" t="s">
        <v>208</v>
      </c>
      <c r="L160" s="345" t="s">
        <v>209</v>
      </c>
      <c r="M160" s="56"/>
      <c r="N160" s="56" t="s">
        <v>305</v>
      </c>
      <c r="O160" s="2"/>
      <c r="P160" s="50"/>
      <c r="Q160" s="50"/>
    </row>
    <row r="161" spans="1:20" s="138" customFormat="1" ht="28.9">
      <c r="A161" s="168" t="s">
        <v>218</v>
      </c>
      <c r="B161" s="156" t="str">
        <f t="shared" si="11"/>
        <v>HNOS ROSSI</v>
      </c>
      <c r="C161" s="171">
        <v>46261</v>
      </c>
      <c r="D161" s="130"/>
      <c r="E161" s="317"/>
      <c r="F161" s="465"/>
      <c r="G161" s="131"/>
      <c r="H161" s="465"/>
      <c r="I161" s="132"/>
      <c r="J161" s="132"/>
      <c r="K161" s="368"/>
      <c r="L161" s="369"/>
      <c r="M161" s="135"/>
      <c r="N161" s="135"/>
      <c r="O161" s="140"/>
      <c r="P161" s="370"/>
      <c r="Q161" s="370"/>
      <c r="T161" s="371"/>
    </row>
    <row r="162" spans="1:20" ht="21.6" customHeight="1">
      <c r="B162" s="152" t="str">
        <f t="shared" ref="B162:B181" si="12">+$E$3</f>
        <v>HNOS ROSSI</v>
      </c>
      <c r="C162" s="27">
        <v>46268</v>
      </c>
      <c r="D162" s="41" t="s">
        <v>1011</v>
      </c>
      <c r="E162" s="271" t="s">
        <v>824</v>
      </c>
      <c r="F162" s="416" t="s">
        <v>1016</v>
      </c>
      <c r="G162" s="42" t="s">
        <v>135</v>
      </c>
      <c r="H162" s="417" t="s">
        <v>866</v>
      </c>
      <c r="I162" s="40">
        <v>3191751.58</v>
      </c>
      <c r="J162" s="40"/>
      <c r="K162" s="48" t="s">
        <v>208</v>
      </c>
      <c r="L162" s="161" t="s">
        <v>732</v>
      </c>
      <c r="M162" s="56"/>
      <c r="N162" s="56" t="s">
        <v>305</v>
      </c>
      <c r="O162" s="2"/>
      <c r="P162" s="50"/>
      <c r="Q162" s="50"/>
    </row>
    <row r="163" spans="1:20" ht="21.6" customHeight="1">
      <c r="B163" s="152" t="str">
        <f t="shared" si="12"/>
        <v>HNOS ROSSI</v>
      </c>
      <c r="C163" s="27">
        <v>46234</v>
      </c>
      <c r="D163" s="41" t="s">
        <v>1017</v>
      </c>
      <c r="E163" s="271" t="s">
        <v>824</v>
      </c>
      <c r="F163" s="85" t="s">
        <v>922</v>
      </c>
      <c r="G163" s="42" t="s">
        <v>64</v>
      </c>
      <c r="H163" s="417" t="s">
        <v>624</v>
      </c>
      <c r="I163" s="40">
        <v>1273620</v>
      </c>
      <c r="J163" s="40"/>
      <c r="K163" s="48" t="s">
        <v>208</v>
      </c>
      <c r="L163" s="161" t="s">
        <v>209</v>
      </c>
      <c r="M163" s="56"/>
      <c r="N163" s="56" t="s">
        <v>305</v>
      </c>
      <c r="O163" s="2"/>
      <c r="P163" s="50"/>
      <c r="Q163" s="50"/>
    </row>
    <row r="164" spans="1:20" ht="21.6" customHeight="1">
      <c r="B164" s="152" t="str">
        <f t="shared" si="12"/>
        <v>HNOS ROSSI</v>
      </c>
      <c r="C164" s="27">
        <v>46248</v>
      </c>
      <c r="D164" s="41" t="s">
        <v>1018</v>
      </c>
      <c r="E164" s="271" t="s">
        <v>824</v>
      </c>
      <c r="F164" s="85" t="s">
        <v>1003</v>
      </c>
      <c r="G164" s="42" t="s">
        <v>64</v>
      </c>
      <c r="H164" s="417" t="s">
        <v>624</v>
      </c>
      <c r="I164" s="40">
        <v>1273621</v>
      </c>
      <c r="J164" s="40"/>
      <c r="K164" s="48" t="s">
        <v>208</v>
      </c>
      <c r="L164" s="161" t="s">
        <v>209</v>
      </c>
      <c r="M164" s="56"/>
      <c r="N164" s="56" t="s">
        <v>305</v>
      </c>
      <c r="O164" s="2"/>
      <c r="P164" s="50"/>
      <c r="Q164" s="50"/>
    </row>
    <row r="165" spans="1:20" ht="21.6" customHeight="1">
      <c r="B165" s="152" t="str">
        <f t="shared" si="12"/>
        <v>HNOS ROSSI</v>
      </c>
      <c r="C165" s="27">
        <v>46252</v>
      </c>
      <c r="D165" s="41" t="s">
        <v>1019</v>
      </c>
      <c r="E165" s="271" t="s">
        <v>824</v>
      </c>
      <c r="F165" s="85" t="s">
        <v>958</v>
      </c>
      <c r="G165" s="42" t="s">
        <v>64</v>
      </c>
      <c r="H165" s="417" t="s">
        <v>624</v>
      </c>
      <c r="I165" s="40">
        <v>453072.05</v>
      </c>
      <c r="J165" s="40"/>
      <c r="K165" s="48" t="s">
        <v>208</v>
      </c>
      <c r="L165" s="345" t="s">
        <v>209</v>
      </c>
      <c r="M165" s="56"/>
      <c r="N165" s="56" t="s">
        <v>305</v>
      </c>
      <c r="O165" s="2"/>
      <c r="P165" s="50"/>
      <c r="Q165" s="50"/>
    </row>
    <row r="166" spans="1:20" ht="21.6" customHeight="1">
      <c r="B166" s="152" t="str">
        <f t="shared" si="12"/>
        <v>HNOS ROSSI</v>
      </c>
      <c r="C166" s="27">
        <v>46262</v>
      </c>
      <c r="D166" s="41" t="s">
        <v>1020</v>
      </c>
      <c r="E166" s="271" t="s">
        <v>824</v>
      </c>
      <c r="F166" s="85" t="s">
        <v>894</v>
      </c>
      <c r="G166" s="42" t="s">
        <v>64</v>
      </c>
      <c r="H166" s="417" t="s">
        <v>624</v>
      </c>
      <c r="I166" s="40">
        <v>911965.1</v>
      </c>
      <c r="J166" s="40"/>
      <c r="K166" s="48" t="s">
        <v>208</v>
      </c>
      <c r="L166" s="345" t="s">
        <v>209</v>
      </c>
      <c r="M166" s="56"/>
      <c r="N166" s="56" t="s">
        <v>305</v>
      </c>
      <c r="O166" s="2"/>
      <c r="P166" s="50"/>
      <c r="Q166" s="50"/>
    </row>
    <row r="167" spans="1:20" ht="21.6" customHeight="1">
      <c r="B167" s="152" t="str">
        <f t="shared" si="12"/>
        <v>HNOS ROSSI</v>
      </c>
      <c r="C167" s="27">
        <v>46264</v>
      </c>
      <c r="D167" s="41" t="s">
        <v>1021</v>
      </c>
      <c r="E167" s="271" t="s">
        <v>824</v>
      </c>
      <c r="F167" s="85" t="s">
        <v>922</v>
      </c>
      <c r="G167" s="42" t="s">
        <v>64</v>
      </c>
      <c r="H167" s="417" t="s">
        <v>624</v>
      </c>
      <c r="I167" s="40">
        <v>997413.44</v>
      </c>
      <c r="J167" s="40"/>
      <c r="K167" s="48" t="s">
        <v>208</v>
      </c>
      <c r="L167" s="345" t="s">
        <v>209</v>
      </c>
      <c r="M167" s="56"/>
      <c r="N167" s="56" t="s">
        <v>305</v>
      </c>
      <c r="O167" s="2"/>
      <c r="P167" s="50"/>
      <c r="Q167" s="50"/>
    </row>
    <row r="168" spans="1:20" ht="21.6" customHeight="1">
      <c r="B168" s="152" t="str">
        <f t="shared" si="12"/>
        <v>HNOS ROSSI</v>
      </c>
      <c r="C168" s="27">
        <v>46268</v>
      </c>
      <c r="D168" s="41" t="s">
        <v>1022</v>
      </c>
      <c r="E168" s="271" t="s">
        <v>824</v>
      </c>
      <c r="F168" s="85" t="s">
        <v>1023</v>
      </c>
      <c r="G168" s="42" t="s">
        <v>17</v>
      </c>
      <c r="H168" s="417" t="s">
        <v>270</v>
      </c>
      <c r="I168" s="40">
        <v>1156660</v>
      </c>
      <c r="J168" s="40"/>
      <c r="K168" s="48" t="s">
        <v>208</v>
      </c>
      <c r="L168" s="345" t="s">
        <v>209</v>
      </c>
      <c r="M168" s="56"/>
      <c r="N168" s="56" t="s">
        <v>305</v>
      </c>
      <c r="O168" s="2"/>
      <c r="P168" s="50"/>
      <c r="Q168" s="50"/>
    </row>
    <row r="169" spans="1:20" ht="21.6" customHeight="1">
      <c r="B169" s="27" t="str">
        <f>+$E$3</f>
        <v>HNOS ROSSI</v>
      </c>
      <c r="C169" s="27">
        <v>46274</v>
      </c>
      <c r="D169" s="272" t="s">
        <v>364</v>
      </c>
      <c r="E169" s="42" t="s">
        <v>443</v>
      </c>
      <c r="F169" s="416" t="s">
        <v>1024</v>
      </c>
      <c r="G169" s="42" t="s">
        <v>93</v>
      </c>
      <c r="H169" s="417" t="s">
        <v>1025</v>
      </c>
      <c r="I169" s="40">
        <v>1630000</v>
      </c>
      <c r="J169" s="40"/>
      <c r="K169" s="48" t="s">
        <v>629</v>
      </c>
      <c r="L169" s="161" t="s">
        <v>732</v>
      </c>
      <c r="M169" s="286" t="s">
        <v>732</v>
      </c>
      <c r="N169" s="56" t="s">
        <v>305</v>
      </c>
      <c r="O169" s="2"/>
      <c r="P169" s="50"/>
      <c r="Q169" s="50"/>
    </row>
    <row r="170" spans="1:20" s="311" customFormat="1" ht="26.25" customHeight="1">
      <c r="A170" s="367" t="s">
        <v>257</v>
      </c>
      <c r="B170" s="361" t="str">
        <f t="shared" si="11"/>
        <v>HNOS ROSSI</v>
      </c>
      <c r="C170" s="302">
        <v>46275</v>
      </c>
      <c r="D170" s="303"/>
      <c r="E170" s="362"/>
      <c r="F170" s="467"/>
      <c r="G170" s="304"/>
      <c r="H170" s="467"/>
      <c r="I170" s="305"/>
      <c r="J170" s="305"/>
      <c r="K170" s="363"/>
      <c r="L170" s="364"/>
      <c r="M170" s="308"/>
      <c r="N170" s="308"/>
      <c r="O170" s="365"/>
      <c r="P170" s="366"/>
      <c r="Q170" s="366"/>
      <c r="T170" s="360"/>
    </row>
    <row r="171" spans="1:20" ht="21.6" customHeight="1">
      <c r="B171" s="152" t="str">
        <f t="shared" si="12"/>
        <v>HNOS ROSSI</v>
      </c>
      <c r="C171" s="27">
        <v>46281</v>
      </c>
      <c r="D171" s="272" t="s">
        <v>364</v>
      </c>
      <c r="E171" s="42" t="s">
        <v>443</v>
      </c>
      <c r="F171" s="416" t="s">
        <v>1026</v>
      </c>
      <c r="G171" s="42" t="s">
        <v>39</v>
      </c>
      <c r="H171" s="417" t="s">
        <v>1027</v>
      </c>
      <c r="I171" s="40">
        <v>280000</v>
      </c>
      <c r="J171" s="40"/>
      <c r="K171" s="48" t="s">
        <v>629</v>
      </c>
      <c r="L171" s="345" t="s">
        <v>209</v>
      </c>
      <c r="M171" s="345" t="s">
        <v>209</v>
      </c>
      <c r="N171" s="56"/>
      <c r="O171" s="2"/>
      <c r="P171" s="50"/>
      <c r="Q171" s="50"/>
    </row>
    <row r="172" spans="1:20" ht="21.6" customHeight="1">
      <c r="B172" s="152" t="str">
        <f t="shared" si="12"/>
        <v>HNOS ROSSI</v>
      </c>
      <c r="C172" s="27">
        <v>46283</v>
      </c>
      <c r="D172" s="41" t="s">
        <v>1028</v>
      </c>
      <c r="E172" s="271" t="s">
        <v>824</v>
      </c>
      <c r="F172" s="416" t="s">
        <v>1029</v>
      </c>
      <c r="G172" s="42" t="s">
        <v>86</v>
      </c>
      <c r="H172" s="417" t="s">
        <v>1030</v>
      </c>
      <c r="I172" s="40">
        <v>3229306.9</v>
      </c>
      <c r="J172" s="40"/>
      <c r="K172" s="48" t="s">
        <v>208</v>
      </c>
      <c r="L172" s="345" t="s">
        <v>209</v>
      </c>
      <c r="M172" s="286"/>
      <c r="N172" s="56"/>
      <c r="O172" s="2"/>
      <c r="P172" s="50"/>
      <c r="Q172" s="50"/>
    </row>
    <row r="173" spans="1:20" ht="21.6" customHeight="1">
      <c r="B173" s="152" t="str">
        <f t="shared" si="12"/>
        <v>HNOS ROSSI</v>
      </c>
      <c r="C173" s="27">
        <v>46283</v>
      </c>
      <c r="D173" s="41" t="s">
        <v>1031</v>
      </c>
      <c r="E173" s="42" t="s">
        <v>824</v>
      </c>
      <c r="F173" s="416" t="s">
        <v>1030</v>
      </c>
      <c r="G173" s="42" t="s">
        <v>86</v>
      </c>
      <c r="H173" s="417" t="s">
        <v>1030</v>
      </c>
      <c r="I173" s="40">
        <v>6132261.9199999999</v>
      </c>
      <c r="J173" s="40"/>
      <c r="K173" s="48" t="s">
        <v>208</v>
      </c>
      <c r="L173" s="345" t="s">
        <v>209</v>
      </c>
      <c r="M173" s="56"/>
      <c r="N173" s="56"/>
      <c r="O173" s="2"/>
      <c r="P173" s="50"/>
      <c r="Q173" s="50"/>
    </row>
    <row r="174" spans="1:20" ht="21.6" customHeight="1">
      <c r="B174" s="152" t="str">
        <f t="shared" si="12"/>
        <v>HNOS ROSSI</v>
      </c>
      <c r="C174" s="27">
        <v>46283</v>
      </c>
      <c r="D174" s="41" t="s">
        <v>1032</v>
      </c>
      <c r="E174" s="42" t="s">
        <v>824</v>
      </c>
      <c r="F174" s="416" t="s">
        <v>1033</v>
      </c>
      <c r="G174" s="42" t="s">
        <v>86</v>
      </c>
      <c r="H174" s="417" t="s">
        <v>1030</v>
      </c>
      <c r="I174" s="40">
        <v>15328539.49</v>
      </c>
      <c r="J174" s="40"/>
      <c r="K174" s="48" t="s">
        <v>208</v>
      </c>
      <c r="L174" s="345" t="s">
        <v>209</v>
      </c>
      <c r="M174" s="56"/>
      <c r="N174" s="56"/>
      <c r="O174" s="2"/>
      <c r="P174" s="50"/>
      <c r="Q174" s="50"/>
    </row>
    <row r="175" spans="1:20" ht="21.6" customHeight="1">
      <c r="B175" s="152" t="str">
        <f t="shared" si="12"/>
        <v>HNOS ROSSI</v>
      </c>
      <c r="C175" s="27">
        <v>46277</v>
      </c>
      <c r="D175" s="41" t="s">
        <v>1034</v>
      </c>
      <c r="E175" s="42" t="s">
        <v>824</v>
      </c>
      <c r="F175" s="416" t="s">
        <v>1035</v>
      </c>
      <c r="G175" s="42" t="s">
        <v>1036</v>
      </c>
      <c r="H175" s="417" t="s">
        <v>8</v>
      </c>
      <c r="I175" s="40">
        <v>722520</v>
      </c>
      <c r="J175" s="40"/>
      <c r="K175" s="48" t="s">
        <v>208</v>
      </c>
      <c r="L175" s="345" t="s">
        <v>209</v>
      </c>
      <c r="M175" s="56"/>
      <c r="N175" s="56"/>
      <c r="O175" s="2"/>
      <c r="P175" s="50"/>
      <c r="Q175" s="50"/>
    </row>
    <row r="176" spans="1:20" ht="21.6" customHeight="1">
      <c r="B176" s="152" t="str">
        <f t="shared" si="12"/>
        <v>HNOS ROSSI</v>
      </c>
      <c r="C176" s="27">
        <v>46279</v>
      </c>
      <c r="D176" s="41" t="s">
        <v>1037</v>
      </c>
      <c r="E176" s="42" t="s">
        <v>824</v>
      </c>
      <c r="F176" s="416" t="s">
        <v>1038</v>
      </c>
      <c r="G176" s="42" t="s">
        <v>143</v>
      </c>
      <c r="H176" s="417" t="s">
        <v>55</v>
      </c>
      <c r="I176" s="40">
        <v>551765.73</v>
      </c>
      <c r="J176" s="40"/>
      <c r="K176" s="48"/>
      <c r="L176" s="161" t="s">
        <v>732</v>
      </c>
      <c r="M176" s="56"/>
      <c r="N176" s="56"/>
      <c r="O176" s="2"/>
      <c r="P176" s="50"/>
      <c r="Q176" s="50"/>
    </row>
    <row r="177" spans="2:17" ht="21.6" customHeight="1">
      <c r="B177" s="152" t="str">
        <f t="shared" si="12"/>
        <v>HNOS ROSSI</v>
      </c>
      <c r="C177" s="27">
        <v>46280</v>
      </c>
      <c r="D177" s="23" t="s">
        <v>1039</v>
      </c>
      <c r="E177" s="42" t="s">
        <v>824</v>
      </c>
      <c r="F177" s="416" t="s">
        <v>1040</v>
      </c>
      <c r="G177" s="42" t="s">
        <v>17</v>
      </c>
      <c r="H177" s="417" t="s">
        <v>866</v>
      </c>
      <c r="I177" s="40">
        <v>1169938.99</v>
      </c>
      <c r="J177" s="40"/>
      <c r="K177" s="48" t="s">
        <v>208</v>
      </c>
      <c r="L177" s="345" t="s">
        <v>209</v>
      </c>
      <c r="M177" s="56"/>
      <c r="N177" s="56"/>
      <c r="O177" s="2"/>
      <c r="P177" s="50"/>
      <c r="Q177" s="50"/>
    </row>
    <row r="178" spans="2:17" ht="21.6" customHeight="1">
      <c r="B178" s="152" t="str">
        <f t="shared" si="12"/>
        <v>HNOS ROSSI</v>
      </c>
      <c r="C178" s="475">
        <v>46286</v>
      </c>
      <c r="D178" s="272" t="s">
        <v>364</v>
      </c>
      <c r="E178" s="42" t="s">
        <v>824</v>
      </c>
      <c r="F178" s="416" t="s">
        <v>780</v>
      </c>
      <c r="G178" s="272" t="s">
        <v>143</v>
      </c>
      <c r="H178" s="417" t="s">
        <v>225</v>
      </c>
      <c r="I178" s="327">
        <v>-1220173.25</v>
      </c>
      <c r="J178" s="40"/>
      <c r="K178" s="48"/>
      <c r="L178" s="161" t="s">
        <v>732</v>
      </c>
      <c r="M178" s="56"/>
      <c r="N178" s="56"/>
      <c r="O178" s="2"/>
      <c r="P178" s="50"/>
      <c r="Q178" s="50"/>
    </row>
    <row r="179" spans="2:17" ht="21.6" customHeight="1">
      <c r="B179" s="152" t="str">
        <f t="shared" si="12"/>
        <v>HNOS ROSSI</v>
      </c>
      <c r="C179" s="27">
        <v>46288</v>
      </c>
      <c r="D179" s="42" t="s">
        <v>1041</v>
      </c>
      <c r="E179" s="42" t="s">
        <v>824</v>
      </c>
      <c r="F179" s="511" t="s">
        <v>1042</v>
      </c>
      <c r="G179" s="42" t="s">
        <v>93</v>
      </c>
      <c r="H179" s="417" t="s">
        <v>1043</v>
      </c>
      <c r="I179" s="40">
        <v>1700000</v>
      </c>
      <c r="J179" s="40"/>
      <c r="K179" s="48"/>
      <c r="L179" s="161" t="s">
        <v>732</v>
      </c>
      <c r="M179" s="56"/>
      <c r="N179" s="56"/>
      <c r="O179" s="2"/>
      <c r="P179" s="50"/>
      <c r="Q179" s="50"/>
    </row>
    <row r="180" spans="2:17" ht="21.6" customHeight="1">
      <c r="B180" s="27" t="str">
        <f>+$E$3</f>
        <v>HNOS ROSSI</v>
      </c>
      <c r="C180" s="475">
        <v>46287</v>
      </c>
      <c r="D180" s="272" t="s">
        <v>364</v>
      </c>
      <c r="E180" s="42" t="s">
        <v>443</v>
      </c>
      <c r="F180" s="416" t="s">
        <v>1044</v>
      </c>
      <c r="G180" s="42" t="s">
        <v>76</v>
      </c>
      <c r="H180" s="417" t="s">
        <v>52</v>
      </c>
      <c r="I180" s="40">
        <v>180000</v>
      </c>
      <c r="J180" s="40"/>
      <c r="K180" s="48" t="s">
        <v>629</v>
      </c>
      <c r="L180" s="345" t="s">
        <v>732</v>
      </c>
      <c r="M180" s="56"/>
      <c r="N180" s="418"/>
      <c r="O180" s="2"/>
      <c r="P180" s="50"/>
      <c r="Q180" s="50"/>
    </row>
    <row r="181" spans="2:17" ht="21.6" customHeight="1">
      <c r="B181" s="152" t="str">
        <f t="shared" si="12"/>
        <v>HNOS ROSSI</v>
      </c>
      <c r="C181" s="475">
        <v>46282</v>
      </c>
      <c r="D181" s="272" t="s">
        <v>364</v>
      </c>
      <c r="E181" s="42" t="s">
        <v>443</v>
      </c>
      <c r="F181" s="416" t="s">
        <v>784</v>
      </c>
      <c r="G181" s="42" t="s">
        <v>76</v>
      </c>
      <c r="H181" s="417" t="s">
        <v>52</v>
      </c>
      <c r="I181" s="40">
        <v>80000</v>
      </c>
      <c r="J181" s="40"/>
      <c r="K181" s="48" t="s">
        <v>629</v>
      </c>
      <c r="L181" s="345" t="s">
        <v>732</v>
      </c>
      <c r="M181" s="56"/>
      <c r="N181" s="56"/>
      <c r="O181" s="2"/>
      <c r="P181" s="50"/>
      <c r="Q181" s="50"/>
    </row>
    <row r="182" spans="2:17" ht="21.6" customHeight="1">
      <c r="B182" s="27" t="str">
        <f>+$E$3</f>
        <v>HNOS ROSSI</v>
      </c>
      <c r="C182" s="27"/>
      <c r="D182" s="38"/>
      <c r="E182" s="38"/>
      <c r="F182" s="416"/>
      <c r="G182" s="39"/>
      <c r="H182" s="419"/>
      <c r="I182" s="40"/>
      <c r="J182" s="40"/>
      <c r="K182" s="48"/>
      <c r="L182" s="42"/>
      <c r="M182" s="56"/>
      <c r="N182" s="418"/>
      <c r="O182" s="2"/>
      <c r="P182" s="50"/>
      <c r="Q182" s="50"/>
    </row>
    <row r="183" spans="2:17" ht="21.6" customHeight="1">
      <c r="B183" s="152" t="str">
        <f t="shared" si="11"/>
        <v>HNOS ROSSI</v>
      </c>
      <c r="C183" s="27"/>
      <c r="D183" s="38"/>
      <c r="E183" s="38"/>
      <c r="F183" s="416"/>
      <c r="G183" s="39"/>
      <c r="H183" s="419"/>
      <c r="I183" s="40"/>
      <c r="J183" s="40"/>
      <c r="K183" s="48"/>
      <c r="L183" s="272"/>
      <c r="M183" s="56"/>
      <c r="N183" s="56"/>
      <c r="O183" s="2"/>
      <c r="P183" s="50"/>
      <c r="Q183" s="50"/>
    </row>
    <row r="184" spans="2:17" ht="20.100000000000001" customHeight="1">
      <c r="B184" s="152" t="str">
        <f t="shared" si="0"/>
        <v>HNOS ROSSI</v>
      </c>
      <c r="C184" s="27"/>
      <c r="D184" s="469"/>
      <c r="E184" s="38"/>
      <c r="F184" s="419"/>
      <c r="G184" s="53"/>
      <c r="H184" s="469"/>
      <c r="I184" s="4"/>
      <c r="J184" s="4"/>
      <c r="K184" s="4"/>
      <c r="L184" s="14"/>
      <c r="M184" s="56"/>
      <c r="N184" s="56"/>
      <c r="O184" s="2"/>
      <c r="P184" s="50"/>
      <c r="Q184" s="50"/>
    </row>
    <row r="185" spans="2:17" ht="20.100000000000001" customHeight="1" thickBot="1">
      <c r="B185" s="6"/>
      <c r="G185" s="15"/>
      <c r="H185" s="30"/>
      <c r="I185" s="30"/>
      <c r="M185" s="14"/>
    </row>
    <row r="186" spans="2:17" ht="19.350000000000001" customHeight="1" thickBot="1">
      <c r="B186" s="6"/>
      <c r="H186" s="5" t="s">
        <v>258</v>
      </c>
      <c r="I186" s="157">
        <f>SUM(I10:I184)</f>
        <v>277213447.96000004</v>
      </c>
    </row>
    <row r="187" spans="2:17" ht="13.35" customHeight="1">
      <c r="B187" s="6"/>
      <c r="G187" s="15"/>
      <c r="H187" s="30"/>
      <c r="I187" s="30"/>
    </row>
    <row r="188" spans="2:17" ht="14.45">
      <c r="B188" s="6"/>
      <c r="G188" s="15"/>
      <c r="H188" s="30"/>
      <c r="I188" s="30"/>
    </row>
    <row r="189" spans="2:17" ht="14.45">
      <c r="B189" s="6"/>
      <c r="G189" s="15"/>
      <c r="H189" s="30"/>
      <c r="I189" s="30"/>
    </row>
    <row r="190" spans="2:17" ht="14.45">
      <c r="B190" s="6"/>
      <c r="H190" s="20"/>
      <c r="I190" s="20"/>
    </row>
    <row r="191" spans="2:17" ht="14.45">
      <c r="B191" s="6"/>
      <c r="H191" s="20"/>
      <c r="I191" s="20"/>
    </row>
    <row r="192" spans="2:17" ht="14.45">
      <c r="B192" s="6"/>
      <c r="H192" s="20"/>
      <c r="I192" s="20"/>
    </row>
    <row r="193" spans="2:9" ht="14.45">
      <c r="B193" s="6"/>
      <c r="H193" s="20"/>
      <c r="I193" s="20"/>
    </row>
    <row r="194" spans="2:9" ht="14.45">
      <c r="B194" s="6"/>
      <c r="H194" s="20"/>
      <c r="I194" s="20"/>
    </row>
    <row r="195" spans="2:9" ht="14.45">
      <c r="B195" s="6"/>
      <c r="H195" s="20"/>
      <c r="I195" s="20"/>
    </row>
    <row r="196" spans="2:9" ht="14.45">
      <c r="B196" s="6"/>
      <c r="H196" s="20"/>
      <c r="I196" s="20"/>
    </row>
    <row r="197" spans="2:9" ht="14.45">
      <c r="B197" s="6"/>
      <c r="H197" s="20"/>
      <c r="I197" s="20"/>
    </row>
    <row r="198" spans="2:9" ht="14.45">
      <c r="B198" s="6"/>
      <c r="H198" s="20"/>
      <c r="I198" s="20"/>
    </row>
    <row r="199" spans="2:9" ht="14.45">
      <c r="B199" s="6"/>
      <c r="H199" s="20"/>
      <c r="I199" s="20"/>
    </row>
    <row r="200" spans="2:9" ht="14.45">
      <c r="B200" s="6"/>
      <c r="H200" s="20"/>
      <c r="I200" s="20"/>
    </row>
    <row r="201" spans="2:9" ht="14.45">
      <c r="B201" s="6"/>
      <c r="H201" s="20"/>
      <c r="I201" s="20"/>
    </row>
    <row r="202" spans="2:9" ht="14.45">
      <c r="B202" s="6"/>
      <c r="H202" s="20"/>
      <c r="I202" s="20"/>
    </row>
    <row r="203" spans="2:9" ht="14.45">
      <c r="B203" s="6"/>
      <c r="H203" s="20"/>
      <c r="I203" s="20"/>
    </row>
    <row r="204" spans="2:9" ht="14.45">
      <c r="B204" s="6"/>
      <c r="H204" s="20"/>
      <c r="I204" s="20"/>
    </row>
    <row r="205" spans="2:9" ht="14.45">
      <c r="B205" s="6"/>
      <c r="H205" s="20"/>
      <c r="I205" s="20"/>
    </row>
    <row r="206" spans="2:9" ht="14.45">
      <c r="B206" s="6"/>
      <c r="H206" s="20"/>
      <c r="I206" s="20"/>
    </row>
    <row r="207" spans="2:9" ht="14.45">
      <c r="B207" s="6"/>
      <c r="H207" s="20"/>
      <c r="I207" s="20"/>
    </row>
    <row r="208" spans="2:9" ht="14.45">
      <c r="B208" s="6"/>
      <c r="H208" s="20"/>
      <c r="I208" s="20"/>
    </row>
    <row r="209" spans="2:9" ht="14.45">
      <c r="B209" s="6"/>
      <c r="H209" s="20"/>
      <c r="I209" s="20"/>
    </row>
    <row r="210" spans="2:9" ht="14.45">
      <c r="B210" s="6"/>
      <c r="H210" s="20"/>
      <c r="I210" s="20"/>
    </row>
    <row r="211" spans="2:9" ht="14.45">
      <c r="B211" s="6"/>
      <c r="H211" s="20"/>
      <c r="I211" s="20"/>
    </row>
    <row r="212" spans="2:9" ht="14.45">
      <c r="B212" s="6"/>
      <c r="H212" s="20"/>
      <c r="I212" s="20"/>
    </row>
    <row r="213" spans="2:9" ht="14.45">
      <c r="B213" s="6"/>
      <c r="H213" s="20"/>
      <c r="I213" s="20"/>
    </row>
    <row r="214" spans="2:9" ht="14.45">
      <c r="B214" s="6"/>
      <c r="H214" s="20"/>
      <c r="I214" s="20"/>
    </row>
    <row r="215" spans="2:9" ht="14.45">
      <c r="B215" s="6"/>
      <c r="H215" s="20"/>
      <c r="I215" s="20"/>
    </row>
    <row r="216" spans="2:9" ht="14.45">
      <c r="B216" s="6"/>
      <c r="H216" s="20"/>
      <c r="I216" s="20"/>
    </row>
    <row r="217" spans="2:9" ht="14.45">
      <c r="B217" s="6"/>
      <c r="H217" s="20"/>
      <c r="I217" s="20"/>
    </row>
    <row r="218" spans="2:9" ht="14.45">
      <c r="B218" s="6"/>
      <c r="H218" s="20"/>
      <c r="I218" s="20"/>
    </row>
    <row r="219" spans="2:9" ht="14.45">
      <c r="B219" s="6"/>
      <c r="H219" s="20"/>
      <c r="I219" s="20"/>
    </row>
    <row r="220" spans="2:9" ht="14.45">
      <c r="B220" s="6"/>
      <c r="H220" s="20"/>
      <c r="I220" s="20"/>
    </row>
    <row r="221" spans="2:9" ht="14.45">
      <c r="B221" s="6"/>
      <c r="H221" s="20"/>
      <c r="I221" s="20"/>
    </row>
    <row r="222" spans="2:9" ht="14.45">
      <c r="B222" s="6"/>
      <c r="H222" s="20"/>
      <c r="I222" s="20"/>
    </row>
    <row r="223" spans="2:9" ht="14.45">
      <c r="B223" s="6"/>
      <c r="H223" s="20"/>
      <c r="I223" s="20"/>
    </row>
    <row r="224" spans="2:9" ht="14.45">
      <c r="B224" s="6"/>
      <c r="H224" s="20"/>
      <c r="I224" s="20"/>
    </row>
    <row r="225" spans="2:9" ht="14.45">
      <c r="B225" s="6"/>
      <c r="H225" s="20"/>
      <c r="I225" s="20"/>
    </row>
    <row r="226" spans="2:9" ht="14.45">
      <c r="B226" s="6"/>
      <c r="H226" s="20"/>
      <c r="I226" s="20"/>
    </row>
    <row r="227" spans="2:9" ht="14.45">
      <c r="B227" s="6"/>
      <c r="H227" s="20"/>
      <c r="I227" s="20"/>
    </row>
  </sheetData>
  <mergeCells count="5">
    <mergeCell ref="D2:H2"/>
    <mergeCell ref="F3:G3"/>
    <mergeCell ref="F4:G4"/>
    <mergeCell ref="F5:G5"/>
    <mergeCell ref="F6:G6"/>
  </mergeCells>
  <phoneticPr fontId="13" type="noConversion"/>
  <conditionalFormatting sqref="L65 L123:O123 M124 O124 M125:O133 O134:O135 L136:O136 M137:O137 O138:O145 L146:O150 O151:O160 L161:O161 O162:O169 L170:O170 O171:O183 L184:O184">
    <cfRule type="cellIs" dxfId="961" priority="147" operator="equal">
      <formula>"Cuenta Corriente"</formula>
    </cfRule>
    <cfRule type="cellIs" dxfId="960" priority="148" operator="equal">
      <formula>"No Pagado"</formula>
    </cfRule>
  </conditionalFormatting>
  <conditionalFormatting sqref="L71:L75">
    <cfRule type="cellIs" dxfId="959" priority="183" operator="equal">
      <formula>"Cuenta Corriente"</formula>
    </cfRule>
    <cfRule type="cellIs" dxfId="958" priority="184" operator="equal">
      <formula>"No Pagado"</formula>
    </cfRule>
  </conditionalFormatting>
  <conditionalFormatting sqref="L77:L81">
    <cfRule type="cellIs" dxfId="957" priority="179" operator="equal">
      <formula>"Cuenta Corriente"</formula>
    </cfRule>
    <cfRule type="cellIs" dxfId="956" priority="180" operator="equal">
      <formula>"No Pagado"</formula>
    </cfRule>
  </conditionalFormatting>
  <conditionalFormatting sqref="L83:L85">
    <cfRule type="cellIs" dxfId="955" priority="171" operator="equal">
      <formula>"Cuenta Corriente"</formula>
    </cfRule>
    <cfRule type="cellIs" dxfId="954" priority="172" operator="equal">
      <formula>"No Pagado"</formula>
    </cfRule>
  </conditionalFormatting>
  <conditionalFormatting sqref="L89:L90">
    <cfRule type="cellIs" dxfId="953" priority="163" operator="equal">
      <formula>"Cuenta Corriente"</formula>
    </cfRule>
    <cfRule type="cellIs" dxfId="952" priority="164" operator="equal">
      <formula>"No Pagado"</formula>
    </cfRule>
  </conditionalFormatting>
  <conditionalFormatting sqref="L92:L98 L100:L101">
    <cfRule type="cellIs" dxfId="951" priority="145" operator="equal">
      <formula>"Cuenta Corriente"</formula>
    </cfRule>
    <cfRule type="cellIs" dxfId="950" priority="146" operator="equal">
      <formula>"No Pagado"</formula>
    </cfRule>
  </conditionalFormatting>
  <conditionalFormatting sqref="L103:L115">
    <cfRule type="cellIs" dxfId="949" priority="139" operator="equal">
      <formula>"Cuenta Corriente"</formula>
    </cfRule>
    <cfRule type="cellIs" dxfId="948" priority="140" operator="equal">
      <formula>"No Pagado"</formula>
    </cfRule>
  </conditionalFormatting>
  <conditionalFormatting sqref="L117:L122">
    <cfRule type="cellIs" dxfId="947" priority="123" operator="equal">
      <formula>"Cuenta Corriente"</formula>
    </cfRule>
    <cfRule type="cellIs" dxfId="946" priority="124" operator="equal">
      <formula>"No Pagado"</formula>
    </cfRule>
  </conditionalFormatting>
  <conditionalFormatting sqref="L124:L135">
    <cfRule type="cellIs" dxfId="945" priority="103" operator="equal">
      <formula>"Cuenta Corriente"</formula>
    </cfRule>
    <cfRule type="cellIs" dxfId="944" priority="104" operator="equal">
      <formula>"No Pagado"</formula>
    </cfRule>
  </conditionalFormatting>
  <conditionalFormatting sqref="L137:L145">
    <cfRule type="cellIs" dxfId="943" priority="67" operator="equal">
      <formula>"Cuenta Corriente"</formula>
    </cfRule>
    <cfRule type="cellIs" dxfId="942" priority="68" operator="equal">
      <formula>"No Pagado"</formula>
    </cfRule>
  </conditionalFormatting>
  <conditionalFormatting sqref="L151:L159">
    <cfRule type="cellIs" dxfId="941" priority="47" operator="equal">
      <formula>"Cuenta Corriente"</formula>
    </cfRule>
    <cfRule type="cellIs" dxfId="940" priority="48" operator="equal">
      <formula>"No Pagado"</formula>
    </cfRule>
  </conditionalFormatting>
  <conditionalFormatting sqref="L162:L169">
    <cfRule type="cellIs" dxfId="939" priority="27" operator="equal">
      <formula>"Cuenta Corriente"</formula>
    </cfRule>
    <cfRule type="cellIs" dxfId="938" priority="28" operator="equal">
      <formula>"No Pagado"</formula>
    </cfRule>
  </conditionalFormatting>
  <conditionalFormatting sqref="L172:L179 L182:L183">
    <cfRule type="cellIs" dxfId="937" priority="3" operator="equal">
      <formula>"Cuenta Corriente"</formula>
    </cfRule>
    <cfRule type="cellIs" dxfId="936" priority="4" operator="equal">
      <formula>"No Pagado"</formula>
    </cfRule>
  </conditionalFormatting>
  <conditionalFormatting sqref="L10:M22 O10:O45">
    <cfRule type="containsText" dxfId="935" priority="242" operator="containsText" text="Pendiente">
      <formula>NOT(ISERROR(SEARCH("Pendiente",L10)))</formula>
    </cfRule>
    <cfRule type="containsText" dxfId="934" priority="243" operator="containsText" text="Pagado">
      <formula>NOT(ISERROR(SEARCH("Pagado",L10)))</formula>
    </cfRule>
    <cfRule type="containsText" dxfId="933" priority="244" operator="containsText" text="Para abonar">
      <formula>NOT(ISERROR(SEARCH("Para abonar",L10)))</formula>
    </cfRule>
  </conditionalFormatting>
  <conditionalFormatting sqref="L32:M32">
    <cfRule type="containsText" dxfId="932" priority="239" operator="containsText" text="Pendiente">
      <formula>NOT(ISERROR(SEARCH("Pendiente",L32)))</formula>
    </cfRule>
    <cfRule type="containsText" dxfId="931" priority="240" operator="containsText" text="Pagado">
      <formula>NOT(ISERROR(SEARCH("Pagado",L32)))</formula>
    </cfRule>
    <cfRule type="containsText" dxfId="930" priority="241" operator="containsText" text="Para abonar">
      <formula>NOT(ISERROR(SEARCH("Para abonar",L32)))</formula>
    </cfRule>
  </conditionalFormatting>
  <conditionalFormatting sqref="L36:M37">
    <cfRule type="containsText" dxfId="929" priority="236" operator="containsText" text="Pendiente">
      <formula>NOT(ISERROR(SEARCH("Pendiente",L36)))</formula>
    </cfRule>
    <cfRule type="containsText" dxfId="928" priority="237" operator="containsText" text="Pagado">
      <formula>NOT(ISERROR(SEARCH("Pagado",L36)))</formula>
    </cfRule>
    <cfRule type="containsText" dxfId="927" priority="238" operator="containsText" text="Para abonar">
      <formula>NOT(ISERROR(SEARCH("Para abonar",L36)))</formula>
    </cfRule>
  </conditionalFormatting>
  <conditionalFormatting sqref="L45:M45">
    <cfRule type="containsText" dxfId="926" priority="233" operator="containsText" text="Pendiente">
      <formula>NOT(ISERROR(SEARCH("Pendiente",L45)))</formula>
    </cfRule>
    <cfRule type="containsText" dxfId="925" priority="234" operator="containsText" text="Pagado">
      <formula>NOT(ISERROR(SEARCH("Pagado",L45)))</formula>
    </cfRule>
    <cfRule type="containsText" dxfId="924" priority="235" operator="containsText" text="Para abonar">
      <formula>NOT(ISERROR(SEARCH("Para abonar",L45)))</formula>
    </cfRule>
  </conditionalFormatting>
  <conditionalFormatting sqref="L50:M50 O50">
    <cfRule type="containsText" dxfId="923" priority="230" operator="containsText" text="Pendiente">
      <formula>NOT(ISERROR(SEARCH("Pendiente",L50)))</formula>
    </cfRule>
    <cfRule type="containsText" dxfId="922" priority="231" operator="containsText" text="Pagado">
      <formula>NOT(ISERROR(SEARCH("Pagado",L50)))</formula>
    </cfRule>
    <cfRule type="containsText" dxfId="921" priority="232" operator="containsText" text="Para abonar">
      <formula>NOT(ISERROR(SEARCH("Para abonar",L50)))</formula>
    </cfRule>
  </conditionalFormatting>
  <conditionalFormatting sqref="L57:M57 O57">
    <cfRule type="containsText" dxfId="920" priority="225" operator="containsText" text="Pendiente">
      <formula>NOT(ISERROR(SEARCH("Pendiente",L57)))</formula>
    </cfRule>
    <cfRule type="containsText" dxfId="919" priority="226" operator="containsText" text="Pagado">
      <formula>NOT(ISERROR(SEARCH("Pagado",L57)))</formula>
    </cfRule>
    <cfRule type="containsText" dxfId="918" priority="227" operator="containsText" text="Para abonar">
      <formula>NOT(ISERROR(SEARCH("Para abonar",L57)))</formula>
    </cfRule>
  </conditionalFormatting>
  <conditionalFormatting sqref="L59:M59 O59">
    <cfRule type="containsText" dxfId="917" priority="220" operator="containsText" text="Pendiente">
      <formula>NOT(ISERROR(SEARCH("Pendiente",L59)))</formula>
    </cfRule>
    <cfRule type="containsText" dxfId="916" priority="221" operator="containsText" text="Pagado">
      <formula>NOT(ISERROR(SEARCH("Pagado",L59)))</formula>
    </cfRule>
    <cfRule type="containsText" dxfId="915" priority="222" operator="containsText" text="Para abonar">
      <formula>NOT(ISERROR(SEARCH("Para abonar",L59)))</formula>
    </cfRule>
  </conditionalFormatting>
  <conditionalFormatting sqref="L66:M66 O66">
    <cfRule type="containsText" dxfId="914" priority="200" operator="containsText" text="Pendiente">
      <formula>NOT(ISERROR(SEARCH("Pendiente",L66)))</formula>
    </cfRule>
    <cfRule type="containsText" dxfId="913" priority="201" operator="containsText" text="Pagado">
      <formula>NOT(ISERROR(SEARCH("Pagado",L66)))</formula>
    </cfRule>
    <cfRule type="containsText" dxfId="912" priority="202" operator="containsText" text="Para abonar">
      <formula>NOT(ISERROR(SEARCH("Para abonar",L66)))</formula>
    </cfRule>
  </conditionalFormatting>
  <conditionalFormatting sqref="L70:M70 O70">
    <cfRule type="containsText" dxfId="911" priority="191" operator="containsText" text="Pendiente">
      <formula>NOT(ISERROR(SEARCH("Pendiente",L70)))</formula>
    </cfRule>
    <cfRule type="containsText" dxfId="910" priority="192" operator="containsText" text="Pagado">
      <formula>NOT(ISERROR(SEARCH("Pagado",L70)))</formula>
    </cfRule>
    <cfRule type="containsText" dxfId="909" priority="193" operator="containsText" text="Para abonar">
      <formula>NOT(ISERROR(SEARCH("Para abonar",L70)))</formula>
    </cfRule>
  </conditionalFormatting>
  <conditionalFormatting sqref="L160:M160">
    <cfRule type="cellIs" dxfId="908" priority="35" operator="equal">
      <formula>"Cuenta Corriente"</formula>
    </cfRule>
    <cfRule type="cellIs" dxfId="907" priority="36" operator="equal">
      <formula>"No Pagado"</formula>
    </cfRule>
  </conditionalFormatting>
  <conditionalFormatting sqref="L171:M171">
    <cfRule type="cellIs" dxfId="906" priority="19" operator="equal">
      <formula>"Cuenta Corriente"</formula>
    </cfRule>
    <cfRule type="cellIs" dxfId="905" priority="20" operator="equal">
      <formula>"No Pagado"</formula>
    </cfRule>
  </conditionalFormatting>
  <conditionalFormatting sqref="L82:O82 M83:O85">
    <cfRule type="cellIs" dxfId="904" priority="175" operator="equal">
      <formula>"Cuenta Corriente"</formula>
    </cfRule>
    <cfRule type="cellIs" dxfId="903" priority="176" operator="equal">
      <formula>"No Pagado"</formula>
    </cfRule>
  </conditionalFormatting>
  <conditionalFormatting sqref="L86:O86 L87:M88 O87:O88 M89:O89 M90 O90:O98 L91:M91 M92:M98 L99:O99 M100:M101 O100:O101 L102:O102 O103:O115 L116:O116 O117:O120 M121:O122">
    <cfRule type="cellIs" dxfId="902" priority="169" operator="equal">
      <formula>"Cuenta Corriente"</formula>
    </cfRule>
    <cfRule type="cellIs" dxfId="901" priority="170" operator="equal">
      <formula>"No Pagado"</formula>
    </cfRule>
  </conditionalFormatting>
  <conditionalFormatting sqref="M23:M26">
    <cfRule type="containsText" dxfId="900" priority="215" operator="containsText" text="Pendiente">
      <formula>NOT(ISERROR(SEARCH("Pendiente",M23)))</formula>
    </cfRule>
    <cfRule type="containsText" dxfId="899" priority="216" operator="containsText" text="Pagado">
      <formula>NOT(ISERROR(SEARCH("Pagado",M23)))</formula>
    </cfRule>
    <cfRule type="containsText" dxfId="898" priority="217" operator="containsText" text="Para abonar">
      <formula>NOT(ISERROR(SEARCH("Para abonar",M23)))</formula>
    </cfRule>
  </conditionalFormatting>
  <conditionalFormatting sqref="M28:M31">
    <cfRule type="containsText" dxfId="897" priority="212" operator="containsText" text="Pendiente">
      <formula>NOT(ISERROR(SEARCH("Pendiente",M28)))</formula>
    </cfRule>
    <cfRule type="containsText" dxfId="896" priority="213" operator="containsText" text="Pagado">
      <formula>NOT(ISERROR(SEARCH("Pagado",M28)))</formula>
    </cfRule>
    <cfRule type="containsText" dxfId="895" priority="214" operator="containsText" text="Para abonar">
      <formula>NOT(ISERROR(SEARCH("Para abonar",M28)))</formula>
    </cfRule>
  </conditionalFormatting>
  <conditionalFormatting sqref="M33:M35">
    <cfRule type="containsText" dxfId="894" priority="209" operator="containsText" text="Pendiente">
      <formula>NOT(ISERROR(SEARCH("Pendiente",M33)))</formula>
    </cfRule>
    <cfRule type="containsText" dxfId="893" priority="210" operator="containsText" text="Pagado">
      <formula>NOT(ISERROR(SEARCH("Pagado",M33)))</formula>
    </cfRule>
    <cfRule type="containsText" dxfId="892" priority="211" operator="containsText" text="Para abonar">
      <formula>NOT(ISERROR(SEARCH("Para abonar",M33)))</formula>
    </cfRule>
  </conditionalFormatting>
  <conditionalFormatting sqref="M38:M44">
    <cfRule type="containsText" dxfId="891" priority="206" operator="containsText" text="Pendiente">
      <formula>NOT(ISERROR(SEARCH("Pendiente",M38)))</formula>
    </cfRule>
    <cfRule type="containsText" dxfId="890" priority="207" operator="containsText" text="Pagado">
      <formula>NOT(ISERROR(SEARCH("Pagado",M38)))</formula>
    </cfRule>
    <cfRule type="containsText" dxfId="889" priority="208" operator="containsText" text="Para abonar">
      <formula>NOT(ISERROR(SEARCH("Para abonar",M38)))</formula>
    </cfRule>
  </conditionalFormatting>
  <conditionalFormatting sqref="M46:M49">
    <cfRule type="containsText" dxfId="888" priority="203" operator="containsText" text="Pendiente">
      <formula>NOT(ISERROR(SEARCH("Pendiente",M46)))</formula>
    </cfRule>
    <cfRule type="containsText" dxfId="887" priority="204" operator="containsText" text="Pagado">
      <formula>NOT(ISERROR(SEARCH("Pagado",M46)))</formula>
    </cfRule>
    <cfRule type="containsText" dxfId="886" priority="205" operator="containsText" text="Para abonar">
      <formula>NOT(ISERROR(SEARCH("Para abonar",M46)))</formula>
    </cfRule>
  </conditionalFormatting>
  <conditionalFormatting sqref="M65">
    <cfRule type="cellIs" dxfId="885" priority="194" operator="equal">
      <formula>"Cuenta Corriente"</formula>
    </cfRule>
    <cfRule type="cellIs" dxfId="884" priority="195" operator="equal">
      <formula>"No Pagado"</formula>
    </cfRule>
  </conditionalFormatting>
  <conditionalFormatting sqref="M104:M115">
    <cfRule type="cellIs" dxfId="883" priority="137" operator="equal">
      <formula>"Cuenta Corriente"</formula>
    </cfRule>
    <cfRule type="cellIs" dxfId="882" priority="138" operator="equal">
      <formula>"No Pagado"</formula>
    </cfRule>
  </conditionalFormatting>
  <conditionalFormatting sqref="M117">
    <cfRule type="cellIs" dxfId="881" priority="131" operator="equal">
      <formula>"Cuenta Corriente"</formula>
    </cfRule>
    <cfRule type="cellIs" dxfId="880" priority="132" operator="equal">
      <formula>"No Pagado"</formula>
    </cfRule>
  </conditionalFormatting>
  <conditionalFormatting sqref="M119:M120">
    <cfRule type="cellIs" dxfId="879" priority="121" operator="equal">
      <formula>"Cuenta Corriente"</formula>
    </cfRule>
    <cfRule type="cellIs" dxfId="878" priority="122" operator="equal">
      <formula>"No Pagado"</formula>
    </cfRule>
  </conditionalFormatting>
  <conditionalFormatting sqref="M139:M140">
    <cfRule type="cellIs" dxfId="877" priority="87" operator="equal">
      <formula>"Cuenta Corriente"</formula>
    </cfRule>
    <cfRule type="cellIs" dxfId="876" priority="88" operator="equal">
      <formula>"No Pagado"</formula>
    </cfRule>
  </conditionalFormatting>
  <conditionalFormatting sqref="M151:M152">
    <cfRule type="cellIs" dxfId="875" priority="45" operator="equal">
      <formula>"Cuenta Corriente"</formula>
    </cfRule>
    <cfRule type="cellIs" dxfId="874" priority="46" operator="equal">
      <formula>"No Pagado"</formula>
    </cfRule>
  </conditionalFormatting>
  <conditionalFormatting sqref="M154:M159">
    <cfRule type="cellIs" dxfId="873" priority="39" operator="equal">
      <formula>"Cuenta Corriente"</formula>
    </cfRule>
    <cfRule type="cellIs" dxfId="872" priority="40" operator="equal">
      <formula>"No Pagado"</formula>
    </cfRule>
  </conditionalFormatting>
  <conditionalFormatting sqref="M169">
    <cfRule type="cellIs" dxfId="871" priority="25" operator="equal">
      <formula>"Cuenta Corriente"</formula>
    </cfRule>
    <cfRule type="cellIs" dxfId="870" priority="26" operator="equal">
      <formula>"No Pagado"</formula>
    </cfRule>
  </conditionalFormatting>
  <conditionalFormatting sqref="M172">
    <cfRule type="cellIs" dxfId="869" priority="21" operator="equal">
      <formula>"Cuenta Corriente"</formula>
    </cfRule>
    <cfRule type="cellIs" dxfId="868" priority="22" operator="equal">
      <formula>"No Pagado"</formula>
    </cfRule>
  </conditionalFormatting>
  <conditionalFormatting sqref="M103:N103 N104:N115">
    <cfRule type="cellIs" dxfId="867" priority="143" operator="equal">
      <formula>"Cuenta Corriente"</formula>
    </cfRule>
    <cfRule type="cellIs" dxfId="866" priority="144" operator="equal">
      <formula>"No Pagado"</formula>
    </cfRule>
  </conditionalFormatting>
  <conditionalFormatting sqref="M118:N118">
    <cfRule type="cellIs" dxfId="865" priority="129" operator="equal">
      <formula>"Cuenta Corriente"</formula>
    </cfRule>
    <cfRule type="cellIs" dxfId="864" priority="130" operator="equal">
      <formula>"No Pagado"</formula>
    </cfRule>
  </conditionalFormatting>
  <conditionalFormatting sqref="M134:N135">
    <cfRule type="cellIs" dxfId="863" priority="111" operator="equal">
      <formula>"Cuenta Corriente"</formula>
    </cfRule>
    <cfRule type="cellIs" dxfId="862" priority="112" operator="equal">
      <formula>"No Pagado"</formula>
    </cfRule>
  </conditionalFormatting>
  <conditionalFormatting sqref="M138:N138">
    <cfRule type="cellIs" dxfId="861" priority="101" operator="equal">
      <formula>"Cuenta Corriente"</formula>
    </cfRule>
    <cfRule type="cellIs" dxfId="860" priority="102" operator="equal">
      <formula>"No Pagado"</formula>
    </cfRule>
  </conditionalFormatting>
  <conditionalFormatting sqref="M141:N145">
    <cfRule type="cellIs" dxfId="859" priority="77" operator="equal">
      <formula>"Cuenta Corriente"</formula>
    </cfRule>
    <cfRule type="cellIs" dxfId="858" priority="78" operator="equal">
      <formula>"No Pagado"</formula>
    </cfRule>
  </conditionalFormatting>
  <conditionalFormatting sqref="M153:N153">
    <cfRule type="cellIs" dxfId="857" priority="41" operator="equal">
      <formula>"Cuenta Corriente"</formula>
    </cfRule>
    <cfRule type="cellIs" dxfId="856" priority="42" operator="equal">
      <formula>"No Pagado"</formula>
    </cfRule>
  </conditionalFormatting>
  <conditionalFormatting sqref="M162:N168 N169">
    <cfRule type="cellIs" dxfId="855" priority="31" operator="equal">
      <formula>"Cuenta Corriente"</formula>
    </cfRule>
    <cfRule type="cellIs" dxfId="854" priority="32" operator="equal">
      <formula>"No Pagado"</formula>
    </cfRule>
  </conditionalFormatting>
  <conditionalFormatting sqref="M71:O75 L76:O76 M77:O81">
    <cfRule type="cellIs" dxfId="853" priority="185" operator="equal">
      <formula>"Cuenta Corriente"</formula>
    </cfRule>
    <cfRule type="cellIs" dxfId="852" priority="186" operator="equal">
      <formula>"No Pagado"</formula>
    </cfRule>
  </conditionalFormatting>
  <conditionalFormatting sqref="N10:N26 L23:L26 L27:N27 L28:L31 N28:N45 L33:L35 L38:L44 L46:L49 N46:O49 L51:O56 L58:O58 L60:O64 N65:O65 L67:O69 M185">
    <cfRule type="cellIs" dxfId="851" priority="250" operator="equal">
      <formula>"Cuenta Corriente"</formula>
    </cfRule>
    <cfRule type="cellIs" dxfId="850" priority="251" operator="equal">
      <formula>"No Pagado"</formula>
    </cfRule>
  </conditionalFormatting>
  <conditionalFormatting sqref="N50">
    <cfRule type="cellIs" dxfId="849" priority="228" operator="equal">
      <formula>"Cuenta Corriente"</formula>
    </cfRule>
    <cfRule type="cellIs" dxfId="848" priority="229" operator="equal">
      <formula>"No Pagado"</formula>
    </cfRule>
  </conditionalFormatting>
  <conditionalFormatting sqref="N57">
    <cfRule type="cellIs" dxfId="847" priority="223" operator="equal">
      <formula>"Cuenta Corriente"</formula>
    </cfRule>
    <cfRule type="cellIs" dxfId="846" priority="224" operator="equal">
      <formula>"No Pagado"</formula>
    </cfRule>
  </conditionalFormatting>
  <conditionalFormatting sqref="N59">
    <cfRule type="cellIs" dxfId="845" priority="218" operator="equal">
      <formula>"Cuenta Corriente"</formula>
    </cfRule>
    <cfRule type="cellIs" dxfId="844" priority="219" operator="equal">
      <formula>"No Pagado"</formula>
    </cfRule>
  </conditionalFormatting>
  <conditionalFormatting sqref="N66">
    <cfRule type="cellIs" dxfId="843" priority="198" operator="equal">
      <formula>"Cuenta Corriente"</formula>
    </cfRule>
    <cfRule type="cellIs" dxfId="842" priority="199" operator="equal">
      <formula>"No Pagado"</formula>
    </cfRule>
  </conditionalFormatting>
  <conditionalFormatting sqref="N70">
    <cfRule type="cellIs" dxfId="841" priority="189" operator="equal">
      <formula>"Cuenta Corriente"</formula>
    </cfRule>
    <cfRule type="cellIs" dxfId="840" priority="190" operator="equal">
      <formula>"No Pagado"</formula>
    </cfRule>
  </conditionalFormatting>
  <conditionalFormatting sqref="N87:N88">
    <cfRule type="cellIs" dxfId="839" priority="165" operator="equal">
      <formula>"Cuenta Corriente"</formula>
    </cfRule>
    <cfRule type="cellIs" dxfId="838" priority="166" operator="equal">
      <formula>"No Pagado"</formula>
    </cfRule>
  </conditionalFormatting>
  <conditionalFormatting sqref="N90:N98 N100:N101">
    <cfRule type="cellIs" dxfId="837" priority="161" operator="equal">
      <formula>"Cuenta Corriente"</formula>
    </cfRule>
    <cfRule type="cellIs" dxfId="836" priority="162" operator="equal">
      <formula>"No Pagado"</formula>
    </cfRule>
  </conditionalFormatting>
  <conditionalFormatting sqref="N117">
    <cfRule type="cellIs" dxfId="835" priority="135" operator="equal">
      <formula>"Cuenta Corriente"</formula>
    </cfRule>
    <cfRule type="cellIs" dxfId="834" priority="136" operator="equal">
      <formula>"No Pagado"</formula>
    </cfRule>
  </conditionalFormatting>
  <conditionalFormatting sqref="N119:N120">
    <cfRule type="cellIs" dxfId="833" priority="125" operator="equal">
      <formula>"Cuenta Corriente"</formula>
    </cfRule>
    <cfRule type="cellIs" dxfId="832" priority="126" operator="equal">
      <formula>"No Pagado"</formula>
    </cfRule>
  </conditionalFormatting>
  <conditionalFormatting sqref="N124">
    <cfRule type="cellIs" dxfId="831" priority="117" operator="equal">
      <formula>"Cuenta Corriente"</formula>
    </cfRule>
    <cfRule type="cellIs" dxfId="830" priority="118" operator="equal">
      <formula>"No Pagado"</formula>
    </cfRule>
  </conditionalFormatting>
  <conditionalFormatting sqref="N139:N140">
    <cfRule type="cellIs" dxfId="829" priority="85" operator="equal">
      <formula>"Cuenta Corriente"</formula>
    </cfRule>
    <cfRule type="cellIs" dxfId="828" priority="86" operator="equal">
      <formula>"No Pagado"</formula>
    </cfRule>
  </conditionalFormatting>
  <conditionalFormatting sqref="N151:N152">
    <cfRule type="cellIs" dxfId="827" priority="43" operator="equal">
      <formula>"Cuenta Corriente"</formula>
    </cfRule>
    <cfRule type="cellIs" dxfId="826" priority="44" operator="equal">
      <formula>"No Pagado"</formula>
    </cfRule>
  </conditionalFormatting>
  <conditionalFormatting sqref="N154:N160">
    <cfRule type="cellIs" dxfId="825" priority="33" operator="equal">
      <formula>"Cuenta Corriente"</formula>
    </cfRule>
    <cfRule type="cellIs" dxfId="824" priority="34" operator="equal">
      <formula>"No Pagado"</formula>
    </cfRule>
  </conditionalFormatting>
  <conditionalFormatting sqref="N171:N172 M173:N183">
    <cfRule type="cellIs" dxfId="823" priority="49" operator="equal">
      <formula>"Cuenta Corriente"</formula>
    </cfRule>
    <cfRule type="cellIs" dxfId="822" priority="50" operator="equal">
      <formula>"No Pagado"</formula>
    </cfRule>
  </conditionalFormatting>
  <conditionalFormatting sqref="L180:L181">
    <cfRule type="cellIs" dxfId="821" priority="1" operator="equal">
      <formula>"Cuenta Corriente"</formula>
    </cfRule>
    <cfRule type="cellIs" dxfId="820" priority="2" operator="equal">
      <formula>"No Pagado"</formula>
    </cfRule>
  </conditionalFormatting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CF6DB1-97BA-4F2B-9A9A-5CC3942873D2}">
          <x14:formula1>
            <xm:f>Consultas!$B$9:$B$11</xm:f>
          </x14:formula1>
          <xm:sqref>M185 K66 O10:O65 L67:M69 N66 O67:O69 N70 L10:M65 K70 O71:O184 L71:M184</xm:sqref>
        </x14:dataValidation>
        <x14:dataValidation type="list" allowBlank="1" showInputMessage="1" showErrorMessage="1" xr:uid="{C08D59A2-D8A9-44DC-92B5-D185995C06A7}">
          <x14:formula1>
            <xm:f>Consultas!$B$13:$B$15</xm:f>
          </x14:formula1>
          <xm:sqref>L66:M66 N10:N65 N67:N69 L70:M70 N71:N184</xm:sqref>
        </x14:dataValidation>
        <x14:dataValidation type="list" allowBlank="1" showInputMessage="1" showErrorMessage="1" xr:uid="{171A0C0E-DAB2-4DB7-B1BF-AD0FBB6A4E0B}">
          <x14:formula1>
            <xm:f>Proveedores!$B$3:$B$111</xm:f>
          </x14:formula1>
          <xm:sqref>F66 G67:G69 G177 G71:G174 G10:G65 F70 G179:G232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60DC-5368-49DD-A5A1-D56DAB82FCFD}">
  <dimension ref="A1:T113"/>
  <sheetViews>
    <sheetView topLeftCell="A49" zoomScale="85" zoomScaleNormal="85" workbookViewId="0">
      <selection activeCell="F74" sqref="F74"/>
    </sheetView>
  </sheetViews>
  <sheetFormatPr defaultColWidth="11.42578125" defaultRowHeight="14.45"/>
  <cols>
    <col min="1" max="1" width="12.85546875" customWidth="1"/>
    <col min="2" max="2" width="19.42578125" bestFit="1" customWidth="1"/>
    <col min="3" max="3" width="17" customWidth="1"/>
    <col min="4" max="4" width="12.28515625" customWidth="1"/>
    <col min="5" max="5" width="18.42578125" bestFit="1" customWidth="1"/>
    <col min="6" max="6" width="53.7109375" bestFit="1" customWidth="1"/>
    <col min="7" max="7" width="19.28515625" customWidth="1"/>
    <col min="8" max="8" width="18" style="387" customWidth="1"/>
    <col min="9" max="9" width="16.42578125" style="6" customWidth="1"/>
    <col min="10" max="10" width="16.42578125" customWidth="1"/>
    <col min="11" max="11" width="17.85546875" customWidth="1"/>
    <col min="12" max="13" width="12.7109375" customWidth="1"/>
    <col min="14" max="14" width="19.5703125" bestFit="1" customWidth="1"/>
  </cols>
  <sheetData>
    <row r="1" spans="1:18" ht="15" thickBot="1">
      <c r="B1" s="6"/>
    </row>
    <row r="2" spans="1:18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18" ht="15.6">
      <c r="B3" s="6"/>
      <c r="D3" s="8" t="s">
        <v>177</v>
      </c>
      <c r="E3" s="36" t="s">
        <v>1045</v>
      </c>
      <c r="F3" s="423"/>
      <c r="G3" s="424"/>
      <c r="H3" s="394"/>
      <c r="I3" s="380"/>
      <c r="J3" s="15"/>
    </row>
    <row r="4" spans="1:18">
      <c r="B4" s="6"/>
      <c r="D4" s="9" t="s">
        <v>179</v>
      </c>
      <c r="E4" s="449" t="s">
        <v>1046</v>
      </c>
      <c r="F4" s="450" t="s">
        <v>180</v>
      </c>
      <c r="G4" s="451"/>
      <c r="H4" s="395" t="s">
        <v>1047</v>
      </c>
      <c r="I4" s="512"/>
      <c r="J4" s="452"/>
    </row>
    <row r="5" spans="1:18">
      <c r="B5" s="6"/>
      <c r="D5" s="9"/>
      <c r="E5" s="1" t="s">
        <v>1048</v>
      </c>
      <c r="F5" s="453"/>
      <c r="G5" s="454"/>
      <c r="H5" s="396"/>
      <c r="I5" s="380"/>
      <c r="J5" s="15"/>
    </row>
    <row r="6" spans="1:18" ht="15" thickBot="1">
      <c r="B6" s="6"/>
      <c r="D6" s="11"/>
      <c r="E6" s="12"/>
      <c r="F6" s="455"/>
      <c r="G6" s="456"/>
      <c r="H6" s="397"/>
      <c r="I6" s="380"/>
      <c r="J6" s="15"/>
    </row>
    <row r="7" spans="1:18">
      <c r="B7" s="6"/>
    </row>
    <row r="8" spans="1:18" ht="15" thickBot="1">
      <c r="B8" s="6"/>
    </row>
    <row r="9" spans="1:18" ht="43.9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  <c r="R9" s="155" t="s">
        <v>265</v>
      </c>
    </row>
    <row r="10" spans="1:18">
      <c r="B10" s="152" t="str">
        <f t="shared" ref="B10:B70" si="0">+$E$3</f>
        <v>Esteban y Matias</v>
      </c>
      <c r="C10" s="27">
        <v>46125</v>
      </c>
      <c r="D10" s="23" t="s">
        <v>397</v>
      </c>
      <c r="E10" s="29" t="s">
        <v>443</v>
      </c>
      <c r="F10" s="462" t="s">
        <v>1049</v>
      </c>
      <c r="G10" s="23" t="s">
        <v>110</v>
      </c>
      <c r="H10" s="461" t="s">
        <v>69</v>
      </c>
      <c r="I10" s="44">
        <v>19250000</v>
      </c>
      <c r="J10" s="44"/>
      <c r="K10" s="19" t="s">
        <v>201</v>
      </c>
      <c r="L10" s="150" t="s">
        <v>209</v>
      </c>
      <c r="M10" s="284" t="s">
        <v>209</v>
      </c>
      <c r="N10" s="56" t="s">
        <v>305</v>
      </c>
      <c r="O10" s="23"/>
      <c r="P10" s="50"/>
      <c r="Q10" s="50"/>
    </row>
    <row r="11" spans="1:18" s="138" customFormat="1" ht="28.9">
      <c r="A11" s="168" t="s">
        <v>218</v>
      </c>
      <c r="B11" s="170" t="str">
        <f t="shared" si="0"/>
        <v>Esteban y Matias</v>
      </c>
      <c r="C11" s="171">
        <v>46121</v>
      </c>
      <c r="D11" s="171"/>
      <c r="E11" s="130"/>
      <c r="F11" s="208"/>
      <c r="G11" s="134"/>
      <c r="H11" s="369"/>
      <c r="I11" s="368"/>
      <c r="J11" s="132"/>
      <c r="K11" s="133"/>
      <c r="L11" s="134"/>
      <c r="M11" s="134"/>
      <c r="N11" s="135"/>
      <c r="O11" s="136"/>
      <c r="P11" s="137"/>
      <c r="Q11" s="137"/>
    </row>
    <row r="12" spans="1:18">
      <c r="B12" s="152" t="str">
        <f t="shared" si="0"/>
        <v>Esteban y Matias</v>
      </c>
      <c r="C12" s="27">
        <v>46133</v>
      </c>
      <c r="D12" s="23" t="s">
        <v>397</v>
      </c>
      <c r="E12" s="46" t="s">
        <v>443</v>
      </c>
      <c r="F12" s="416" t="s">
        <v>1050</v>
      </c>
      <c r="G12" s="42" t="s">
        <v>22</v>
      </c>
      <c r="H12" s="417" t="s">
        <v>1051</v>
      </c>
      <c r="I12" s="48">
        <v>710063</v>
      </c>
      <c r="J12" s="48"/>
      <c r="K12" s="19" t="s">
        <v>201</v>
      </c>
      <c r="L12" s="150" t="s">
        <v>209</v>
      </c>
      <c r="M12" s="284" t="s">
        <v>209</v>
      </c>
      <c r="N12" s="56" t="s">
        <v>305</v>
      </c>
      <c r="O12" s="23"/>
      <c r="P12" s="50"/>
      <c r="Q12" s="50"/>
    </row>
    <row r="13" spans="1:18">
      <c r="B13" s="27" t="str">
        <f>+$E$3</f>
        <v>Esteban y Matias</v>
      </c>
      <c r="C13" s="27">
        <v>46133</v>
      </c>
      <c r="D13" s="23" t="s">
        <v>397</v>
      </c>
      <c r="E13" s="46" t="s">
        <v>443</v>
      </c>
      <c r="F13" s="416" t="s">
        <v>1052</v>
      </c>
      <c r="G13" s="42" t="s">
        <v>119</v>
      </c>
      <c r="H13" s="417" t="s">
        <v>1051</v>
      </c>
      <c r="I13" s="48">
        <v>914394.4</v>
      </c>
      <c r="J13" s="40"/>
      <c r="K13" s="19" t="s">
        <v>201</v>
      </c>
      <c r="L13" s="150" t="s">
        <v>209</v>
      </c>
      <c r="M13" s="284" t="s">
        <v>209</v>
      </c>
      <c r="N13" s="56" t="s">
        <v>305</v>
      </c>
      <c r="O13" s="23"/>
      <c r="P13" s="50"/>
      <c r="Q13" s="50"/>
    </row>
    <row r="14" spans="1:18">
      <c r="B14" s="27" t="str">
        <f>+$E$3</f>
        <v>Esteban y Matias</v>
      </c>
      <c r="C14" s="27">
        <v>46133</v>
      </c>
      <c r="D14" s="23" t="s">
        <v>397</v>
      </c>
      <c r="E14" s="46" t="s">
        <v>443</v>
      </c>
      <c r="F14" s="416" t="s">
        <v>1053</v>
      </c>
      <c r="G14" s="42" t="s">
        <v>45</v>
      </c>
      <c r="H14" s="417" t="s">
        <v>1054</v>
      </c>
      <c r="I14" s="48">
        <v>710000</v>
      </c>
      <c r="J14" s="40"/>
      <c r="K14" s="19" t="s">
        <v>201</v>
      </c>
      <c r="L14" s="150" t="s">
        <v>209</v>
      </c>
      <c r="M14" s="284" t="s">
        <v>209</v>
      </c>
      <c r="N14" s="56" t="s">
        <v>305</v>
      </c>
      <c r="O14" s="23"/>
      <c r="P14" s="50"/>
      <c r="Q14" s="50"/>
    </row>
    <row r="15" spans="1:18" s="138" customFormat="1" ht="28.9">
      <c r="A15" s="168" t="s">
        <v>218</v>
      </c>
      <c r="B15" s="156" t="str">
        <f t="shared" si="0"/>
        <v>Esteban y Matias</v>
      </c>
      <c r="C15" s="129"/>
      <c r="D15" s="136"/>
      <c r="E15" s="143"/>
      <c r="F15" s="465"/>
      <c r="G15" s="134"/>
      <c r="H15" s="474"/>
      <c r="I15" s="368"/>
      <c r="J15" s="368"/>
      <c r="K15" s="376"/>
      <c r="L15" s="140"/>
      <c r="M15" s="135"/>
      <c r="N15" s="135"/>
      <c r="O15" s="136"/>
      <c r="P15" s="370"/>
      <c r="Q15" s="370"/>
    </row>
    <row r="16" spans="1:18">
      <c r="B16" s="152" t="str">
        <f t="shared" si="0"/>
        <v>Esteban y Matias</v>
      </c>
      <c r="C16" s="27">
        <v>46147</v>
      </c>
      <c r="D16" s="23" t="s">
        <v>1055</v>
      </c>
      <c r="E16" s="29" t="s">
        <v>1056</v>
      </c>
      <c r="F16" s="462" t="s">
        <v>1057</v>
      </c>
      <c r="G16" s="23" t="s">
        <v>72</v>
      </c>
      <c r="H16" s="461" t="s">
        <v>1058</v>
      </c>
      <c r="I16" s="44">
        <v>255983.44</v>
      </c>
      <c r="J16" s="48"/>
      <c r="K16" s="513" t="s">
        <v>399</v>
      </c>
      <c r="L16" s="150" t="s">
        <v>209</v>
      </c>
      <c r="M16" s="284" t="s">
        <v>209</v>
      </c>
      <c r="N16" s="56" t="s">
        <v>305</v>
      </c>
      <c r="O16" s="23"/>
      <c r="P16" s="50"/>
      <c r="Q16" s="50"/>
    </row>
    <row r="17" spans="1:19">
      <c r="B17" s="27" t="str">
        <f>+$E$3</f>
        <v>Esteban y Matias</v>
      </c>
      <c r="C17" s="27">
        <v>46147</v>
      </c>
      <c r="D17" s="23" t="s">
        <v>1055</v>
      </c>
      <c r="E17" s="29" t="s">
        <v>1056</v>
      </c>
      <c r="F17" s="416" t="s">
        <v>1059</v>
      </c>
      <c r="G17" s="42" t="s">
        <v>2</v>
      </c>
      <c r="H17" s="417" t="s">
        <v>1051</v>
      </c>
      <c r="I17" s="48">
        <v>605305.09</v>
      </c>
      <c r="J17" s="40"/>
      <c r="K17" s="513" t="s">
        <v>399</v>
      </c>
      <c r="L17" s="150" t="s">
        <v>209</v>
      </c>
      <c r="M17" s="284" t="s">
        <v>209</v>
      </c>
      <c r="N17" s="56" t="s">
        <v>305</v>
      </c>
      <c r="O17" s="23"/>
      <c r="P17" s="50"/>
      <c r="Q17" s="50"/>
    </row>
    <row r="18" spans="1:19">
      <c r="B18" s="27" t="str">
        <f>+$E$3</f>
        <v>Esteban y Matias</v>
      </c>
      <c r="C18" s="27">
        <v>46147</v>
      </c>
      <c r="D18" s="23" t="s">
        <v>1055</v>
      </c>
      <c r="E18" s="29" t="s">
        <v>1056</v>
      </c>
      <c r="F18" s="416" t="s">
        <v>1060</v>
      </c>
      <c r="G18" s="42" t="s">
        <v>54</v>
      </c>
      <c r="H18" s="417" t="s">
        <v>1061</v>
      </c>
      <c r="I18" s="48">
        <v>15956.44</v>
      </c>
      <c r="J18" s="40"/>
      <c r="K18" s="513" t="s">
        <v>399</v>
      </c>
      <c r="L18" s="150" t="s">
        <v>209</v>
      </c>
      <c r="M18" s="284" t="s">
        <v>209</v>
      </c>
      <c r="N18" s="56" t="s">
        <v>305</v>
      </c>
      <c r="O18" s="23"/>
      <c r="P18" s="50"/>
      <c r="Q18" s="50"/>
    </row>
    <row r="19" spans="1:19" s="138" customFormat="1" ht="28.9">
      <c r="A19" s="168" t="s">
        <v>218</v>
      </c>
      <c r="B19" s="156" t="str">
        <f t="shared" si="0"/>
        <v>Esteban y Matias</v>
      </c>
      <c r="C19" s="171">
        <v>46149</v>
      </c>
      <c r="D19" s="130"/>
      <c r="E19" s="317"/>
      <c r="F19" s="465"/>
      <c r="G19" s="134"/>
      <c r="H19" s="487"/>
      <c r="I19" s="368"/>
      <c r="J19" s="132"/>
      <c r="K19" s="368"/>
      <c r="L19" s="369"/>
      <c r="M19" s="135"/>
      <c r="N19" s="135"/>
      <c r="O19" s="140"/>
      <c r="P19" s="370"/>
      <c r="Q19" s="370"/>
      <c r="S19" s="371"/>
    </row>
    <row r="20" spans="1:19">
      <c r="B20" s="152" t="str">
        <f t="shared" si="0"/>
        <v>Esteban y Matias</v>
      </c>
      <c r="C20" s="27">
        <v>46162</v>
      </c>
      <c r="D20" s="23" t="s">
        <v>397</v>
      </c>
      <c r="E20" s="46" t="s">
        <v>443</v>
      </c>
      <c r="F20" s="416" t="s">
        <v>1062</v>
      </c>
      <c r="G20" s="23" t="s">
        <v>117</v>
      </c>
      <c r="H20" s="464" t="s">
        <v>1063</v>
      </c>
      <c r="I20" s="48">
        <v>3619700</v>
      </c>
      <c r="J20" s="48"/>
      <c r="K20" s="513" t="s">
        <v>399</v>
      </c>
      <c r="L20" s="150" t="s">
        <v>209</v>
      </c>
      <c r="M20" s="284" t="s">
        <v>209</v>
      </c>
      <c r="N20" s="56" t="s">
        <v>353</v>
      </c>
      <c r="O20" s="23"/>
      <c r="P20" s="50"/>
      <c r="Q20" s="50"/>
    </row>
    <row r="21" spans="1:19">
      <c r="B21" s="152" t="str">
        <f t="shared" si="0"/>
        <v>Esteban y Matias</v>
      </c>
      <c r="C21" s="27">
        <v>46163</v>
      </c>
      <c r="D21" s="23" t="s">
        <v>1055</v>
      </c>
      <c r="E21" s="29" t="s">
        <v>1056</v>
      </c>
      <c r="F21" s="416" t="s">
        <v>1064</v>
      </c>
      <c r="G21" s="42" t="s">
        <v>72</v>
      </c>
      <c r="H21" s="417" t="s">
        <v>1065</v>
      </c>
      <c r="I21" s="48">
        <v>43724.11</v>
      </c>
      <c r="J21" s="40"/>
      <c r="K21" s="513" t="s">
        <v>201</v>
      </c>
      <c r="L21" s="150" t="s">
        <v>209</v>
      </c>
      <c r="M21" s="284" t="s">
        <v>209</v>
      </c>
      <c r="N21" s="56" t="s">
        <v>305</v>
      </c>
      <c r="O21" s="2"/>
      <c r="P21" s="50"/>
      <c r="Q21" s="50"/>
    </row>
    <row r="22" spans="1:19">
      <c r="B22" s="152" t="str">
        <f t="shared" si="0"/>
        <v>Esteban y Matias</v>
      </c>
      <c r="C22" s="27">
        <v>46154</v>
      </c>
      <c r="D22" s="23" t="s">
        <v>397</v>
      </c>
      <c r="E22" s="46" t="s">
        <v>443</v>
      </c>
      <c r="F22" s="416" t="s">
        <v>1066</v>
      </c>
      <c r="G22" s="42" t="s">
        <v>76</v>
      </c>
      <c r="H22" s="417" t="s">
        <v>1067</v>
      </c>
      <c r="I22" s="48">
        <v>120000</v>
      </c>
      <c r="J22" s="40"/>
      <c r="K22" s="19" t="s">
        <v>201</v>
      </c>
      <c r="L22" s="150" t="s">
        <v>209</v>
      </c>
      <c r="M22" s="284" t="s">
        <v>209</v>
      </c>
      <c r="N22" s="56" t="s">
        <v>305</v>
      </c>
      <c r="O22" s="14"/>
      <c r="P22" s="50"/>
      <c r="Q22" s="50"/>
    </row>
    <row r="23" spans="1:19" s="138" customFormat="1" ht="30.75" customHeight="1">
      <c r="A23" s="168" t="s">
        <v>218</v>
      </c>
      <c r="B23" s="156" t="str">
        <f t="shared" si="0"/>
        <v>Esteban y Matias</v>
      </c>
      <c r="C23" s="171">
        <v>46163</v>
      </c>
      <c r="D23" s="130"/>
      <c r="E23" s="317"/>
      <c r="F23" s="465"/>
      <c r="G23" s="131"/>
      <c r="H23" s="487"/>
      <c r="I23" s="132"/>
      <c r="J23" s="132"/>
      <c r="K23" s="368"/>
      <c r="L23" s="369"/>
      <c r="M23" s="135"/>
      <c r="N23" s="135"/>
      <c r="O23" s="140"/>
      <c r="P23" s="370"/>
      <c r="Q23" s="370"/>
      <c r="S23" s="371"/>
    </row>
    <row r="24" spans="1:19" s="138" customFormat="1" ht="28.9">
      <c r="A24" s="168" t="s">
        <v>218</v>
      </c>
      <c r="B24" s="156" t="str">
        <f t="shared" si="0"/>
        <v>Esteban y Matias</v>
      </c>
      <c r="C24" s="171">
        <v>46177</v>
      </c>
      <c r="D24" s="130"/>
      <c r="E24" s="317"/>
      <c r="F24" s="465"/>
      <c r="G24" s="131"/>
      <c r="H24" s="487"/>
      <c r="I24" s="132"/>
      <c r="J24" s="132"/>
      <c r="K24" s="368"/>
      <c r="L24" s="369"/>
      <c r="M24" s="135"/>
      <c r="N24" s="135"/>
      <c r="O24" s="140"/>
      <c r="P24" s="370"/>
      <c r="Q24" s="370"/>
      <c r="S24" s="371"/>
    </row>
    <row r="25" spans="1:19">
      <c r="A25" s="374"/>
      <c r="B25" s="27" t="str">
        <f t="shared" ref="B25:B30" si="1">+$E$3</f>
        <v>Esteban y Matias</v>
      </c>
      <c r="C25" s="222">
        <v>46178</v>
      </c>
      <c r="D25" s="23" t="s">
        <v>397</v>
      </c>
      <c r="E25" s="46" t="s">
        <v>443</v>
      </c>
      <c r="F25" s="514" t="s">
        <v>1068</v>
      </c>
      <c r="G25" s="42" t="s">
        <v>97</v>
      </c>
      <c r="H25" s="417" t="s">
        <v>556</v>
      </c>
      <c r="I25" s="48">
        <v>22416250</v>
      </c>
      <c r="J25" s="40"/>
      <c r="K25" s="513" t="s">
        <v>201</v>
      </c>
      <c r="L25" s="150" t="s">
        <v>209</v>
      </c>
      <c r="M25" s="150" t="s">
        <v>209</v>
      </c>
      <c r="N25" s="56" t="s">
        <v>305</v>
      </c>
      <c r="O25" s="2"/>
      <c r="P25" s="50"/>
      <c r="Q25" s="50"/>
      <c r="S25" s="15"/>
    </row>
    <row r="26" spans="1:19" ht="18.600000000000001" customHeight="1">
      <c r="A26" s="374"/>
      <c r="B26" s="152" t="str">
        <f t="shared" si="1"/>
        <v>Esteban y Matias</v>
      </c>
      <c r="C26" s="222">
        <v>46178</v>
      </c>
      <c r="D26" s="23" t="s">
        <v>397</v>
      </c>
      <c r="E26" s="46" t="s">
        <v>443</v>
      </c>
      <c r="F26" s="419" t="s">
        <v>1069</v>
      </c>
      <c r="G26" s="42" t="s">
        <v>17</v>
      </c>
      <c r="H26" s="464" t="s">
        <v>1063</v>
      </c>
      <c r="I26" s="48">
        <v>9444594.0899999999</v>
      </c>
      <c r="J26" s="40"/>
      <c r="K26" s="19" t="s">
        <v>201</v>
      </c>
      <c r="L26" s="150" t="s">
        <v>209</v>
      </c>
      <c r="M26" s="150" t="s">
        <v>209</v>
      </c>
      <c r="N26" s="56" t="s">
        <v>305</v>
      </c>
      <c r="O26" s="2"/>
      <c r="P26" s="50"/>
      <c r="Q26" s="50"/>
      <c r="S26" s="15"/>
    </row>
    <row r="27" spans="1:19" ht="18.600000000000001" customHeight="1">
      <c r="A27" s="374"/>
      <c r="B27" s="152" t="str">
        <f t="shared" si="1"/>
        <v>Esteban y Matias</v>
      </c>
      <c r="C27" s="222"/>
      <c r="D27" s="38"/>
      <c r="E27" s="209"/>
      <c r="F27" s="419"/>
      <c r="G27" s="42"/>
      <c r="H27" s="417"/>
      <c r="I27" s="48"/>
      <c r="J27" s="40"/>
      <c r="K27" s="48"/>
      <c r="L27" s="87"/>
      <c r="M27" s="56"/>
      <c r="N27" s="56"/>
      <c r="O27" s="2"/>
      <c r="P27" s="50"/>
      <c r="Q27" s="50"/>
      <c r="S27" s="15"/>
    </row>
    <row r="28" spans="1:19" s="138" customFormat="1" ht="28.9">
      <c r="A28" s="168" t="s">
        <v>218</v>
      </c>
      <c r="B28" s="156" t="str">
        <f t="shared" si="0"/>
        <v>Esteban y Matias</v>
      </c>
      <c r="C28" s="171">
        <v>46191</v>
      </c>
      <c r="D28" s="130"/>
      <c r="E28" s="317"/>
      <c r="F28" s="465"/>
      <c r="G28" s="131"/>
      <c r="H28" s="487"/>
      <c r="I28" s="132"/>
      <c r="J28" s="132"/>
      <c r="K28" s="368"/>
      <c r="L28" s="369"/>
      <c r="M28" s="135"/>
      <c r="N28" s="135"/>
      <c r="O28" s="140"/>
      <c r="P28" s="370"/>
      <c r="Q28" s="370"/>
      <c r="S28" s="371"/>
    </row>
    <row r="29" spans="1:19" ht="18.600000000000001" customHeight="1">
      <c r="A29" s="374"/>
      <c r="B29" s="152" t="str">
        <f t="shared" si="1"/>
        <v>Esteban y Matias</v>
      </c>
      <c r="C29" s="222">
        <v>46199</v>
      </c>
      <c r="D29" s="23" t="s">
        <v>397</v>
      </c>
      <c r="E29" s="46" t="s">
        <v>443</v>
      </c>
      <c r="F29" s="416" t="s">
        <v>1070</v>
      </c>
      <c r="G29" s="42" t="s">
        <v>77</v>
      </c>
      <c r="H29" s="417" t="s">
        <v>1067</v>
      </c>
      <c r="I29" s="48">
        <v>200000</v>
      </c>
      <c r="J29" s="40"/>
      <c r="K29" s="19" t="s">
        <v>201</v>
      </c>
      <c r="L29" s="150" t="s">
        <v>209</v>
      </c>
      <c r="M29" s="150" t="s">
        <v>209</v>
      </c>
      <c r="N29" s="56" t="s">
        <v>305</v>
      </c>
      <c r="O29" s="2"/>
      <c r="P29" s="50"/>
      <c r="Q29" s="50"/>
      <c r="S29" s="15"/>
    </row>
    <row r="30" spans="1:19" ht="18.600000000000001" customHeight="1">
      <c r="A30" s="374"/>
      <c r="B30" s="152" t="str">
        <f t="shared" si="1"/>
        <v>Esteban y Matias</v>
      </c>
      <c r="C30" s="222">
        <v>46199</v>
      </c>
      <c r="D30" s="23" t="s">
        <v>397</v>
      </c>
      <c r="E30" s="46" t="s">
        <v>443</v>
      </c>
      <c r="F30" s="416" t="s">
        <v>1070</v>
      </c>
      <c r="G30" s="42" t="s">
        <v>77</v>
      </c>
      <c r="H30" s="417" t="s">
        <v>1067</v>
      </c>
      <c r="I30" s="48">
        <v>200000</v>
      </c>
      <c r="J30" s="40"/>
      <c r="K30" s="19" t="s">
        <v>201</v>
      </c>
      <c r="L30" s="150" t="s">
        <v>209</v>
      </c>
      <c r="M30" s="150" t="s">
        <v>209</v>
      </c>
      <c r="N30" s="56" t="s">
        <v>305</v>
      </c>
      <c r="O30" s="2"/>
      <c r="P30" s="50"/>
      <c r="Q30" s="50"/>
      <c r="S30" s="15"/>
    </row>
    <row r="31" spans="1:19" ht="18.600000000000001" customHeight="1">
      <c r="A31" s="374"/>
      <c r="B31" s="152" t="str">
        <f t="shared" ref="B31:B33" si="2">+$E$3</f>
        <v>Esteban y Matias</v>
      </c>
      <c r="C31" s="222"/>
      <c r="D31" s="38"/>
      <c r="E31" s="209"/>
      <c r="F31" s="416"/>
      <c r="G31" s="42"/>
      <c r="H31" s="417"/>
      <c r="I31" s="48"/>
      <c r="J31" s="40"/>
      <c r="K31" s="48"/>
      <c r="L31" s="87"/>
      <c r="M31" s="56"/>
      <c r="N31" s="56"/>
      <c r="O31" s="2"/>
      <c r="P31" s="50"/>
      <c r="Q31" s="50"/>
      <c r="S31" s="15"/>
    </row>
    <row r="32" spans="1:19" s="138" customFormat="1" ht="28.9">
      <c r="A32" s="168" t="s">
        <v>218</v>
      </c>
      <c r="B32" s="156" t="str">
        <f t="shared" si="0"/>
        <v>Esteban y Matias</v>
      </c>
      <c r="C32" s="171">
        <v>46205</v>
      </c>
      <c r="D32" s="130"/>
      <c r="E32" s="317"/>
      <c r="F32" s="465"/>
      <c r="G32" s="131"/>
      <c r="H32" s="487"/>
      <c r="I32" s="132"/>
      <c r="J32" s="132"/>
      <c r="K32" s="368"/>
      <c r="L32" s="369"/>
      <c r="M32" s="135"/>
      <c r="N32" s="135"/>
      <c r="O32" s="140"/>
      <c r="P32" s="370"/>
      <c r="Q32" s="370"/>
      <c r="S32" s="371"/>
    </row>
    <row r="33" spans="1:19" ht="18.600000000000001" customHeight="1">
      <c r="A33" s="374"/>
      <c r="B33" s="152" t="str">
        <f t="shared" si="2"/>
        <v>Esteban y Matias</v>
      </c>
      <c r="C33" s="213">
        <v>46211</v>
      </c>
      <c r="D33" s="401" t="s">
        <v>364</v>
      </c>
      <c r="E33" s="402" t="s">
        <v>443</v>
      </c>
      <c r="F33" s="505" t="s">
        <v>1071</v>
      </c>
      <c r="G33" s="402" t="s">
        <v>79</v>
      </c>
      <c r="H33" s="515" t="s">
        <v>52</v>
      </c>
      <c r="I33" s="276">
        <v>200000</v>
      </c>
      <c r="J33" s="40"/>
      <c r="K33" s="48" t="s">
        <v>629</v>
      </c>
      <c r="L33" s="56" t="s">
        <v>732</v>
      </c>
      <c r="M33" s="56" t="s">
        <v>732</v>
      </c>
      <c r="N33" s="56" t="s">
        <v>305</v>
      </c>
      <c r="O33" s="2"/>
      <c r="P33" s="50"/>
      <c r="Q33" s="50"/>
      <c r="S33" s="15"/>
    </row>
    <row r="34" spans="1:19" ht="18.600000000000001" customHeight="1">
      <c r="A34" s="374"/>
      <c r="B34" s="27" t="str">
        <f t="shared" ref="B34:B36" si="3">+$E$3</f>
        <v>Esteban y Matias</v>
      </c>
      <c r="C34" s="213">
        <v>46211</v>
      </c>
      <c r="D34" s="401" t="s">
        <v>364</v>
      </c>
      <c r="E34" s="402" t="s">
        <v>443</v>
      </c>
      <c r="F34" s="505" t="s">
        <v>1072</v>
      </c>
      <c r="G34" s="402" t="s">
        <v>76</v>
      </c>
      <c r="H34" s="515" t="s">
        <v>1067</v>
      </c>
      <c r="I34" s="276">
        <v>70000</v>
      </c>
      <c r="J34" s="40"/>
      <c r="K34" s="48" t="s">
        <v>629</v>
      </c>
      <c r="L34" s="56" t="s">
        <v>732</v>
      </c>
      <c r="M34" s="56" t="s">
        <v>732</v>
      </c>
      <c r="N34" s="56" t="s">
        <v>305</v>
      </c>
      <c r="O34" s="2"/>
      <c r="P34" s="50"/>
      <c r="Q34" s="50"/>
      <c r="S34" s="15"/>
    </row>
    <row r="35" spans="1:19" ht="18.600000000000001" customHeight="1">
      <c r="A35" s="374"/>
      <c r="B35" s="152" t="str">
        <f t="shared" si="3"/>
        <v>Esteban y Matias</v>
      </c>
      <c r="C35" s="213">
        <v>46205</v>
      </c>
      <c r="D35" s="403" t="s">
        <v>1073</v>
      </c>
      <c r="E35" s="404" t="s">
        <v>1074</v>
      </c>
      <c r="F35" s="505" t="s">
        <v>1075</v>
      </c>
      <c r="G35" s="402" t="s">
        <v>119</v>
      </c>
      <c r="H35" s="515" t="s">
        <v>1076</v>
      </c>
      <c r="I35" s="276">
        <v>368917.65</v>
      </c>
      <c r="J35" s="40"/>
      <c r="K35" s="48" t="s">
        <v>399</v>
      </c>
      <c r="L35" s="56" t="s">
        <v>732</v>
      </c>
      <c r="M35" s="56" t="s">
        <v>732</v>
      </c>
      <c r="N35" s="56" t="s">
        <v>305</v>
      </c>
      <c r="O35" s="2"/>
      <c r="P35" s="50"/>
      <c r="Q35" s="50"/>
      <c r="S35" s="15"/>
    </row>
    <row r="36" spans="1:19" ht="18.600000000000001" customHeight="1">
      <c r="A36" s="374"/>
      <c r="B36" s="152" t="str">
        <f t="shared" si="3"/>
        <v>Esteban y Matias</v>
      </c>
      <c r="C36" s="213">
        <v>46210</v>
      </c>
      <c r="D36" s="403" t="s">
        <v>1077</v>
      </c>
      <c r="E36" s="404" t="s">
        <v>1078</v>
      </c>
      <c r="F36" s="505" t="s">
        <v>1079</v>
      </c>
      <c r="G36" s="402" t="s">
        <v>119</v>
      </c>
      <c r="H36" s="515" t="s">
        <v>1076</v>
      </c>
      <c r="I36" s="276">
        <v>325000.25</v>
      </c>
      <c r="J36" s="40"/>
      <c r="K36" s="48" t="s">
        <v>399</v>
      </c>
      <c r="L36" s="56" t="s">
        <v>732</v>
      </c>
      <c r="M36" s="56" t="s">
        <v>732</v>
      </c>
      <c r="N36" s="56" t="s">
        <v>305</v>
      </c>
      <c r="O36" s="2"/>
      <c r="P36" s="50"/>
      <c r="Q36" s="50"/>
      <c r="S36" s="15"/>
    </row>
    <row r="37" spans="1:19" s="138" customFormat="1" ht="28.9">
      <c r="A37" s="168" t="s">
        <v>218</v>
      </c>
      <c r="B37" s="156" t="str">
        <f t="shared" si="0"/>
        <v>Esteban y Matias</v>
      </c>
      <c r="C37" s="171">
        <v>46219</v>
      </c>
      <c r="D37" s="130"/>
      <c r="E37" s="317"/>
      <c r="F37" s="465"/>
      <c r="G37" s="131"/>
      <c r="H37" s="487"/>
      <c r="I37" s="132"/>
      <c r="J37" s="132"/>
      <c r="K37" s="368"/>
      <c r="L37" s="369"/>
      <c r="M37" s="135"/>
      <c r="N37" s="135"/>
      <c r="O37" s="140"/>
      <c r="P37" s="370"/>
      <c r="Q37" s="370"/>
      <c r="S37" s="371"/>
    </row>
    <row r="38" spans="1:19" ht="18.600000000000001" customHeight="1">
      <c r="A38" s="374"/>
      <c r="B38" s="152" t="str">
        <f>+$E$3</f>
        <v>Esteban y Matias</v>
      </c>
      <c r="C38" s="27">
        <v>46223</v>
      </c>
      <c r="D38" s="272" t="s">
        <v>364</v>
      </c>
      <c r="E38" s="42" t="s">
        <v>443</v>
      </c>
      <c r="F38" s="416" t="s">
        <v>1080</v>
      </c>
      <c r="G38" s="42" t="s">
        <v>80</v>
      </c>
      <c r="H38" s="86" t="s">
        <v>1067</v>
      </c>
      <c r="I38" s="48">
        <v>170000</v>
      </c>
      <c r="J38" s="40"/>
      <c r="K38" s="48" t="s">
        <v>629</v>
      </c>
      <c r="L38" s="150" t="s">
        <v>209</v>
      </c>
      <c r="M38" s="150" t="s">
        <v>209</v>
      </c>
      <c r="N38" s="56" t="s">
        <v>305</v>
      </c>
      <c r="O38" s="2"/>
      <c r="P38" s="50"/>
      <c r="Q38" s="50"/>
      <c r="S38" s="15"/>
    </row>
    <row r="39" spans="1:19" ht="18.600000000000001" customHeight="1">
      <c r="A39" s="374"/>
      <c r="B39" s="27" t="str">
        <f t="shared" ref="B39:B44" si="4">+$E$3</f>
        <v>Esteban y Matias</v>
      </c>
      <c r="C39" s="27">
        <v>46224</v>
      </c>
      <c r="D39" s="272" t="s">
        <v>364</v>
      </c>
      <c r="E39" s="42" t="s">
        <v>443</v>
      </c>
      <c r="F39" s="416" t="s">
        <v>1080</v>
      </c>
      <c r="G39" s="42" t="s">
        <v>80</v>
      </c>
      <c r="H39" s="86" t="s">
        <v>1067</v>
      </c>
      <c r="I39" s="48">
        <v>170000</v>
      </c>
      <c r="J39" s="40"/>
      <c r="K39" s="48" t="s">
        <v>629</v>
      </c>
      <c r="L39" s="150" t="s">
        <v>209</v>
      </c>
      <c r="M39" s="150" t="s">
        <v>209</v>
      </c>
      <c r="N39" s="56" t="s">
        <v>305</v>
      </c>
      <c r="O39" s="2"/>
      <c r="P39" s="50"/>
      <c r="Q39" s="50"/>
      <c r="S39" s="15"/>
    </row>
    <row r="40" spans="1:19" ht="18.600000000000001" customHeight="1">
      <c r="A40" s="374"/>
      <c r="B40" s="152" t="str">
        <f t="shared" si="4"/>
        <v>Esteban y Matias</v>
      </c>
      <c r="C40" s="27">
        <v>46218</v>
      </c>
      <c r="D40" s="38" t="s">
        <v>1081</v>
      </c>
      <c r="E40" s="209" t="s">
        <v>808</v>
      </c>
      <c r="F40" s="416" t="s">
        <v>1082</v>
      </c>
      <c r="G40" s="42" t="s">
        <v>5</v>
      </c>
      <c r="H40" s="417" t="s">
        <v>1083</v>
      </c>
      <c r="I40" s="48">
        <v>2350729.15</v>
      </c>
      <c r="J40" s="40"/>
      <c r="K40" s="48" t="s">
        <v>629</v>
      </c>
      <c r="L40" s="284" t="s">
        <v>209</v>
      </c>
      <c r="M40" s="56" t="s">
        <v>732</v>
      </c>
      <c r="N40" s="56" t="s">
        <v>305</v>
      </c>
      <c r="O40" s="2"/>
      <c r="P40" s="50"/>
      <c r="Q40" s="50"/>
      <c r="S40" s="15"/>
    </row>
    <row r="41" spans="1:19" ht="18.600000000000001" customHeight="1">
      <c r="A41" s="374"/>
      <c r="B41" s="27" t="str">
        <f>+$E$3</f>
        <v>Esteban y Matias</v>
      </c>
      <c r="C41" s="27"/>
      <c r="D41" s="38" t="s">
        <v>1084</v>
      </c>
      <c r="E41" s="209" t="s">
        <v>808</v>
      </c>
      <c r="F41" s="416" t="s">
        <v>1082</v>
      </c>
      <c r="G41" s="42" t="s">
        <v>5</v>
      </c>
      <c r="H41" s="417" t="s">
        <v>1084</v>
      </c>
      <c r="I41" s="282">
        <v>-43692</v>
      </c>
      <c r="J41" s="40"/>
      <c r="K41" s="48" t="s">
        <v>629</v>
      </c>
      <c r="L41" s="56" t="s">
        <v>732</v>
      </c>
      <c r="M41" s="56" t="s">
        <v>732</v>
      </c>
      <c r="N41" s="56" t="s">
        <v>305</v>
      </c>
      <c r="O41" s="2"/>
      <c r="P41" s="50"/>
      <c r="Q41" s="50"/>
      <c r="S41" s="15"/>
    </row>
    <row r="42" spans="1:19" ht="18.600000000000001" customHeight="1">
      <c r="A42" s="374"/>
      <c r="B42" s="152" t="str">
        <f t="shared" si="4"/>
        <v>Esteban y Matias</v>
      </c>
      <c r="C42" s="27">
        <v>46230</v>
      </c>
      <c r="D42" s="272" t="s">
        <v>364</v>
      </c>
      <c r="E42" s="42" t="s">
        <v>443</v>
      </c>
      <c r="F42" s="416" t="s">
        <v>1085</v>
      </c>
      <c r="G42" s="42" t="s">
        <v>117</v>
      </c>
      <c r="H42" s="417" t="s">
        <v>1086</v>
      </c>
      <c r="I42" s="48">
        <v>319803</v>
      </c>
      <c r="J42" s="40"/>
      <c r="K42" s="48" t="s">
        <v>629</v>
      </c>
      <c r="L42" s="150" t="s">
        <v>209</v>
      </c>
      <c r="M42" s="150" t="s">
        <v>209</v>
      </c>
      <c r="N42" s="56" t="s">
        <v>305</v>
      </c>
      <c r="O42" s="2"/>
      <c r="P42" s="50"/>
      <c r="Q42" s="50"/>
      <c r="S42" s="15"/>
    </row>
    <row r="43" spans="1:19" ht="18.600000000000001" customHeight="1">
      <c r="A43" s="374"/>
      <c r="B43" s="152" t="str">
        <f t="shared" si="4"/>
        <v>Esteban y Matias</v>
      </c>
      <c r="C43" s="27">
        <v>46231</v>
      </c>
      <c r="D43" s="272" t="s">
        <v>364</v>
      </c>
      <c r="E43" s="42" t="s">
        <v>443</v>
      </c>
      <c r="F43" s="416" t="s">
        <v>1087</v>
      </c>
      <c r="G43" s="42" t="s">
        <v>119</v>
      </c>
      <c r="H43" s="417" t="s">
        <v>1076</v>
      </c>
      <c r="I43" s="48"/>
      <c r="J43" s="40"/>
      <c r="K43" s="48" t="s">
        <v>629</v>
      </c>
      <c r="L43" s="150" t="s">
        <v>209</v>
      </c>
      <c r="M43" s="56" t="s">
        <v>732</v>
      </c>
      <c r="N43" s="56" t="s">
        <v>305</v>
      </c>
      <c r="O43" s="2"/>
      <c r="P43" s="50"/>
      <c r="Q43" s="50"/>
      <c r="S43" s="15"/>
    </row>
    <row r="44" spans="1:19" ht="18.600000000000001" customHeight="1">
      <c r="A44" s="374"/>
      <c r="B44" s="152" t="str">
        <f t="shared" si="4"/>
        <v>Esteban y Matias</v>
      </c>
      <c r="C44" s="27">
        <v>46231</v>
      </c>
      <c r="D44" s="272" t="s">
        <v>364</v>
      </c>
      <c r="E44" s="42" t="s">
        <v>443</v>
      </c>
      <c r="F44" s="416" t="s">
        <v>1088</v>
      </c>
      <c r="G44" s="42" t="s">
        <v>119</v>
      </c>
      <c r="H44" s="417" t="s">
        <v>1076</v>
      </c>
      <c r="I44" s="48">
        <v>542491.19999999995</v>
      </c>
      <c r="J44" s="40"/>
      <c r="K44" s="48" t="s">
        <v>629</v>
      </c>
      <c r="L44" s="150" t="s">
        <v>209</v>
      </c>
      <c r="M44" s="150" t="s">
        <v>209</v>
      </c>
      <c r="N44" s="56" t="s">
        <v>305</v>
      </c>
      <c r="O44" s="2"/>
      <c r="P44" s="50"/>
      <c r="Q44" s="50"/>
      <c r="S44" s="15"/>
    </row>
    <row r="45" spans="1:19" s="138" customFormat="1" ht="28.9">
      <c r="A45" s="168" t="s">
        <v>218</v>
      </c>
      <c r="B45" s="156" t="str">
        <f t="shared" si="0"/>
        <v>Esteban y Matias</v>
      </c>
      <c r="C45" s="171">
        <v>46233</v>
      </c>
      <c r="D45" s="130"/>
      <c r="E45" s="317"/>
      <c r="F45" s="465"/>
      <c r="G45" s="131"/>
      <c r="H45" s="487"/>
      <c r="I45" s="132"/>
      <c r="J45" s="132"/>
      <c r="K45" s="368"/>
      <c r="L45" s="369"/>
      <c r="M45" s="135"/>
      <c r="N45" s="135"/>
      <c r="O45" s="140"/>
      <c r="P45" s="370"/>
      <c r="Q45" s="370"/>
      <c r="S45" s="371"/>
    </row>
    <row r="46" spans="1:19" ht="18.600000000000001" customHeight="1">
      <c r="A46" s="374"/>
      <c r="B46" s="152" t="str">
        <f t="shared" ref="B46" si="5">+$E$3</f>
        <v>Esteban y Matias</v>
      </c>
      <c r="C46" s="27">
        <v>46245</v>
      </c>
      <c r="D46" s="272" t="s">
        <v>364</v>
      </c>
      <c r="E46" s="42" t="s">
        <v>443</v>
      </c>
      <c r="F46" s="416" t="s">
        <v>1089</v>
      </c>
      <c r="G46" s="42" t="s">
        <v>95</v>
      </c>
      <c r="H46" s="417" t="s">
        <v>1076</v>
      </c>
      <c r="I46" s="48">
        <v>9176000</v>
      </c>
      <c r="J46" s="40"/>
      <c r="K46" s="48" t="s">
        <v>629</v>
      </c>
      <c r="L46" s="150" t="s">
        <v>209</v>
      </c>
      <c r="M46" s="150" t="s">
        <v>209</v>
      </c>
      <c r="N46" s="56" t="s">
        <v>305</v>
      </c>
      <c r="O46" s="2"/>
      <c r="P46" s="50"/>
      <c r="Q46" s="50"/>
      <c r="S46" s="15"/>
    </row>
    <row r="47" spans="1:19" ht="18.600000000000001" customHeight="1">
      <c r="A47" s="374"/>
      <c r="B47" s="27" t="str">
        <f t="shared" ref="B47:B69" si="6">+$E$3</f>
        <v>Esteban y Matias</v>
      </c>
      <c r="C47" s="27"/>
      <c r="D47" s="38"/>
      <c r="E47" s="38"/>
      <c r="F47" s="416"/>
      <c r="G47" s="42"/>
      <c r="H47" s="417"/>
      <c r="I47" s="48"/>
      <c r="J47" s="40"/>
      <c r="K47" s="48"/>
      <c r="L47" s="86"/>
      <c r="M47" s="56"/>
      <c r="N47" s="56"/>
      <c r="O47" s="2"/>
      <c r="P47" s="50"/>
      <c r="Q47" s="50"/>
      <c r="S47" s="15"/>
    </row>
    <row r="48" spans="1:19" s="138" customFormat="1" ht="28.9">
      <c r="A48" s="168" t="s">
        <v>218</v>
      </c>
      <c r="B48" s="156" t="str">
        <f t="shared" si="0"/>
        <v>Esteban y Matias</v>
      </c>
      <c r="C48" s="171">
        <v>46247</v>
      </c>
      <c r="D48" s="130"/>
      <c r="E48" s="317"/>
      <c r="F48" s="465"/>
      <c r="G48" s="131"/>
      <c r="H48" s="487"/>
      <c r="I48" s="132"/>
      <c r="J48" s="132"/>
      <c r="K48" s="368"/>
      <c r="L48" s="369"/>
      <c r="M48" s="135"/>
      <c r="N48" s="135"/>
      <c r="O48" s="140"/>
      <c r="P48" s="370"/>
      <c r="Q48" s="370"/>
      <c r="S48" s="371"/>
    </row>
    <row r="49" spans="1:19" ht="18.600000000000001" customHeight="1">
      <c r="A49" s="374"/>
      <c r="B49" s="152" t="str">
        <f t="shared" si="6"/>
        <v>Esteban y Matias</v>
      </c>
      <c r="C49" s="27"/>
      <c r="D49" s="209"/>
      <c r="E49" s="209" t="s">
        <v>808</v>
      </c>
      <c r="F49" s="416" t="s">
        <v>1090</v>
      </c>
      <c r="G49" s="42" t="s">
        <v>14</v>
      </c>
      <c r="H49" s="417" t="s">
        <v>1091</v>
      </c>
      <c r="I49" s="48"/>
      <c r="J49" s="40"/>
      <c r="K49" s="48" t="s">
        <v>629</v>
      </c>
      <c r="L49" s="56" t="s">
        <v>732</v>
      </c>
      <c r="M49" s="56" t="s">
        <v>732</v>
      </c>
      <c r="N49" s="56" t="s">
        <v>305</v>
      </c>
      <c r="O49" s="2"/>
      <c r="P49" s="50"/>
      <c r="Q49" s="50"/>
      <c r="S49" s="15"/>
    </row>
    <row r="50" spans="1:19" ht="18.600000000000001" customHeight="1">
      <c r="A50" s="374"/>
      <c r="B50" s="152" t="str">
        <f t="shared" si="6"/>
        <v>Esteban y Matias</v>
      </c>
      <c r="C50" s="27">
        <v>46253</v>
      </c>
      <c r="D50" s="209"/>
      <c r="E50" s="209" t="s">
        <v>808</v>
      </c>
      <c r="F50" s="416" t="s">
        <v>1092</v>
      </c>
      <c r="G50" s="42" t="s">
        <v>14</v>
      </c>
      <c r="H50" s="417" t="s">
        <v>1091</v>
      </c>
      <c r="I50" s="48"/>
      <c r="J50" s="40"/>
      <c r="K50" s="48" t="s">
        <v>629</v>
      </c>
      <c r="L50" s="56" t="s">
        <v>732</v>
      </c>
      <c r="M50" s="56" t="s">
        <v>732</v>
      </c>
      <c r="N50" s="56" t="s">
        <v>305</v>
      </c>
      <c r="O50" s="2"/>
      <c r="P50" s="50"/>
      <c r="Q50" s="50"/>
      <c r="S50" s="15"/>
    </row>
    <row r="51" spans="1:19" ht="18.600000000000001" customHeight="1">
      <c r="A51" s="374"/>
      <c r="B51" s="152" t="str">
        <f t="shared" si="6"/>
        <v>Esteban y Matias</v>
      </c>
      <c r="C51" s="27">
        <v>46254</v>
      </c>
      <c r="D51" s="272" t="s">
        <v>364</v>
      </c>
      <c r="E51" s="46" t="s">
        <v>443</v>
      </c>
      <c r="F51" s="416" t="s">
        <v>1093</v>
      </c>
      <c r="G51" s="42" t="s">
        <v>119</v>
      </c>
      <c r="H51" s="417" t="s">
        <v>1076</v>
      </c>
      <c r="I51" s="48">
        <v>1449690</v>
      </c>
      <c r="J51" s="40"/>
      <c r="K51" s="48" t="s">
        <v>629</v>
      </c>
      <c r="L51" s="56" t="s">
        <v>732</v>
      </c>
      <c r="M51" s="56" t="s">
        <v>732</v>
      </c>
      <c r="N51" s="56"/>
      <c r="O51" s="2"/>
      <c r="P51" s="50"/>
      <c r="Q51" s="50"/>
      <c r="S51" s="15"/>
    </row>
    <row r="52" spans="1:19" ht="18.600000000000001" customHeight="1">
      <c r="A52" s="374"/>
      <c r="B52" s="27" t="str">
        <f t="shared" ref="B52:B59" si="7">+$E$3</f>
        <v>Esteban y Matias</v>
      </c>
      <c r="C52" s="27">
        <v>46255</v>
      </c>
      <c r="D52" s="272" t="s">
        <v>364</v>
      </c>
      <c r="E52" s="46" t="s">
        <v>443</v>
      </c>
      <c r="F52" s="416" t="s">
        <v>1094</v>
      </c>
      <c r="G52" s="42" t="s">
        <v>129</v>
      </c>
      <c r="H52" s="417" t="s">
        <v>1095</v>
      </c>
      <c r="I52" s="48">
        <v>2700000</v>
      </c>
      <c r="J52" s="40"/>
      <c r="K52" s="48" t="s">
        <v>629</v>
      </c>
      <c r="L52" s="56" t="s">
        <v>732</v>
      </c>
      <c r="M52" s="56" t="s">
        <v>732</v>
      </c>
      <c r="N52" s="56" t="s">
        <v>305</v>
      </c>
      <c r="O52" s="2"/>
      <c r="P52" s="50"/>
      <c r="Q52" s="50"/>
      <c r="S52" s="15"/>
    </row>
    <row r="53" spans="1:19" ht="18.600000000000001" customHeight="1">
      <c r="A53" s="374"/>
      <c r="B53" s="152" t="str">
        <f t="shared" si="7"/>
        <v>Esteban y Matias</v>
      </c>
      <c r="C53" s="27">
        <v>46255</v>
      </c>
      <c r="D53" s="209"/>
      <c r="E53" s="209" t="s">
        <v>808</v>
      </c>
      <c r="F53" s="416" t="s">
        <v>1096</v>
      </c>
      <c r="G53" s="42" t="s">
        <v>144</v>
      </c>
      <c r="H53" s="417" t="s">
        <v>1097</v>
      </c>
      <c r="I53" s="48"/>
      <c r="J53" s="411">
        <v>760.66</v>
      </c>
      <c r="K53" s="48" t="s">
        <v>629</v>
      </c>
      <c r="L53" s="56" t="s">
        <v>732</v>
      </c>
      <c r="M53" s="56" t="s">
        <v>732</v>
      </c>
      <c r="N53" s="56"/>
      <c r="O53" s="2"/>
      <c r="P53" s="50"/>
      <c r="Q53" s="447" t="s">
        <v>1098</v>
      </c>
      <c r="S53" s="15"/>
    </row>
    <row r="54" spans="1:19" ht="18.600000000000001" customHeight="1">
      <c r="A54" s="374"/>
      <c r="B54" s="152" t="str">
        <f t="shared" si="7"/>
        <v>Esteban y Matias</v>
      </c>
      <c r="C54" s="27">
        <v>46255</v>
      </c>
      <c r="D54" s="209"/>
      <c r="E54" s="209" t="s">
        <v>808</v>
      </c>
      <c r="F54" s="416" t="s">
        <v>1099</v>
      </c>
      <c r="G54" s="42" t="s">
        <v>144</v>
      </c>
      <c r="H54" s="417" t="s">
        <v>1097</v>
      </c>
      <c r="I54" s="48"/>
      <c r="J54" s="411">
        <v>2395.8000000000002</v>
      </c>
      <c r="K54" s="48" t="s">
        <v>629</v>
      </c>
      <c r="L54" s="56" t="s">
        <v>732</v>
      </c>
      <c r="M54" s="56" t="s">
        <v>732</v>
      </c>
      <c r="N54" s="56"/>
      <c r="O54" s="2"/>
      <c r="P54" s="50"/>
      <c r="Q54" s="447" t="s">
        <v>1098</v>
      </c>
      <c r="S54" s="15"/>
    </row>
    <row r="55" spans="1:19" ht="18.600000000000001" customHeight="1">
      <c r="A55" s="374"/>
      <c r="B55" s="27" t="str">
        <f>+$E$3</f>
        <v>Esteban y Matias</v>
      </c>
      <c r="C55" s="27">
        <v>46259</v>
      </c>
      <c r="D55" s="272" t="s">
        <v>364</v>
      </c>
      <c r="E55" s="42" t="s">
        <v>443</v>
      </c>
      <c r="F55" s="416" t="s">
        <v>1100</v>
      </c>
      <c r="G55" s="42" t="s">
        <v>80</v>
      </c>
      <c r="H55" s="86" t="s">
        <v>1067</v>
      </c>
      <c r="I55" s="48">
        <v>180000</v>
      </c>
      <c r="J55" s="40"/>
      <c r="K55" s="48" t="s">
        <v>629</v>
      </c>
      <c r="L55" s="56" t="s">
        <v>732</v>
      </c>
      <c r="M55" s="56" t="s">
        <v>732</v>
      </c>
      <c r="N55" s="56"/>
      <c r="O55" s="2"/>
      <c r="P55" s="50"/>
      <c r="Q55" s="516"/>
      <c r="S55" s="15"/>
    </row>
    <row r="56" spans="1:19" ht="18.600000000000001" customHeight="1">
      <c r="A56" s="374"/>
      <c r="B56" s="27" t="str">
        <f>+$E$3</f>
        <v>Esteban y Matias</v>
      </c>
      <c r="C56" s="27">
        <v>46260</v>
      </c>
      <c r="D56" s="272" t="s">
        <v>364</v>
      </c>
      <c r="E56" s="42" t="s">
        <v>443</v>
      </c>
      <c r="F56" s="416" t="s">
        <v>1100</v>
      </c>
      <c r="G56" s="42" t="s">
        <v>80</v>
      </c>
      <c r="H56" s="86" t="s">
        <v>1067</v>
      </c>
      <c r="I56" s="48">
        <v>180000</v>
      </c>
      <c r="J56" s="40"/>
      <c r="K56" s="48" t="s">
        <v>629</v>
      </c>
      <c r="L56" s="56" t="s">
        <v>732</v>
      </c>
      <c r="M56" s="56" t="s">
        <v>732</v>
      </c>
      <c r="N56" s="56"/>
      <c r="O56" s="2"/>
      <c r="P56" s="50"/>
      <c r="Q56" s="516"/>
      <c r="S56" s="15"/>
    </row>
    <row r="57" spans="1:19" ht="18.600000000000001" customHeight="1">
      <c r="A57" s="374"/>
      <c r="B57" s="152" t="str">
        <f t="shared" si="7"/>
        <v>Esteban y Matias</v>
      </c>
      <c r="C57" s="27"/>
      <c r="D57" s="209"/>
      <c r="E57" s="38"/>
      <c r="F57" s="416"/>
      <c r="G57" s="42"/>
      <c r="H57" s="417"/>
      <c r="I57" s="48"/>
      <c r="J57" s="40"/>
      <c r="K57" s="48"/>
      <c r="L57" s="87"/>
      <c r="M57" s="56"/>
      <c r="N57" s="56"/>
      <c r="O57" s="2"/>
      <c r="P57" s="50"/>
      <c r="Q57" s="50"/>
      <c r="S57" s="15"/>
    </row>
    <row r="58" spans="1:19" s="138" customFormat="1" ht="28.9">
      <c r="A58" s="168" t="s">
        <v>218</v>
      </c>
      <c r="B58" s="156" t="str">
        <f t="shared" si="0"/>
        <v>Esteban y Matias</v>
      </c>
      <c r="C58" s="171">
        <v>46261</v>
      </c>
      <c r="D58" s="130"/>
      <c r="E58" s="317"/>
      <c r="F58" s="465"/>
      <c r="G58" s="131"/>
      <c r="H58" s="487"/>
      <c r="I58" s="132"/>
      <c r="J58" s="132"/>
      <c r="K58" s="368"/>
      <c r="L58" s="369"/>
      <c r="M58" s="135"/>
      <c r="N58" s="135"/>
      <c r="O58" s="140"/>
      <c r="P58" s="370"/>
      <c r="Q58" s="370"/>
      <c r="S58" s="371"/>
    </row>
    <row r="59" spans="1:19" ht="18.600000000000001" customHeight="1">
      <c r="A59" s="374"/>
      <c r="B59" s="152" t="str">
        <f t="shared" si="7"/>
        <v>Esteban y Matias</v>
      </c>
      <c r="C59" s="27">
        <v>46266</v>
      </c>
      <c r="D59" s="272" t="s">
        <v>364</v>
      </c>
      <c r="E59" s="42" t="s">
        <v>443</v>
      </c>
      <c r="F59" s="416" t="s">
        <v>1101</v>
      </c>
      <c r="G59" s="42" t="s">
        <v>77</v>
      </c>
      <c r="H59" s="86" t="s">
        <v>817</v>
      </c>
      <c r="I59" s="48">
        <v>200000</v>
      </c>
      <c r="J59" s="40"/>
      <c r="K59" s="48" t="s">
        <v>629</v>
      </c>
      <c r="L59" s="56" t="s">
        <v>732</v>
      </c>
      <c r="M59" s="56" t="s">
        <v>732</v>
      </c>
      <c r="N59" s="56"/>
      <c r="O59" s="2"/>
      <c r="P59" s="50"/>
      <c r="Q59" s="50"/>
      <c r="S59" s="15"/>
    </row>
    <row r="60" spans="1:19" ht="18.600000000000001" customHeight="1">
      <c r="A60" s="374"/>
      <c r="B60" s="152" t="str">
        <f t="shared" si="6"/>
        <v>Esteban y Matias</v>
      </c>
      <c r="C60" s="27">
        <v>46274</v>
      </c>
      <c r="D60" s="272" t="s">
        <v>364</v>
      </c>
      <c r="E60" s="42" t="s">
        <v>443</v>
      </c>
      <c r="F60" s="416" t="s">
        <v>1102</v>
      </c>
      <c r="G60" s="42" t="s">
        <v>77</v>
      </c>
      <c r="H60" s="86" t="s">
        <v>817</v>
      </c>
      <c r="I60" s="48">
        <f>2*200000</f>
        <v>400000</v>
      </c>
      <c r="J60" s="40"/>
      <c r="K60" s="48" t="s">
        <v>629</v>
      </c>
      <c r="L60" s="56" t="s">
        <v>732</v>
      </c>
      <c r="M60" s="56" t="s">
        <v>732</v>
      </c>
      <c r="N60" s="56"/>
      <c r="O60" s="2"/>
      <c r="P60" s="50"/>
      <c r="Q60" s="50"/>
      <c r="R60" t="s">
        <v>1103</v>
      </c>
      <c r="S60" s="15"/>
    </row>
    <row r="61" spans="1:19" ht="18.600000000000001" customHeight="1">
      <c r="A61" s="374"/>
      <c r="B61" s="27" t="str">
        <f t="shared" ref="B61:B68" si="8">+$E$3</f>
        <v>Esteban y Matias</v>
      </c>
      <c r="C61" s="27">
        <v>46275</v>
      </c>
      <c r="D61" s="272" t="s">
        <v>364</v>
      </c>
      <c r="E61" s="42" t="s">
        <v>443</v>
      </c>
      <c r="F61" s="416" t="s">
        <v>1101</v>
      </c>
      <c r="G61" s="42" t="s">
        <v>77</v>
      </c>
      <c r="H61" s="86" t="s">
        <v>817</v>
      </c>
      <c r="I61" s="48">
        <f>2*200000</f>
        <v>400000</v>
      </c>
      <c r="J61" s="40"/>
      <c r="K61" s="48" t="s">
        <v>629</v>
      </c>
      <c r="L61" s="56" t="s">
        <v>732</v>
      </c>
      <c r="M61" s="56" t="s">
        <v>732</v>
      </c>
      <c r="N61" s="56"/>
      <c r="O61" s="2"/>
      <c r="P61" s="50"/>
      <c r="Q61" s="50"/>
      <c r="R61" t="s">
        <v>1103</v>
      </c>
      <c r="S61" s="15"/>
    </row>
    <row r="62" spans="1:19" ht="18.600000000000001" customHeight="1">
      <c r="A62" s="374"/>
      <c r="B62" s="152" t="str">
        <f t="shared" si="8"/>
        <v>Esteban y Matias</v>
      </c>
      <c r="C62" s="27"/>
      <c r="D62" s="272"/>
      <c r="E62" s="42"/>
      <c r="F62" s="416"/>
      <c r="G62" s="42"/>
      <c r="H62" s="86"/>
      <c r="I62" s="48"/>
      <c r="J62" s="40"/>
      <c r="K62" s="48"/>
      <c r="L62" s="56"/>
      <c r="M62" s="56"/>
      <c r="N62" s="56"/>
      <c r="O62" s="2"/>
      <c r="P62" s="50"/>
      <c r="Q62" s="50"/>
      <c r="S62" s="15"/>
    </row>
    <row r="63" spans="1:19" ht="18.600000000000001" customHeight="1">
      <c r="A63" s="374"/>
      <c r="B63" s="152" t="str">
        <f t="shared" si="8"/>
        <v>Esteban y Matias</v>
      </c>
      <c r="C63" s="27"/>
      <c r="D63" s="209"/>
      <c r="E63" s="38"/>
      <c r="F63" s="416"/>
      <c r="G63" s="42"/>
      <c r="H63" s="417"/>
      <c r="I63" s="48"/>
      <c r="J63" s="40"/>
      <c r="K63" s="48"/>
      <c r="L63" s="87"/>
      <c r="M63" s="56"/>
      <c r="N63" s="56"/>
      <c r="O63" s="2"/>
      <c r="P63" s="50"/>
      <c r="Q63" s="50"/>
      <c r="S63" s="15"/>
    </row>
    <row r="64" spans="1:19" ht="18.600000000000001" customHeight="1">
      <c r="A64" s="374"/>
      <c r="B64" s="152" t="str">
        <f t="shared" si="8"/>
        <v>Esteban y Matias</v>
      </c>
      <c r="C64" s="27"/>
      <c r="D64" s="209"/>
      <c r="E64" s="38"/>
      <c r="F64" s="416"/>
      <c r="G64" s="42"/>
      <c r="H64" s="417"/>
      <c r="I64" s="48"/>
      <c r="J64" s="40"/>
      <c r="K64" s="48"/>
      <c r="L64" s="87"/>
      <c r="M64" s="56"/>
      <c r="N64" s="56"/>
      <c r="O64" s="2"/>
      <c r="P64" s="50"/>
      <c r="Q64" s="50"/>
      <c r="S64" s="15"/>
    </row>
    <row r="65" spans="1:20" ht="18.600000000000001" customHeight="1">
      <c r="A65" s="374"/>
      <c r="B65" s="152" t="str">
        <f t="shared" si="8"/>
        <v>Esteban y Matias</v>
      </c>
      <c r="C65" s="27"/>
      <c r="D65" s="209"/>
      <c r="E65" s="38"/>
      <c r="F65" s="416"/>
      <c r="G65" s="42"/>
      <c r="H65" s="417"/>
      <c r="I65" s="48"/>
      <c r="J65" s="40"/>
      <c r="K65" s="48"/>
      <c r="L65" s="87"/>
      <c r="M65" s="56"/>
      <c r="N65" s="56"/>
      <c r="O65" s="2"/>
      <c r="P65" s="50"/>
      <c r="Q65" s="50"/>
      <c r="S65" s="15"/>
    </row>
    <row r="66" spans="1:20" s="311" customFormat="1" ht="16.5" customHeight="1">
      <c r="A66" s="367" t="s">
        <v>257</v>
      </c>
      <c r="B66" s="361" t="str">
        <f t="shared" si="8"/>
        <v>Esteban y Matias</v>
      </c>
      <c r="C66" s="302">
        <v>46275</v>
      </c>
      <c r="D66" s="303"/>
      <c r="E66" s="362"/>
      <c r="F66" s="467"/>
      <c r="G66" s="304"/>
      <c r="H66" s="467"/>
      <c r="I66" s="305"/>
      <c r="J66" s="305"/>
      <c r="K66" s="363"/>
      <c r="L66" s="364"/>
      <c r="M66" s="308"/>
      <c r="N66" s="308"/>
      <c r="O66" s="365"/>
      <c r="P66" s="366"/>
      <c r="Q66" s="366"/>
      <c r="T66" s="360"/>
    </row>
    <row r="67" spans="1:20" ht="18.600000000000001" customHeight="1">
      <c r="A67" s="374"/>
      <c r="B67" s="152" t="str">
        <f t="shared" si="8"/>
        <v>Esteban y Matias</v>
      </c>
      <c r="C67" s="27">
        <v>46288</v>
      </c>
      <c r="D67" s="272" t="s">
        <v>364</v>
      </c>
      <c r="E67" s="272" t="s">
        <v>808</v>
      </c>
      <c r="F67" s="416" t="s">
        <v>1104</v>
      </c>
      <c r="G67" s="42" t="s">
        <v>14</v>
      </c>
      <c r="H67" s="417" t="s">
        <v>216</v>
      </c>
      <c r="I67" s="48">
        <v>168000</v>
      </c>
      <c r="J67" s="40"/>
      <c r="K67" s="48" t="s">
        <v>629</v>
      </c>
      <c r="L67" s="56" t="s">
        <v>732</v>
      </c>
      <c r="M67" s="56" t="s">
        <v>732</v>
      </c>
      <c r="N67" s="56"/>
      <c r="O67" s="2"/>
      <c r="P67" s="50"/>
      <c r="Q67" s="50"/>
      <c r="S67" s="15"/>
    </row>
    <row r="68" spans="1:20" ht="18.600000000000001" customHeight="1">
      <c r="A68" s="374"/>
      <c r="B68" s="152" t="str">
        <f t="shared" si="8"/>
        <v>Esteban y Matias</v>
      </c>
      <c r="C68" s="27">
        <v>46288</v>
      </c>
      <c r="D68" s="272" t="s">
        <v>364</v>
      </c>
      <c r="E68" s="42" t="s">
        <v>443</v>
      </c>
      <c r="F68" s="416" t="s">
        <v>1105</v>
      </c>
      <c r="G68" s="42" t="s">
        <v>76</v>
      </c>
      <c r="H68" s="86" t="s">
        <v>817</v>
      </c>
      <c r="I68" s="48">
        <v>60000</v>
      </c>
      <c r="J68" s="40"/>
      <c r="K68" s="48" t="s">
        <v>629</v>
      </c>
      <c r="L68" s="56" t="s">
        <v>732</v>
      </c>
      <c r="M68" s="56"/>
      <c r="N68" s="56"/>
      <c r="O68" s="2"/>
      <c r="P68" s="50"/>
      <c r="Q68" s="50"/>
      <c r="S68" s="15"/>
    </row>
    <row r="69" spans="1:20" ht="18.600000000000001" customHeight="1">
      <c r="A69" s="374"/>
      <c r="B69" s="152" t="str">
        <f t="shared" si="6"/>
        <v>Esteban y Matias</v>
      </c>
      <c r="C69" s="27"/>
      <c r="D69" s="209"/>
      <c r="E69" s="38"/>
      <c r="F69" s="416"/>
      <c r="G69" s="42"/>
      <c r="H69" s="417"/>
      <c r="I69" s="48"/>
      <c r="J69" s="40"/>
      <c r="K69" s="48"/>
      <c r="L69" s="87"/>
      <c r="M69" s="56"/>
      <c r="N69" s="56"/>
      <c r="O69" s="2"/>
      <c r="P69" s="50"/>
      <c r="Q69" s="50"/>
      <c r="S69" s="15"/>
    </row>
    <row r="70" spans="1:20">
      <c r="B70" s="152" t="str">
        <f t="shared" si="0"/>
        <v>Esteban y Matias</v>
      </c>
      <c r="C70" s="27"/>
      <c r="D70" s="469"/>
      <c r="E70" s="38"/>
      <c r="F70" s="419"/>
      <c r="G70" s="373"/>
      <c r="H70" s="490"/>
      <c r="I70" s="48"/>
      <c r="J70" s="4"/>
      <c r="K70" s="4"/>
      <c r="L70" s="14"/>
      <c r="M70" s="56"/>
      <c r="N70" s="56"/>
      <c r="O70" s="2"/>
      <c r="P70" s="50"/>
      <c r="Q70" s="50"/>
    </row>
    <row r="71" spans="1:20" ht="15" thickBot="1">
      <c r="B71" s="6"/>
      <c r="G71" s="15"/>
      <c r="H71" s="398"/>
      <c r="I71" s="381"/>
      <c r="J71" s="30"/>
      <c r="N71" s="14"/>
    </row>
    <row r="72" spans="1:20" ht="15" thickBot="1">
      <c r="B72" s="6"/>
      <c r="H72" s="5" t="s">
        <v>258</v>
      </c>
      <c r="I72" s="399">
        <f>SUM(I10:I70)</f>
        <v>77892909.820000008</v>
      </c>
      <c r="J72" s="31"/>
    </row>
    <row r="73" spans="1:20">
      <c r="B73" s="6"/>
      <c r="G73" s="15"/>
      <c r="H73" s="398"/>
      <c r="I73" s="381"/>
      <c r="J73" s="30"/>
    </row>
    <row r="74" spans="1:20">
      <c r="B74" s="6"/>
      <c r="G74" s="15"/>
      <c r="H74" s="398"/>
      <c r="I74" s="381"/>
      <c r="J74" s="30"/>
    </row>
    <row r="75" spans="1:20">
      <c r="B75" s="6"/>
      <c r="G75" s="15"/>
      <c r="H75" s="398"/>
      <c r="I75" s="381"/>
      <c r="J75" s="30"/>
    </row>
    <row r="76" spans="1:20">
      <c r="B76" s="6"/>
      <c r="H76" s="400"/>
      <c r="I76" s="382"/>
      <c r="J76" s="20"/>
    </row>
    <row r="77" spans="1:20">
      <c r="B77" s="6"/>
      <c r="H77" s="400"/>
      <c r="I77" s="382"/>
      <c r="J77" s="20"/>
    </row>
    <row r="78" spans="1:20">
      <c r="B78" s="6"/>
      <c r="H78" s="400"/>
      <c r="I78" s="382"/>
      <c r="J78" s="20"/>
    </row>
    <row r="79" spans="1:20">
      <c r="B79" s="6"/>
      <c r="H79" s="400"/>
      <c r="I79" s="382"/>
      <c r="J79" s="20"/>
    </row>
    <row r="80" spans="1:20">
      <c r="B80" s="6"/>
      <c r="H80" s="400"/>
      <c r="I80" s="382"/>
      <c r="J80" s="20"/>
    </row>
    <row r="81" spans="2:10">
      <c r="B81" s="6"/>
      <c r="H81" s="400"/>
      <c r="I81" s="382"/>
      <c r="J81" s="20"/>
    </row>
    <row r="82" spans="2:10">
      <c r="B82" s="6"/>
      <c r="H82" s="400"/>
      <c r="I82" s="382"/>
      <c r="J82" s="20"/>
    </row>
    <row r="83" spans="2:10">
      <c r="B83" s="6"/>
      <c r="H83" s="400"/>
      <c r="I83" s="382"/>
      <c r="J83" s="20"/>
    </row>
    <row r="84" spans="2:10">
      <c r="B84" s="6"/>
      <c r="H84" s="400"/>
      <c r="I84" s="382"/>
      <c r="J84" s="20"/>
    </row>
    <row r="85" spans="2:10">
      <c r="B85" s="6"/>
      <c r="H85" s="400"/>
      <c r="I85" s="382"/>
      <c r="J85" s="20"/>
    </row>
    <row r="86" spans="2:10">
      <c r="B86" s="6"/>
      <c r="H86" s="400"/>
      <c r="I86" s="382"/>
      <c r="J86" s="20"/>
    </row>
    <row r="87" spans="2:10">
      <c r="B87" s="6"/>
      <c r="H87" s="400"/>
      <c r="I87" s="382"/>
      <c r="J87" s="20"/>
    </row>
    <row r="88" spans="2:10">
      <c r="B88" s="6"/>
      <c r="H88" s="400"/>
      <c r="I88" s="382"/>
      <c r="J88" s="20"/>
    </row>
    <row r="89" spans="2:10">
      <c r="B89" s="6"/>
      <c r="H89" s="400"/>
      <c r="I89" s="382"/>
      <c r="J89" s="20"/>
    </row>
    <row r="90" spans="2:10">
      <c r="B90" s="6"/>
      <c r="H90" s="400"/>
      <c r="I90" s="382"/>
      <c r="J90" s="20"/>
    </row>
    <row r="91" spans="2:10">
      <c r="B91" s="6"/>
      <c r="H91" s="400"/>
      <c r="I91" s="382"/>
      <c r="J91" s="20"/>
    </row>
    <row r="92" spans="2:10">
      <c r="B92" s="6"/>
      <c r="H92" s="400"/>
      <c r="I92" s="382"/>
      <c r="J92" s="20"/>
    </row>
    <row r="93" spans="2:10">
      <c r="B93" s="6"/>
      <c r="H93" s="400"/>
      <c r="I93" s="382"/>
      <c r="J93" s="20"/>
    </row>
    <row r="94" spans="2:10">
      <c r="B94" s="6"/>
      <c r="H94" s="400"/>
      <c r="I94" s="382"/>
      <c r="J94" s="20"/>
    </row>
    <row r="95" spans="2:10">
      <c r="B95" s="6"/>
      <c r="H95" s="400"/>
      <c r="I95" s="382"/>
      <c r="J95" s="20"/>
    </row>
    <row r="96" spans="2:10">
      <c r="B96" s="6"/>
      <c r="H96" s="400"/>
      <c r="I96" s="382"/>
      <c r="J96" s="20"/>
    </row>
    <row r="97" spans="2:10">
      <c r="B97" s="6"/>
      <c r="H97" s="400"/>
      <c r="I97" s="382"/>
      <c r="J97" s="20"/>
    </row>
    <row r="98" spans="2:10">
      <c r="B98" s="6"/>
      <c r="H98" s="400"/>
      <c r="I98" s="382"/>
      <c r="J98" s="20"/>
    </row>
    <row r="99" spans="2:10">
      <c r="B99" s="6"/>
      <c r="H99" s="400"/>
      <c r="I99" s="382"/>
      <c r="J99" s="20"/>
    </row>
    <row r="100" spans="2:10">
      <c r="B100" s="6"/>
      <c r="H100" s="400"/>
      <c r="I100" s="382"/>
      <c r="J100" s="20"/>
    </row>
    <row r="101" spans="2:10">
      <c r="B101" s="6"/>
      <c r="H101" s="400"/>
      <c r="I101" s="382"/>
      <c r="J101" s="20"/>
    </row>
    <row r="102" spans="2:10">
      <c r="B102" s="6"/>
      <c r="H102" s="400"/>
      <c r="I102" s="382"/>
      <c r="J102" s="20"/>
    </row>
    <row r="103" spans="2:10">
      <c r="B103" s="6"/>
      <c r="H103" s="400"/>
      <c r="I103" s="382"/>
      <c r="J103" s="20"/>
    </row>
    <row r="104" spans="2:10">
      <c r="B104" s="6"/>
      <c r="H104" s="400"/>
      <c r="I104" s="382"/>
      <c r="J104" s="20"/>
    </row>
    <row r="105" spans="2:10">
      <c r="B105" s="6"/>
      <c r="H105" s="400"/>
      <c r="I105" s="382"/>
      <c r="J105" s="20"/>
    </row>
    <row r="106" spans="2:10">
      <c r="B106" s="6"/>
      <c r="H106" s="400"/>
      <c r="I106" s="382"/>
      <c r="J106" s="20"/>
    </row>
    <row r="107" spans="2:10">
      <c r="B107" s="6"/>
      <c r="H107" s="400"/>
      <c r="I107" s="382"/>
      <c r="J107" s="20"/>
    </row>
    <row r="108" spans="2:10">
      <c r="B108" s="6"/>
      <c r="H108" s="400"/>
      <c r="I108" s="382"/>
      <c r="J108" s="20"/>
    </row>
    <row r="109" spans="2:10">
      <c r="B109" s="6"/>
      <c r="H109" s="400"/>
      <c r="I109" s="382"/>
      <c r="J109" s="20"/>
    </row>
    <row r="110" spans="2:10">
      <c r="B110" s="6"/>
      <c r="H110" s="400"/>
      <c r="I110" s="382"/>
      <c r="J110" s="20"/>
    </row>
    <row r="111" spans="2:10">
      <c r="B111" s="6"/>
      <c r="H111" s="400"/>
      <c r="I111" s="382"/>
      <c r="J111" s="20"/>
    </row>
    <row r="112" spans="2:10">
      <c r="B112" s="6"/>
      <c r="H112" s="400"/>
      <c r="I112" s="382"/>
      <c r="J112" s="20"/>
    </row>
    <row r="113" spans="2:10">
      <c r="B113" s="6"/>
      <c r="H113" s="400"/>
      <c r="I113" s="382"/>
      <c r="J113" s="20"/>
    </row>
  </sheetData>
  <mergeCells count="5">
    <mergeCell ref="D2:H2"/>
    <mergeCell ref="F3:G3"/>
    <mergeCell ref="F4:G4"/>
    <mergeCell ref="F5:G5"/>
    <mergeCell ref="F6:G6"/>
  </mergeCells>
  <conditionalFormatting sqref="L25 L27:O28 O29:O30 L31:O32 O33:O36 L37:O37 O38:O44 L45:O45 O46 L47:O48 O49:O50 N51:O51 O52 N53:O56 M57:O57 L58:O58 N59:O61 M62:O65 M68:O69 N67:O67">
    <cfRule type="cellIs" dxfId="800" priority="65" operator="equal">
      <formula>"Cuenta Corriente"</formula>
    </cfRule>
    <cfRule type="cellIs" dxfId="799" priority="66" operator="equal">
      <formula>"No Pagado"</formula>
    </cfRule>
  </conditionalFormatting>
  <conditionalFormatting sqref="L33:L34 L49:L57 L59:L65 L67:L69">
    <cfRule type="cellIs" dxfId="798" priority="55" operator="equal">
      <formula>"Cuenta Corriente"</formula>
    </cfRule>
    <cfRule type="cellIs" dxfId="797" priority="56" operator="equal">
      <formula>"No Pagado"</formula>
    </cfRule>
  </conditionalFormatting>
  <conditionalFormatting sqref="L38:L41">
    <cfRule type="cellIs" dxfId="796" priority="3" operator="equal">
      <formula>"Cuenta Corriente"</formula>
    </cfRule>
    <cfRule type="cellIs" dxfId="795" priority="4" operator="equal">
      <formula>"No Pagado"</formula>
    </cfRule>
  </conditionalFormatting>
  <conditionalFormatting sqref="L43:L44">
    <cfRule type="cellIs" dxfId="794" priority="23" operator="equal">
      <formula>"Cuenta Corriente"</formula>
    </cfRule>
    <cfRule type="cellIs" dxfId="793" priority="24" operator="equal">
      <formula>"No Pagado"</formula>
    </cfRule>
  </conditionalFormatting>
  <conditionalFormatting sqref="L26:M26">
    <cfRule type="cellIs" dxfId="792" priority="63" operator="equal">
      <formula>"Cuenta Corriente"</formula>
    </cfRule>
    <cfRule type="cellIs" dxfId="791" priority="64" operator="equal">
      <formula>"No Pagado"</formula>
    </cfRule>
  </conditionalFormatting>
  <conditionalFormatting sqref="L29:M30">
    <cfRule type="cellIs" dxfId="790" priority="53" operator="equal">
      <formula>"Cuenta Corriente"</formula>
    </cfRule>
    <cfRule type="cellIs" dxfId="789" priority="54" operator="equal">
      <formula>"No Pagado"</formula>
    </cfRule>
  </conditionalFormatting>
  <conditionalFormatting sqref="L35:M36">
    <cfRule type="cellIs" dxfId="788" priority="37" operator="equal">
      <formula>"Cuenta Corriente"</formula>
    </cfRule>
    <cfRule type="cellIs" dxfId="787" priority="38" operator="equal">
      <formula>"No Pagado"</formula>
    </cfRule>
  </conditionalFormatting>
  <conditionalFormatting sqref="L42:M42">
    <cfRule type="cellIs" dxfId="786" priority="25" operator="equal">
      <formula>"Cuenta Corriente"</formula>
    </cfRule>
    <cfRule type="cellIs" dxfId="785" priority="26" operator="equal">
      <formula>"No Pagado"</formula>
    </cfRule>
  </conditionalFormatting>
  <conditionalFormatting sqref="L46:M46">
    <cfRule type="cellIs" dxfId="784" priority="19" operator="equal">
      <formula>"Cuenta Corriente"</formula>
    </cfRule>
    <cfRule type="cellIs" dxfId="783" priority="20" operator="equal">
      <formula>"No Pagado"</formula>
    </cfRule>
  </conditionalFormatting>
  <conditionalFormatting sqref="L10:N10 L12:N18 L20:N22 L70:N70">
    <cfRule type="cellIs" dxfId="782" priority="114" operator="equal">
      <formula>"Cuenta Corriente"</formula>
    </cfRule>
    <cfRule type="cellIs" dxfId="781" priority="115" operator="equal">
      <formula>"No Pagado"</formula>
    </cfRule>
  </conditionalFormatting>
  <conditionalFormatting sqref="L19:O19">
    <cfRule type="cellIs" dxfId="780" priority="71" operator="equal">
      <formula>"Cuenta Corriente"</formula>
    </cfRule>
    <cfRule type="cellIs" dxfId="779" priority="72" operator="equal">
      <formula>"No Pagado"</formula>
    </cfRule>
  </conditionalFormatting>
  <conditionalFormatting sqref="L23:O24 N25:O26">
    <cfRule type="cellIs" dxfId="778" priority="67" operator="equal">
      <formula>"Cuenta Corriente"</formula>
    </cfRule>
    <cfRule type="cellIs" dxfId="777" priority="68" operator="equal">
      <formula>"No Pagado"</formula>
    </cfRule>
  </conditionalFormatting>
  <conditionalFormatting sqref="L66:O66">
    <cfRule type="cellIs" dxfId="776" priority="7" operator="equal">
      <formula>"Cuenta Corriente"</formula>
    </cfRule>
    <cfRule type="cellIs" dxfId="775" priority="8" operator="equal">
      <formula>"No Pagado"</formula>
    </cfRule>
  </conditionalFormatting>
  <conditionalFormatting sqref="M25">
    <cfRule type="cellIs" dxfId="774" priority="49" operator="equal">
      <formula>"Cuenta Corriente"</formula>
    </cfRule>
    <cfRule type="cellIs" dxfId="773" priority="50" operator="equal">
      <formula>"No Pagado"</formula>
    </cfRule>
  </conditionalFormatting>
  <conditionalFormatting sqref="M33:M34">
    <cfRule type="cellIs" dxfId="772" priority="41" operator="equal">
      <formula>"Cuenta Corriente"</formula>
    </cfRule>
    <cfRule type="cellIs" dxfId="771" priority="42" operator="equal">
      <formula>"No Pagado"</formula>
    </cfRule>
  </conditionalFormatting>
  <conditionalFormatting sqref="M38:M41">
    <cfRule type="cellIs" dxfId="770" priority="27" operator="equal">
      <formula>"Cuenta Corriente"</formula>
    </cfRule>
    <cfRule type="cellIs" dxfId="769" priority="28" operator="equal">
      <formula>"No Pagado"</formula>
    </cfRule>
  </conditionalFormatting>
  <conditionalFormatting sqref="M43:M44">
    <cfRule type="cellIs" dxfId="768" priority="15" operator="equal">
      <formula>"Cuenta Corriente"</formula>
    </cfRule>
    <cfRule type="cellIs" dxfId="767" priority="16" operator="equal">
      <formula>"No Pagado"</formula>
    </cfRule>
  </conditionalFormatting>
  <conditionalFormatting sqref="M49:M56">
    <cfRule type="cellIs" dxfId="766" priority="11" operator="equal">
      <formula>"Cuenta Corriente"</formula>
    </cfRule>
    <cfRule type="cellIs" dxfId="765" priority="12" operator="equal">
      <formula>"No Pagado"</formula>
    </cfRule>
  </conditionalFormatting>
  <conditionalFormatting sqref="M59:M61">
    <cfRule type="cellIs" dxfId="764" priority="5" operator="equal">
      <formula>"Cuenta Corriente"</formula>
    </cfRule>
    <cfRule type="cellIs" dxfId="763" priority="6" operator="equal">
      <formula>"No Pagado"</formula>
    </cfRule>
  </conditionalFormatting>
  <conditionalFormatting sqref="N11">
    <cfRule type="cellIs" dxfId="762" priority="76" operator="equal">
      <formula>"Cuenta Corriente"</formula>
    </cfRule>
    <cfRule type="cellIs" dxfId="761" priority="77" operator="equal">
      <formula>"No Pagado"</formula>
    </cfRule>
  </conditionalFormatting>
  <conditionalFormatting sqref="N29:N30">
    <cfRule type="cellIs" dxfId="760" priority="61" operator="equal">
      <formula>"Cuenta Corriente"</formula>
    </cfRule>
    <cfRule type="cellIs" dxfId="759" priority="62" operator="equal">
      <formula>"No Pagado"</formula>
    </cfRule>
  </conditionalFormatting>
  <conditionalFormatting sqref="N33:N36">
    <cfRule type="cellIs" dxfId="758" priority="51" operator="equal">
      <formula>"Cuenta Corriente"</formula>
    </cfRule>
    <cfRule type="cellIs" dxfId="757" priority="52" operator="equal">
      <formula>"No Pagado"</formula>
    </cfRule>
  </conditionalFormatting>
  <conditionalFormatting sqref="N38:N44">
    <cfRule type="cellIs" dxfId="756" priority="29" operator="equal">
      <formula>"Cuenta Corriente"</formula>
    </cfRule>
    <cfRule type="cellIs" dxfId="755" priority="30" operator="equal">
      <formula>"No Pagado"</formula>
    </cfRule>
  </conditionalFormatting>
  <conditionalFormatting sqref="N46">
    <cfRule type="cellIs" dxfId="754" priority="17" operator="equal">
      <formula>"Cuenta Corriente"</formula>
    </cfRule>
    <cfRule type="cellIs" dxfId="753" priority="18" operator="equal">
      <formula>"No Pagado"</formula>
    </cfRule>
  </conditionalFormatting>
  <conditionalFormatting sqref="N49:N50">
    <cfRule type="cellIs" dxfId="752" priority="13" operator="equal">
      <formula>"Cuenta Corriente"</formula>
    </cfRule>
    <cfRule type="cellIs" dxfId="751" priority="14" operator="equal">
      <formula>"No Pagado"</formula>
    </cfRule>
  </conditionalFormatting>
  <conditionalFormatting sqref="N52">
    <cfRule type="cellIs" dxfId="750" priority="9" operator="equal">
      <formula>"Cuenta Corriente"</formula>
    </cfRule>
    <cfRule type="cellIs" dxfId="749" priority="10" operator="equal">
      <formula>"No Pagado"</formula>
    </cfRule>
  </conditionalFormatting>
  <conditionalFormatting sqref="O10:O18 L11:M11">
    <cfRule type="containsText" dxfId="748" priority="73" operator="containsText" text="Pendiente">
      <formula>NOT(ISERROR(SEARCH("Pendiente",L10)))</formula>
    </cfRule>
    <cfRule type="containsText" dxfId="747" priority="74" operator="containsText" text="Pagado">
      <formula>NOT(ISERROR(SEARCH("Pagado",L10)))</formula>
    </cfRule>
    <cfRule type="containsText" dxfId="746" priority="75" operator="containsText" text="Para abonar">
      <formula>NOT(ISERROR(SEARCH("Para abonar",L10)))</formula>
    </cfRule>
  </conditionalFormatting>
  <conditionalFormatting sqref="O20">
    <cfRule type="containsText" dxfId="745" priority="78" operator="containsText" text="Pendiente">
      <formula>NOT(ISERROR(SEARCH("Pendiente",O20)))</formula>
    </cfRule>
    <cfRule type="containsText" dxfId="744" priority="79" operator="containsText" text="Pagado">
      <formula>NOT(ISERROR(SEARCH("Pagado",O20)))</formula>
    </cfRule>
    <cfRule type="containsText" dxfId="743" priority="80" operator="containsText" text="Para abonar">
      <formula>NOT(ISERROR(SEARCH("Para abonar",O20)))</formula>
    </cfRule>
  </conditionalFormatting>
  <conditionalFormatting sqref="O21:O22 O70 N71">
    <cfRule type="cellIs" dxfId="742" priority="116" operator="equal">
      <formula>"Cuenta Corriente"</formula>
    </cfRule>
    <cfRule type="cellIs" dxfId="741" priority="117" operator="equal">
      <formula>"No Pagado"</formula>
    </cfRule>
  </conditionalFormatting>
  <conditionalFormatting sqref="M67">
    <cfRule type="cellIs" dxfId="740" priority="1" operator="equal">
      <formula>"Cuenta Corriente"</formula>
    </cfRule>
    <cfRule type="cellIs" dxfId="739" priority="2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7268C0E-0ABE-4188-81FF-E0AE5D85F54D}">
          <x14:formula1>
            <xm:f>Proveedores!$B$3:$B$111</xm:f>
          </x14:formula1>
          <xm:sqref>G10 F11 H72 G73:G146 G12:G71</xm:sqref>
        </x14:dataValidation>
        <x14:dataValidation type="list" allowBlank="1" showInputMessage="1" showErrorMessage="1" xr:uid="{15A586D0-D565-4EF6-92E1-6616DEA3D1DF}">
          <x14:formula1>
            <xm:f>Consultas!$B$13:$B$15</xm:f>
          </x14:formula1>
          <xm:sqref>N10 L11:M11 N12:N70</xm:sqref>
        </x14:dataValidation>
        <x14:dataValidation type="list" allowBlank="1" showInputMessage="1" showErrorMessage="1" xr:uid="{E59A8ECA-A3A0-4485-A60A-F685A1E3FB3B}">
          <x14:formula1>
            <xm:f>Consultas!$B$9:$B$11</xm:f>
          </x14:formula1>
          <xm:sqref>N71 L10:M10 O10 K11 N11 O12:O70 L12:M70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6D5D-FCA5-490D-91F9-FC25D35CD158}">
  <dimension ref="A1:T117"/>
  <sheetViews>
    <sheetView topLeftCell="A55" zoomScale="80" zoomScaleNormal="80" workbookViewId="0">
      <selection activeCell="A73" sqref="A73:XFD73"/>
    </sheetView>
  </sheetViews>
  <sheetFormatPr defaultColWidth="11.42578125" defaultRowHeight="14.45"/>
  <cols>
    <col min="2" max="2" width="29.5703125" bestFit="1" customWidth="1"/>
    <col min="3" max="3" width="16" bestFit="1" customWidth="1"/>
    <col min="4" max="4" width="14.42578125" bestFit="1" customWidth="1"/>
    <col min="5" max="5" width="16.42578125" customWidth="1"/>
    <col min="6" max="6" width="51.7109375" customWidth="1"/>
    <col min="7" max="7" width="26.85546875" bestFit="1" customWidth="1"/>
    <col min="8" max="8" width="19.140625" customWidth="1"/>
    <col min="9" max="10" width="16.42578125" customWidth="1"/>
    <col min="11" max="11" width="17.85546875" customWidth="1"/>
    <col min="12" max="12" width="15.85546875" bestFit="1" customWidth="1"/>
    <col min="13" max="13" width="15.85546875" customWidth="1"/>
    <col min="14" max="14" width="20.85546875" bestFit="1" customWidth="1"/>
  </cols>
  <sheetData>
    <row r="1" spans="1:17" ht="15" thickBot="1">
      <c r="B1" s="6"/>
    </row>
    <row r="2" spans="1:17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17" s="116" customFormat="1" ht="37.5" customHeight="1">
      <c r="B3" s="6"/>
      <c r="D3" s="125" t="s">
        <v>177</v>
      </c>
      <c r="E3" s="167" t="s">
        <v>1106</v>
      </c>
      <c r="F3" s="444"/>
      <c r="G3" s="445"/>
      <c r="H3" s="126"/>
      <c r="I3" s="127"/>
      <c r="J3" s="127"/>
    </row>
    <row r="4" spans="1:17" s="116" customFormat="1">
      <c r="B4" s="6"/>
      <c r="D4" s="123" t="s">
        <v>179</v>
      </c>
      <c r="E4" s="502" t="s">
        <v>1107</v>
      </c>
      <c r="F4" s="517" t="s">
        <v>180</v>
      </c>
      <c r="G4" s="518"/>
      <c r="H4" s="124" t="s">
        <v>1108</v>
      </c>
      <c r="I4" s="519"/>
      <c r="J4" s="519"/>
    </row>
    <row r="5" spans="1:17">
      <c r="B5" s="6"/>
      <c r="D5" s="9"/>
      <c r="E5" s="1"/>
      <c r="F5" s="453"/>
      <c r="G5" s="454"/>
      <c r="H5" s="10"/>
      <c r="I5" s="15"/>
      <c r="J5" s="15"/>
    </row>
    <row r="6" spans="1:17" ht="15" thickBot="1">
      <c r="B6" s="6"/>
      <c r="D6" s="11"/>
      <c r="E6" s="12"/>
      <c r="F6" s="455"/>
      <c r="G6" s="456"/>
      <c r="H6" s="13"/>
      <c r="I6" s="15"/>
      <c r="J6" s="15"/>
    </row>
    <row r="7" spans="1:17">
      <c r="B7" s="6"/>
    </row>
    <row r="8" spans="1:17" ht="15" thickBot="1">
      <c r="B8" s="6"/>
    </row>
    <row r="9" spans="1:17" ht="45" customHeight="1" thickBot="1">
      <c r="B9" s="52" t="s">
        <v>181</v>
      </c>
      <c r="C9" s="186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17" ht="21" customHeight="1">
      <c r="B10" s="152" t="str">
        <f t="shared" ref="B10:B74" si="0">+$E$3</f>
        <v>Rodolfo Subias y Melisa Lew</v>
      </c>
      <c r="C10" s="187">
        <v>45979</v>
      </c>
      <c r="D10" s="22" t="s">
        <v>1109</v>
      </c>
      <c r="E10" s="33" t="s">
        <v>1110</v>
      </c>
      <c r="F10" s="457" t="s">
        <v>1111</v>
      </c>
      <c r="G10" s="22" t="s">
        <v>71</v>
      </c>
      <c r="H10" s="458" t="s">
        <v>1112</v>
      </c>
      <c r="I10" s="43">
        <v>47173.87</v>
      </c>
      <c r="J10" s="43"/>
      <c r="K10" s="34"/>
      <c r="L10" s="203" t="s">
        <v>209</v>
      </c>
      <c r="M10" s="56"/>
      <c r="N10" s="54" t="s">
        <v>305</v>
      </c>
      <c r="O10" s="41"/>
      <c r="P10" s="459"/>
      <c r="Q10" s="459"/>
    </row>
    <row r="11" spans="1:17" s="116" customFormat="1" ht="21.6" customHeight="1">
      <c r="B11" s="152" t="str">
        <f t="shared" si="0"/>
        <v>Rodolfo Subias y Melisa Lew</v>
      </c>
      <c r="C11" s="179">
        <v>45979</v>
      </c>
      <c r="D11" s="108" t="s">
        <v>1113</v>
      </c>
      <c r="E11" s="109" t="s">
        <v>808</v>
      </c>
      <c r="F11" s="110" t="s">
        <v>1114</v>
      </c>
      <c r="G11" s="111" t="s">
        <v>71</v>
      </c>
      <c r="H11" s="112" t="s">
        <v>1112</v>
      </c>
      <c r="I11" s="113">
        <v>48343.47</v>
      </c>
      <c r="J11" s="113"/>
      <c r="K11" s="117" t="s">
        <v>815</v>
      </c>
      <c r="L11" s="264" t="s">
        <v>209</v>
      </c>
      <c r="M11" s="56"/>
      <c r="N11" s="114" t="s">
        <v>305</v>
      </c>
      <c r="O11" s="108" t="s">
        <v>209</v>
      </c>
      <c r="P11" s="115"/>
      <c r="Q11" s="115"/>
    </row>
    <row r="12" spans="1:17" ht="21" customHeight="1">
      <c r="B12" s="152" t="str">
        <f t="shared" si="0"/>
        <v>Rodolfo Subias y Melisa Lew</v>
      </c>
      <c r="C12" s="187">
        <v>45979</v>
      </c>
      <c r="D12" s="23" t="s">
        <v>1109</v>
      </c>
      <c r="E12" s="29" t="s">
        <v>1110</v>
      </c>
      <c r="F12" s="462" t="s">
        <v>1115</v>
      </c>
      <c r="G12" s="23" t="s">
        <v>143</v>
      </c>
      <c r="H12" s="461" t="s">
        <v>1116</v>
      </c>
      <c r="I12" s="44">
        <v>600778.52</v>
      </c>
      <c r="J12" s="44"/>
      <c r="K12" s="44" t="s">
        <v>399</v>
      </c>
      <c r="L12" s="150" t="s">
        <v>209</v>
      </c>
      <c r="M12" s="56"/>
      <c r="N12" s="2" t="s">
        <v>305</v>
      </c>
      <c r="O12" s="23"/>
      <c r="P12" s="49"/>
      <c r="Q12" s="49"/>
    </row>
    <row r="13" spans="1:17" ht="27" customHeight="1">
      <c r="B13" s="152" t="str">
        <f t="shared" si="0"/>
        <v>Rodolfo Subias y Melisa Lew</v>
      </c>
      <c r="C13" s="187">
        <v>45979</v>
      </c>
      <c r="D13" s="23" t="s">
        <v>1109</v>
      </c>
      <c r="E13" s="29" t="s">
        <v>1110</v>
      </c>
      <c r="F13" s="462" t="s">
        <v>1117</v>
      </c>
      <c r="G13" s="23" t="s">
        <v>83</v>
      </c>
      <c r="H13" s="464" t="s">
        <v>84</v>
      </c>
      <c r="I13" s="44">
        <v>264716.03000000003</v>
      </c>
      <c r="J13" s="44"/>
      <c r="K13" s="47" t="s">
        <v>399</v>
      </c>
      <c r="L13" s="150" t="s">
        <v>209</v>
      </c>
      <c r="M13" s="56"/>
      <c r="N13" s="2" t="s">
        <v>305</v>
      </c>
      <c r="O13" s="23"/>
      <c r="P13" s="49"/>
      <c r="Q13" s="49"/>
    </row>
    <row r="14" spans="1:17" ht="27" customHeight="1">
      <c r="B14" s="152" t="str">
        <f t="shared" si="0"/>
        <v>Rodolfo Subias y Melisa Lew</v>
      </c>
      <c r="C14" s="187">
        <v>45979</v>
      </c>
      <c r="D14" s="23" t="s">
        <v>364</v>
      </c>
      <c r="E14" s="29"/>
      <c r="F14" s="462" t="s">
        <v>1118</v>
      </c>
      <c r="G14" s="41" t="s">
        <v>76</v>
      </c>
      <c r="H14" s="461" t="s">
        <v>817</v>
      </c>
      <c r="I14" s="44">
        <v>125000</v>
      </c>
      <c r="J14" s="44"/>
      <c r="K14" s="47"/>
      <c r="L14" s="150" t="s">
        <v>209</v>
      </c>
      <c r="M14" s="56"/>
      <c r="N14" s="2" t="s">
        <v>305</v>
      </c>
      <c r="O14" s="23"/>
      <c r="P14" s="49"/>
      <c r="Q14" s="49"/>
    </row>
    <row r="15" spans="1:17" s="138" customFormat="1" ht="28.9">
      <c r="A15" s="168" t="s">
        <v>218</v>
      </c>
      <c r="B15" s="156"/>
      <c r="C15" s="188"/>
      <c r="D15" s="134"/>
      <c r="E15" s="143"/>
      <c r="F15" s="465"/>
      <c r="G15" s="136"/>
      <c r="H15" s="474"/>
      <c r="I15" s="144"/>
      <c r="J15" s="349"/>
      <c r="K15" s="145"/>
      <c r="L15" s="140"/>
      <c r="M15" s="140"/>
      <c r="N15" s="140"/>
      <c r="O15" s="140"/>
      <c r="P15" s="141"/>
      <c r="Q15" s="142"/>
    </row>
    <row r="16" spans="1:17" ht="21" customHeight="1">
      <c r="B16" s="152" t="str">
        <f t="shared" si="0"/>
        <v>Rodolfo Subias y Melisa Lew</v>
      </c>
      <c r="C16" s="187">
        <v>45996</v>
      </c>
      <c r="D16" s="23" t="s">
        <v>1113</v>
      </c>
      <c r="E16" s="29" t="s">
        <v>1110</v>
      </c>
      <c r="F16" s="462" t="s">
        <v>1119</v>
      </c>
      <c r="G16" s="23" t="s">
        <v>48</v>
      </c>
      <c r="H16" s="464" t="s">
        <v>1120</v>
      </c>
      <c r="I16" s="44">
        <v>1680775.15</v>
      </c>
      <c r="J16" s="44"/>
      <c r="K16" s="47" t="s">
        <v>399</v>
      </c>
      <c r="L16" s="150" t="s">
        <v>209</v>
      </c>
      <c r="M16" s="56"/>
      <c r="N16" s="2" t="s">
        <v>305</v>
      </c>
      <c r="O16" s="23"/>
      <c r="P16" s="49"/>
      <c r="Q16" s="49"/>
    </row>
    <row r="17" spans="1:17" ht="19.5" customHeight="1">
      <c r="B17" s="152" t="str">
        <f t="shared" si="0"/>
        <v>Rodolfo Subias y Melisa Lew</v>
      </c>
      <c r="C17" s="187">
        <v>45993</v>
      </c>
      <c r="D17" s="23" t="s">
        <v>364</v>
      </c>
      <c r="E17" s="41" t="s">
        <v>1121</v>
      </c>
      <c r="F17" s="520" t="s">
        <v>1122</v>
      </c>
      <c r="G17" s="41" t="s">
        <v>76</v>
      </c>
      <c r="H17" s="14" t="s">
        <v>817</v>
      </c>
      <c r="I17" s="45">
        <v>80000</v>
      </c>
      <c r="J17" s="45"/>
      <c r="K17" s="521" t="s">
        <v>396</v>
      </c>
      <c r="L17" s="150" t="s">
        <v>209</v>
      </c>
      <c r="M17" s="56"/>
      <c r="N17" s="2" t="s">
        <v>305</v>
      </c>
      <c r="O17" s="23"/>
      <c r="P17" s="49"/>
      <c r="Q17" s="49"/>
    </row>
    <row r="18" spans="1:17" ht="19.5" customHeight="1">
      <c r="B18" s="152" t="str">
        <f t="shared" si="0"/>
        <v>Rodolfo Subias y Melisa Lew</v>
      </c>
      <c r="C18" s="187">
        <v>45995</v>
      </c>
      <c r="D18" s="23" t="s">
        <v>364</v>
      </c>
      <c r="E18" s="41" t="s">
        <v>1121</v>
      </c>
      <c r="F18" s="520" t="s">
        <v>1123</v>
      </c>
      <c r="G18" s="41" t="s">
        <v>274</v>
      </c>
      <c r="H18" s="461" t="s">
        <v>321</v>
      </c>
      <c r="I18" s="45">
        <v>140000</v>
      </c>
      <c r="J18" s="45"/>
      <c r="K18" s="521" t="s">
        <v>396</v>
      </c>
      <c r="L18" s="150" t="s">
        <v>209</v>
      </c>
      <c r="M18" s="56"/>
      <c r="N18" s="2" t="s">
        <v>305</v>
      </c>
      <c r="O18" s="23"/>
      <c r="P18" s="49"/>
      <c r="Q18" s="49"/>
    </row>
    <row r="19" spans="1:17" s="138" customFormat="1" ht="28.9">
      <c r="A19" s="168" t="s">
        <v>218</v>
      </c>
      <c r="B19" s="156"/>
      <c r="C19" s="189">
        <v>45996</v>
      </c>
      <c r="D19" s="134"/>
      <c r="E19" s="143"/>
      <c r="F19" s="465"/>
      <c r="G19" s="136"/>
      <c r="H19" s="474"/>
      <c r="I19" s="144"/>
      <c r="J19" s="349"/>
      <c r="K19" s="145"/>
      <c r="L19" s="140"/>
      <c r="M19" s="140"/>
      <c r="N19" s="140"/>
      <c r="O19" s="140"/>
      <c r="P19" s="141"/>
      <c r="Q19" s="142"/>
    </row>
    <row r="20" spans="1:17" ht="23.45" customHeight="1">
      <c r="B20" s="152" t="str">
        <f>+$E$3</f>
        <v>Rodolfo Subias y Melisa Lew</v>
      </c>
      <c r="C20" s="187">
        <v>46009</v>
      </c>
      <c r="D20" s="23" t="s">
        <v>364</v>
      </c>
      <c r="E20" s="41" t="s">
        <v>1121</v>
      </c>
      <c r="F20" s="211" t="s">
        <v>1123</v>
      </c>
      <c r="G20" s="41" t="s">
        <v>274</v>
      </c>
      <c r="H20" s="14" t="s">
        <v>321</v>
      </c>
      <c r="I20" s="45">
        <v>140000</v>
      </c>
      <c r="J20" s="45"/>
      <c r="K20" s="44" t="s">
        <v>396</v>
      </c>
      <c r="L20" s="150" t="s">
        <v>209</v>
      </c>
      <c r="M20" s="56"/>
      <c r="N20" s="2" t="s">
        <v>305</v>
      </c>
      <c r="O20" s="23"/>
      <c r="P20" s="49"/>
      <c r="Q20" s="49"/>
    </row>
    <row r="21" spans="1:17" s="138" customFormat="1" ht="26.1" customHeight="1">
      <c r="A21" s="168" t="s">
        <v>218</v>
      </c>
      <c r="B21" s="156"/>
      <c r="C21" s="189">
        <v>46009</v>
      </c>
      <c r="D21" s="134"/>
      <c r="E21" s="143"/>
      <c r="F21" s="208"/>
      <c r="G21" s="136"/>
      <c r="H21" s="140"/>
      <c r="I21" s="144"/>
      <c r="J21" s="349"/>
      <c r="K21" s="145"/>
      <c r="L21" s="140"/>
      <c r="M21" s="140"/>
      <c r="N21" s="140"/>
      <c r="O21" s="140"/>
      <c r="P21" s="141"/>
      <c r="Q21" s="142"/>
    </row>
    <row r="22" spans="1:17" s="138" customFormat="1" ht="28.9">
      <c r="A22" s="168" t="s">
        <v>218</v>
      </c>
      <c r="B22" s="170"/>
      <c r="C22" s="171">
        <v>46022</v>
      </c>
      <c r="D22" s="130"/>
      <c r="E22" s="130"/>
      <c r="F22" s="465"/>
      <c r="G22" s="131"/>
      <c r="H22" s="465"/>
      <c r="I22" s="132"/>
      <c r="J22" s="132"/>
      <c r="K22" s="133"/>
      <c r="L22" s="134"/>
      <c r="M22" s="285"/>
      <c r="N22" s="135"/>
      <c r="O22" s="136"/>
      <c r="P22" s="137"/>
      <c r="Q22" s="137"/>
    </row>
    <row r="23" spans="1:17" ht="27" customHeight="1">
      <c r="B23" s="152" t="str">
        <f t="shared" si="0"/>
        <v>Rodolfo Subias y Melisa Lew</v>
      </c>
      <c r="C23" s="187">
        <v>45984</v>
      </c>
      <c r="D23" s="23" t="s">
        <v>364</v>
      </c>
      <c r="E23" s="29"/>
      <c r="F23" s="462" t="s">
        <v>1124</v>
      </c>
      <c r="G23" s="41" t="s">
        <v>76</v>
      </c>
      <c r="H23" s="461" t="s">
        <v>817</v>
      </c>
      <c r="I23" s="44">
        <v>68000</v>
      </c>
      <c r="J23" s="44"/>
      <c r="K23" s="44" t="s">
        <v>396</v>
      </c>
      <c r="L23" s="150" t="s">
        <v>209</v>
      </c>
      <c r="M23" s="56"/>
      <c r="N23" s="2" t="s">
        <v>305</v>
      </c>
      <c r="O23" s="23"/>
      <c r="P23" s="49"/>
      <c r="Q23" s="49"/>
    </row>
    <row r="24" spans="1:17" s="138" customFormat="1" ht="28.9">
      <c r="A24" s="168" t="s">
        <v>218</v>
      </c>
      <c r="B24" s="170"/>
      <c r="C24" s="171">
        <v>46037</v>
      </c>
      <c r="D24" s="130"/>
      <c r="E24" s="130"/>
      <c r="F24" s="465"/>
      <c r="G24" s="131"/>
      <c r="H24" s="465"/>
      <c r="I24" s="132"/>
      <c r="J24" s="132"/>
      <c r="K24" s="133"/>
      <c r="L24" s="134"/>
      <c r="M24" s="285"/>
      <c r="N24" s="135"/>
      <c r="O24" s="136"/>
      <c r="P24" s="137"/>
      <c r="Q24" s="137"/>
    </row>
    <row r="25" spans="1:17" ht="22.35" customHeight="1">
      <c r="B25" s="152" t="str">
        <f t="shared" si="0"/>
        <v>Rodolfo Subias y Melisa Lew</v>
      </c>
      <c r="C25" s="190">
        <v>46036</v>
      </c>
      <c r="D25" s="23" t="s">
        <v>364</v>
      </c>
      <c r="E25" s="29"/>
      <c r="F25" s="462" t="s">
        <v>1125</v>
      </c>
      <c r="G25" s="41" t="s">
        <v>76</v>
      </c>
      <c r="H25" s="461" t="s">
        <v>817</v>
      </c>
      <c r="I25" s="44">
        <v>35000</v>
      </c>
      <c r="J25" s="44"/>
      <c r="K25" s="44" t="s">
        <v>396</v>
      </c>
      <c r="L25" s="150" t="s">
        <v>209</v>
      </c>
      <c r="M25" s="56"/>
      <c r="N25" s="2" t="s">
        <v>305</v>
      </c>
      <c r="O25" s="23"/>
      <c r="P25" s="50"/>
      <c r="Q25" s="50"/>
    </row>
    <row r="26" spans="1:17" ht="22.35" customHeight="1">
      <c r="B26" s="27" t="str">
        <f>+$E$3</f>
        <v>Rodolfo Subias y Melisa Lew</v>
      </c>
      <c r="C26" s="190">
        <v>46048</v>
      </c>
      <c r="D26" s="23" t="s">
        <v>364</v>
      </c>
      <c r="E26" s="29"/>
      <c r="F26" s="84" t="s">
        <v>1126</v>
      </c>
      <c r="G26" s="41" t="s">
        <v>76</v>
      </c>
      <c r="H26" s="14" t="s">
        <v>817</v>
      </c>
      <c r="I26" s="44">
        <v>54000</v>
      </c>
      <c r="J26" s="44"/>
      <c r="K26" s="44" t="s">
        <v>396</v>
      </c>
      <c r="L26" s="150" t="s">
        <v>209</v>
      </c>
      <c r="M26" s="56"/>
      <c r="N26" s="2" t="s">
        <v>305</v>
      </c>
      <c r="O26" s="23"/>
      <c r="P26" s="50"/>
      <c r="Q26" s="50"/>
    </row>
    <row r="27" spans="1:17" ht="22.35" customHeight="1">
      <c r="B27" s="27" t="str">
        <f>+$E$3</f>
        <v>Rodolfo Subias y Melisa Lew</v>
      </c>
      <c r="C27" s="190">
        <v>46048</v>
      </c>
      <c r="D27" s="23" t="s">
        <v>364</v>
      </c>
      <c r="E27" s="29"/>
      <c r="F27" s="84" t="s">
        <v>1127</v>
      </c>
      <c r="G27" s="41" t="s">
        <v>1128</v>
      </c>
      <c r="H27" s="14" t="s">
        <v>817</v>
      </c>
      <c r="I27" s="44">
        <v>145000</v>
      </c>
      <c r="J27" s="44"/>
      <c r="K27" s="44" t="s">
        <v>396</v>
      </c>
      <c r="L27" s="150" t="s">
        <v>209</v>
      </c>
      <c r="M27" s="56"/>
      <c r="N27" s="2" t="s">
        <v>305</v>
      </c>
      <c r="O27" s="23"/>
      <c r="P27" s="50"/>
      <c r="Q27" s="50"/>
    </row>
    <row r="28" spans="1:17" ht="22.35" customHeight="1">
      <c r="B28" s="25" t="str">
        <f>+$E$3</f>
        <v>Rodolfo Subias y Melisa Lew</v>
      </c>
      <c r="C28" s="187">
        <v>46050</v>
      </c>
      <c r="D28" s="23" t="s">
        <v>364</v>
      </c>
      <c r="E28" s="29"/>
      <c r="F28" s="84" t="s">
        <v>1127</v>
      </c>
      <c r="G28" s="41" t="s">
        <v>1128</v>
      </c>
      <c r="H28" s="14" t="s">
        <v>817</v>
      </c>
      <c r="I28" s="44">
        <v>145000</v>
      </c>
      <c r="J28" s="44"/>
      <c r="K28" s="44" t="s">
        <v>396</v>
      </c>
      <c r="L28" s="150" t="s">
        <v>209</v>
      </c>
      <c r="M28" s="55"/>
      <c r="N28" s="2" t="s">
        <v>305</v>
      </c>
      <c r="O28" s="23"/>
      <c r="P28" s="3"/>
      <c r="Q28" s="3"/>
    </row>
    <row r="29" spans="1:17" s="138" customFormat="1" ht="28.9">
      <c r="A29" s="168" t="s">
        <v>218</v>
      </c>
      <c r="B29" s="170"/>
      <c r="C29" s="170">
        <v>46051</v>
      </c>
      <c r="D29" s="317"/>
      <c r="E29" s="317"/>
      <c r="F29" s="522"/>
      <c r="G29" s="318"/>
      <c r="H29" s="522"/>
      <c r="I29" s="319"/>
      <c r="J29" s="319"/>
      <c r="K29" s="320"/>
      <c r="L29" s="321"/>
      <c r="M29" s="285"/>
      <c r="N29" s="135"/>
      <c r="O29" s="322"/>
      <c r="P29" s="323"/>
      <c r="Q29" s="323"/>
    </row>
    <row r="30" spans="1:17" ht="21.6" customHeight="1">
      <c r="B30" s="27" t="str">
        <f>+$E$3</f>
        <v>Rodolfo Subias y Melisa Lew</v>
      </c>
      <c r="C30" s="190">
        <v>46052</v>
      </c>
      <c r="D30" s="23" t="s">
        <v>364</v>
      </c>
      <c r="E30" s="29"/>
      <c r="F30" s="84" t="s">
        <v>1127</v>
      </c>
      <c r="G30" s="41" t="s">
        <v>1128</v>
      </c>
      <c r="H30" s="14" t="s">
        <v>817</v>
      </c>
      <c r="I30" s="44">
        <v>145000</v>
      </c>
      <c r="J30" s="44"/>
      <c r="K30" s="44" t="s">
        <v>396</v>
      </c>
      <c r="L30" s="150" t="s">
        <v>209</v>
      </c>
      <c r="M30" s="2"/>
      <c r="N30" s="2" t="s">
        <v>305</v>
      </c>
      <c r="O30" s="23"/>
      <c r="P30" s="50"/>
      <c r="Q30" s="50"/>
    </row>
    <row r="31" spans="1:17" ht="21.6" customHeight="1">
      <c r="B31" s="27" t="str">
        <f>+$E$3</f>
        <v>Rodolfo Subias y Melisa Lew</v>
      </c>
      <c r="C31" s="190">
        <v>46056</v>
      </c>
      <c r="D31" s="23" t="s">
        <v>364</v>
      </c>
      <c r="E31" s="29"/>
      <c r="F31" s="15" t="s">
        <v>1127</v>
      </c>
      <c r="G31" s="41" t="s">
        <v>1128</v>
      </c>
      <c r="H31" s="14" t="s">
        <v>817</v>
      </c>
      <c r="I31" s="44">
        <v>145000</v>
      </c>
      <c r="J31" s="44"/>
      <c r="K31" s="47" t="s">
        <v>399</v>
      </c>
      <c r="L31" s="2"/>
      <c r="M31" s="150" t="s">
        <v>209</v>
      </c>
      <c r="N31" s="2" t="s">
        <v>305</v>
      </c>
      <c r="O31" s="23"/>
      <c r="P31" s="50"/>
      <c r="Q31" s="50"/>
    </row>
    <row r="32" spans="1:17" ht="21.6" customHeight="1">
      <c r="B32" s="25" t="str">
        <f>+$E$3</f>
        <v>Rodolfo Subias y Melisa Lew</v>
      </c>
      <c r="C32" s="187">
        <v>46063</v>
      </c>
      <c r="D32" s="23" t="s">
        <v>364</v>
      </c>
      <c r="E32" s="29"/>
      <c r="F32" s="329" t="s">
        <v>1127</v>
      </c>
      <c r="G32" s="41" t="s">
        <v>1128</v>
      </c>
      <c r="H32" s="14" t="s">
        <v>817</v>
      </c>
      <c r="I32" s="44">
        <v>145000</v>
      </c>
      <c r="J32" s="44"/>
      <c r="K32" s="47" t="s">
        <v>399</v>
      </c>
      <c r="L32" s="2"/>
      <c r="M32" s="150" t="s">
        <v>209</v>
      </c>
      <c r="N32" s="2" t="s">
        <v>305</v>
      </c>
      <c r="O32" s="23"/>
      <c r="P32" s="3"/>
      <c r="Q32" s="3"/>
    </row>
    <row r="33" spans="1:17" s="138" customFormat="1" ht="28.9">
      <c r="A33" s="168" t="s">
        <v>218</v>
      </c>
      <c r="B33" s="170"/>
      <c r="C33" s="170">
        <v>46065</v>
      </c>
      <c r="D33" s="170"/>
      <c r="E33" s="317"/>
      <c r="F33" s="522"/>
      <c r="G33" s="318"/>
      <c r="H33" s="522"/>
      <c r="I33" s="319"/>
      <c r="J33" s="319"/>
      <c r="K33" s="320"/>
      <c r="L33" s="321"/>
      <c r="M33" s="285"/>
      <c r="N33" s="135"/>
      <c r="O33" s="322"/>
      <c r="P33" s="323"/>
      <c r="Q33" s="323"/>
    </row>
    <row r="34" spans="1:17" ht="21.6" customHeight="1">
      <c r="B34" s="25" t="str">
        <f>+$E$3</f>
        <v>Rodolfo Subias y Melisa Lew</v>
      </c>
      <c r="C34" s="187">
        <v>46071</v>
      </c>
      <c r="D34" s="23" t="s">
        <v>364</v>
      </c>
      <c r="E34" s="23"/>
      <c r="F34" s="329" t="s">
        <v>1127</v>
      </c>
      <c r="G34" s="41" t="s">
        <v>1128</v>
      </c>
      <c r="H34" s="14" t="s">
        <v>817</v>
      </c>
      <c r="I34" s="44">
        <v>150000</v>
      </c>
      <c r="J34" s="44"/>
      <c r="K34" s="47" t="s">
        <v>399</v>
      </c>
      <c r="L34" s="2"/>
      <c r="M34" s="150" t="s">
        <v>209</v>
      </c>
      <c r="N34" s="2" t="s">
        <v>305</v>
      </c>
      <c r="O34" s="23"/>
      <c r="P34" s="3"/>
      <c r="Q34" s="3"/>
    </row>
    <row r="35" spans="1:17" ht="21.6" customHeight="1">
      <c r="B35" s="152" t="str">
        <f>+$E$3</f>
        <v>Rodolfo Subias y Melisa Lew</v>
      </c>
      <c r="C35" s="324">
        <v>46071</v>
      </c>
      <c r="D35" s="41" t="s">
        <v>364</v>
      </c>
      <c r="E35" s="41"/>
      <c r="F35" s="15" t="s">
        <v>1129</v>
      </c>
      <c r="G35" s="41" t="s">
        <v>18</v>
      </c>
      <c r="H35" s="14" t="s">
        <v>1086</v>
      </c>
      <c r="I35" s="45">
        <v>187500</v>
      </c>
      <c r="J35" s="45"/>
      <c r="K35" s="325" t="s">
        <v>399</v>
      </c>
      <c r="L35" s="14"/>
      <c r="M35" s="278" t="s">
        <v>209</v>
      </c>
      <c r="N35" s="14" t="s">
        <v>305</v>
      </c>
      <c r="O35" s="41"/>
      <c r="P35" s="326"/>
      <c r="Q35" s="326"/>
    </row>
    <row r="36" spans="1:17" ht="21.6" customHeight="1">
      <c r="B36" s="27" t="str">
        <f>+$E$3</f>
        <v>Rodolfo Subias y Melisa Lew</v>
      </c>
      <c r="C36" s="190">
        <v>46073</v>
      </c>
      <c r="D36" s="23" t="s">
        <v>364</v>
      </c>
      <c r="E36" s="23"/>
      <c r="F36" s="15" t="s">
        <v>1127</v>
      </c>
      <c r="G36" s="41" t="s">
        <v>1128</v>
      </c>
      <c r="H36" s="14" t="s">
        <v>817</v>
      </c>
      <c r="I36" s="44">
        <v>150000</v>
      </c>
      <c r="J36" s="44"/>
      <c r="K36" s="47" t="s">
        <v>399</v>
      </c>
      <c r="L36" s="2"/>
      <c r="M36" s="150" t="s">
        <v>209</v>
      </c>
      <c r="N36" s="2" t="s">
        <v>305</v>
      </c>
      <c r="O36" s="23"/>
      <c r="P36" s="50"/>
      <c r="Q36" s="50"/>
    </row>
    <row r="37" spans="1:17" ht="21.6" customHeight="1">
      <c r="B37" s="25" t="str">
        <f>+$E$3</f>
        <v>Rodolfo Subias y Melisa Lew</v>
      </c>
      <c r="C37" s="187">
        <v>46083</v>
      </c>
      <c r="D37" s="23" t="s">
        <v>364</v>
      </c>
      <c r="E37" s="23"/>
      <c r="F37" s="329" t="s">
        <v>1127</v>
      </c>
      <c r="G37" s="41" t="s">
        <v>1128</v>
      </c>
      <c r="H37" s="14" t="s">
        <v>817</v>
      </c>
      <c r="I37" s="44">
        <v>150000</v>
      </c>
      <c r="J37" s="44"/>
      <c r="K37" s="47" t="s">
        <v>399</v>
      </c>
      <c r="L37" s="2"/>
      <c r="M37" s="150" t="s">
        <v>209</v>
      </c>
      <c r="N37" s="2" t="s">
        <v>305</v>
      </c>
      <c r="O37" s="23"/>
      <c r="P37" s="3"/>
      <c r="Q37" s="3"/>
    </row>
    <row r="38" spans="1:17" ht="21.6" customHeight="1">
      <c r="B38" s="152" t="str">
        <f t="shared" ref="B38:B40" si="1">+$E$3</f>
        <v>Rodolfo Subias y Melisa Lew</v>
      </c>
      <c r="C38" s="324">
        <v>46078</v>
      </c>
      <c r="D38" s="272" t="s">
        <v>1055</v>
      </c>
      <c r="E38" s="272" t="s">
        <v>1130</v>
      </c>
      <c r="F38" s="523" t="s">
        <v>1131</v>
      </c>
      <c r="G38" s="41" t="s">
        <v>1132</v>
      </c>
      <c r="H38" s="461" t="s">
        <v>1120</v>
      </c>
      <c r="I38" s="327"/>
      <c r="J38" s="327"/>
      <c r="K38" s="328"/>
      <c r="L38" s="87"/>
      <c r="M38" s="278" t="s">
        <v>209</v>
      </c>
      <c r="N38" s="56" t="s">
        <v>353</v>
      </c>
      <c r="O38" s="41"/>
      <c r="P38" s="326"/>
      <c r="Q38" s="326"/>
    </row>
    <row r="39" spans="1:17" ht="21.6" customHeight="1">
      <c r="B39" s="152" t="str">
        <f t="shared" si="1"/>
        <v>Rodolfo Subias y Melisa Lew</v>
      </c>
      <c r="C39" s="190">
        <v>46078</v>
      </c>
      <c r="D39" s="23" t="s">
        <v>364</v>
      </c>
      <c r="E39" s="42"/>
      <c r="F39" s="523" t="s">
        <v>1133</v>
      </c>
      <c r="G39" s="41" t="s">
        <v>1134</v>
      </c>
      <c r="H39" s="464" t="s">
        <v>1135</v>
      </c>
      <c r="I39" s="40"/>
      <c r="J39" s="40"/>
      <c r="K39" s="48"/>
      <c r="L39" s="86"/>
      <c r="M39" s="150" t="s">
        <v>209</v>
      </c>
      <c r="N39" s="56" t="s">
        <v>353</v>
      </c>
      <c r="O39" s="23"/>
      <c r="P39" s="50"/>
      <c r="Q39" s="50"/>
    </row>
    <row r="40" spans="1:17" ht="21.6" customHeight="1">
      <c r="B40" s="152" t="str">
        <f t="shared" si="1"/>
        <v>Rodolfo Subias y Melisa Lew</v>
      </c>
      <c r="C40" s="190">
        <v>46078</v>
      </c>
      <c r="D40" s="42"/>
      <c r="E40" s="42" t="s">
        <v>1130</v>
      </c>
      <c r="F40" s="523" t="s">
        <v>1136</v>
      </c>
      <c r="G40" s="41" t="s">
        <v>1137</v>
      </c>
      <c r="H40" s="468" t="s">
        <v>513</v>
      </c>
      <c r="I40" s="40"/>
      <c r="J40" s="40"/>
      <c r="K40" s="44" t="s">
        <v>396</v>
      </c>
      <c r="L40" s="150" t="s">
        <v>209</v>
      </c>
      <c r="M40" s="150" t="s">
        <v>209</v>
      </c>
      <c r="N40" s="56" t="s">
        <v>353</v>
      </c>
      <c r="O40" s="23"/>
      <c r="P40" s="50"/>
      <c r="Q40" s="50"/>
    </row>
    <row r="41" spans="1:17" s="138" customFormat="1" ht="28.9">
      <c r="A41" s="168" t="s">
        <v>218</v>
      </c>
      <c r="B41" s="170"/>
      <c r="C41" s="171">
        <v>46079</v>
      </c>
      <c r="D41" s="171"/>
      <c r="E41" s="130"/>
      <c r="F41" s="465"/>
      <c r="G41" s="131"/>
      <c r="H41" s="465"/>
      <c r="I41" s="132"/>
      <c r="J41" s="132"/>
      <c r="K41" s="133"/>
      <c r="L41" s="134"/>
      <c r="M41" s="285"/>
      <c r="N41" s="135"/>
      <c r="O41" s="136"/>
      <c r="P41" s="137"/>
      <c r="Q41" s="137"/>
    </row>
    <row r="42" spans="1:17" ht="21.6" customHeight="1">
      <c r="B42" s="152" t="str">
        <f t="shared" si="0"/>
        <v>Rodolfo Subias y Melisa Lew</v>
      </c>
      <c r="C42" s="190">
        <v>46084</v>
      </c>
      <c r="D42" s="23" t="s">
        <v>364</v>
      </c>
      <c r="E42" s="46"/>
      <c r="F42" s="419" t="s">
        <v>1138</v>
      </c>
      <c r="G42" s="42" t="s">
        <v>58</v>
      </c>
      <c r="H42" s="417" t="s">
        <v>1139</v>
      </c>
      <c r="I42" s="299">
        <v>4773</v>
      </c>
      <c r="J42" s="299"/>
      <c r="K42" s="47" t="s">
        <v>399</v>
      </c>
      <c r="L42" s="2"/>
      <c r="M42" s="150" t="s">
        <v>209</v>
      </c>
      <c r="N42" s="56" t="s">
        <v>305</v>
      </c>
      <c r="O42" s="23"/>
      <c r="P42" s="50"/>
      <c r="Q42" s="50"/>
    </row>
    <row r="43" spans="1:17" ht="21.6" customHeight="1">
      <c r="B43" s="25" t="str">
        <f>+$E$3</f>
        <v>Rodolfo Subias y Melisa Lew</v>
      </c>
      <c r="C43" s="187">
        <v>46092</v>
      </c>
      <c r="D43" s="23" t="s">
        <v>364</v>
      </c>
      <c r="E43" s="23"/>
      <c r="F43" s="329" t="s">
        <v>1127</v>
      </c>
      <c r="G43" s="41" t="s">
        <v>1128</v>
      </c>
      <c r="H43" s="14" t="s">
        <v>817</v>
      </c>
      <c r="I43" s="44">
        <v>150000</v>
      </c>
      <c r="J43" s="44"/>
      <c r="K43" s="47" t="s">
        <v>399</v>
      </c>
      <c r="L43" s="2"/>
      <c r="M43" s="150" t="s">
        <v>209</v>
      </c>
      <c r="N43" s="2" t="s">
        <v>305</v>
      </c>
      <c r="O43" s="23"/>
      <c r="P43" s="50"/>
      <c r="Q43" s="50"/>
    </row>
    <row r="44" spans="1:17" s="138" customFormat="1" ht="28.9">
      <c r="A44" s="168" t="s">
        <v>218</v>
      </c>
      <c r="B44" s="170"/>
      <c r="C44" s="171">
        <v>46093</v>
      </c>
      <c r="D44" s="171"/>
      <c r="E44" s="130"/>
      <c r="F44" s="465"/>
      <c r="G44" s="131"/>
      <c r="H44" s="465"/>
      <c r="I44" s="132"/>
      <c r="J44" s="132"/>
      <c r="K44" s="133"/>
      <c r="L44" s="134"/>
      <c r="M44" s="134"/>
      <c r="N44" s="135"/>
      <c r="O44" s="136"/>
      <c r="P44" s="137"/>
      <c r="Q44" s="137"/>
    </row>
    <row r="45" spans="1:17" ht="21.6" customHeight="1">
      <c r="B45" s="25" t="str">
        <f>+$E$3</f>
        <v>Rodolfo Subias y Melisa Lew</v>
      </c>
      <c r="C45" s="187">
        <v>46106</v>
      </c>
      <c r="D45" s="23" t="s">
        <v>364</v>
      </c>
      <c r="E45" s="23"/>
      <c r="F45" s="329" t="s">
        <v>1127</v>
      </c>
      <c r="G45" s="41" t="s">
        <v>1128</v>
      </c>
      <c r="H45" s="14" t="s">
        <v>817</v>
      </c>
      <c r="I45" s="44">
        <v>150000</v>
      </c>
      <c r="J45" s="44"/>
      <c r="K45" s="47" t="s">
        <v>399</v>
      </c>
      <c r="L45" s="2"/>
      <c r="M45" s="150" t="s">
        <v>209</v>
      </c>
      <c r="N45" s="2" t="s">
        <v>305</v>
      </c>
      <c r="O45" s="23"/>
      <c r="P45" s="50"/>
      <c r="Q45" s="50"/>
    </row>
    <row r="46" spans="1:17">
      <c r="A46" s="221"/>
      <c r="B46" s="497" t="str">
        <f t="shared" ref="B46:B47" si="2">+$E$3</f>
        <v>Rodolfo Subias y Melisa Lew</v>
      </c>
      <c r="C46" s="187">
        <v>46106</v>
      </c>
      <c r="D46" s="312"/>
      <c r="E46" s="38"/>
      <c r="F46" s="329" t="s">
        <v>1129</v>
      </c>
      <c r="G46" s="41" t="s">
        <v>18</v>
      </c>
      <c r="H46" s="419" t="s">
        <v>321</v>
      </c>
      <c r="I46" s="48">
        <v>187500</v>
      </c>
      <c r="J46" s="40"/>
      <c r="K46" s="47" t="s">
        <v>399</v>
      </c>
      <c r="L46" s="2"/>
      <c r="M46" s="150" t="s">
        <v>209</v>
      </c>
      <c r="N46" s="2" t="s">
        <v>305</v>
      </c>
      <c r="O46" s="23"/>
      <c r="P46" s="106"/>
      <c r="Q46" s="106"/>
    </row>
    <row r="47" spans="1:17">
      <c r="A47" s="221"/>
      <c r="B47" s="497" t="str">
        <f t="shared" si="2"/>
        <v>Rodolfo Subias y Melisa Lew</v>
      </c>
      <c r="C47" s="187">
        <v>46106</v>
      </c>
      <c r="D47" s="272" t="s">
        <v>1055</v>
      </c>
      <c r="E47" s="272" t="s">
        <v>1130</v>
      </c>
      <c r="F47" s="329" t="s">
        <v>1140</v>
      </c>
      <c r="G47" s="41" t="s">
        <v>1132</v>
      </c>
      <c r="H47" s="461" t="s">
        <v>1120</v>
      </c>
      <c r="I47" s="40">
        <v>2562580.4500000002</v>
      </c>
      <c r="J47" s="40"/>
      <c r="K47" s="47" t="s">
        <v>399</v>
      </c>
      <c r="L47" s="2"/>
      <c r="M47" s="150" t="s">
        <v>209</v>
      </c>
      <c r="N47" s="2" t="s">
        <v>353</v>
      </c>
      <c r="O47" s="23"/>
      <c r="P47" s="106"/>
      <c r="Q47" s="106"/>
    </row>
    <row r="48" spans="1:17" s="138" customFormat="1" ht="28.9">
      <c r="A48" s="168" t="s">
        <v>218</v>
      </c>
      <c r="B48" s="170"/>
      <c r="C48" s="171">
        <v>46107</v>
      </c>
      <c r="D48" s="171"/>
      <c r="E48" s="130"/>
      <c r="F48" s="465"/>
      <c r="G48" s="131"/>
      <c r="H48" s="465"/>
      <c r="I48" s="132"/>
      <c r="J48" s="132"/>
      <c r="K48" s="133"/>
      <c r="L48" s="134"/>
      <c r="M48" s="134"/>
      <c r="N48" s="135"/>
      <c r="O48" s="136"/>
      <c r="P48" s="137"/>
      <c r="Q48" s="137"/>
    </row>
    <row r="49" spans="1:20" ht="21.6" customHeight="1">
      <c r="B49" s="25" t="str">
        <f>+$E$3</f>
        <v>Rodolfo Subias y Melisa Lew</v>
      </c>
      <c r="C49" s="187">
        <v>46127</v>
      </c>
      <c r="D49" s="23" t="s">
        <v>364</v>
      </c>
      <c r="E49" s="23"/>
      <c r="F49" s="329" t="s">
        <v>1127</v>
      </c>
      <c r="G49" s="41" t="s">
        <v>1128</v>
      </c>
      <c r="H49" s="14" t="s">
        <v>817</v>
      </c>
      <c r="I49" s="44">
        <v>150000</v>
      </c>
      <c r="J49" s="44"/>
      <c r="K49" s="47" t="s">
        <v>399</v>
      </c>
      <c r="L49" s="2"/>
      <c r="M49" s="150" t="s">
        <v>209</v>
      </c>
      <c r="N49" s="2" t="s">
        <v>305</v>
      </c>
      <c r="O49" s="23"/>
      <c r="P49" s="50"/>
      <c r="Q49" s="50"/>
    </row>
    <row r="50" spans="1:20" ht="21.6" customHeight="1">
      <c r="B50" s="25" t="str">
        <f>+$E$3</f>
        <v>Rodolfo Subias y Melisa Lew</v>
      </c>
      <c r="C50" s="187">
        <v>46136</v>
      </c>
      <c r="D50" s="23" t="s">
        <v>364</v>
      </c>
      <c r="E50" s="23"/>
      <c r="F50" s="329" t="s">
        <v>1127</v>
      </c>
      <c r="G50" s="41" t="s">
        <v>1128</v>
      </c>
      <c r="H50" s="14" t="s">
        <v>817</v>
      </c>
      <c r="I50" s="44">
        <v>150000</v>
      </c>
      <c r="J50" s="44"/>
      <c r="K50" s="47" t="s">
        <v>399</v>
      </c>
      <c r="L50" s="2"/>
      <c r="M50" s="150" t="s">
        <v>209</v>
      </c>
      <c r="N50" s="2" t="s">
        <v>305</v>
      </c>
      <c r="O50" s="23"/>
      <c r="P50" s="50"/>
      <c r="Q50" s="50"/>
    </row>
    <row r="51" spans="1:20" ht="48.75" customHeight="1">
      <c r="B51" s="152" t="str">
        <f t="shared" si="0"/>
        <v>Rodolfo Subias y Melisa Lew</v>
      </c>
      <c r="C51" s="190">
        <v>46135</v>
      </c>
      <c r="D51" s="23" t="s">
        <v>364</v>
      </c>
      <c r="E51" s="29"/>
      <c r="F51" s="501" t="s">
        <v>1141</v>
      </c>
      <c r="G51" s="23" t="s">
        <v>76</v>
      </c>
      <c r="H51" s="14" t="s">
        <v>817</v>
      </c>
      <c r="I51" s="44">
        <v>100000</v>
      </c>
      <c r="J51" s="48"/>
      <c r="K51" s="47" t="s">
        <v>399</v>
      </c>
      <c r="L51" s="2"/>
      <c r="M51" s="150" t="s">
        <v>209</v>
      </c>
      <c r="N51" s="2" t="s">
        <v>305</v>
      </c>
      <c r="O51" s="23"/>
      <c r="P51" s="50"/>
      <c r="Q51" s="50"/>
    </row>
    <row r="52" spans="1:20" s="138" customFormat="1" ht="28.9">
      <c r="A52" s="168" t="s">
        <v>218</v>
      </c>
      <c r="B52" s="170"/>
      <c r="C52" s="171">
        <v>46135</v>
      </c>
      <c r="D52" s="171"/>
      <c r="E52" s="130"/>
      <c r="F52" s="465"/>
      <c r="G52" s="131"/>
      <c r="H52" s="465"/>
      <c r="I52" s="132"/>
      <c r="J52" s="132"/>
      <c r="K52" s="133"/>
      <c r="L52" s="134"/>
      <c r="M52" s="134"/>
      <c r="N52" s="135"/>
      <c r="O52" s="136"/>
      <c r="P52" s="137"/>
      <c r="Q52" s="137"/>
    </row>
    <row r="53" spans="1:20" ht="21.6" customHeight="1">
      <c r="B53" s="152" t="str">
        <f t="shared" si="0"/>
        <v>Rodolfo Subias y Melisa Lew</v>
      </c>
      <c r="C53" s="190">
        <v>46141</v>
      </c>
      <c r="D53" s="23" t="s">
        <v>1142</v>
      </c>
      <c r="E53" s="46" t="s">
        <v>1130</v>
      </c>
      <c r="F53" s="419" t="s">
        <v>1143</v>
      </c>
      <c r="G53" s="23" t="s">
        <v>2</v>
      </c>
      <c r="H53" s="14" t="s">
        <v>1076</v>
      </c>
      <c r="I53" s="48">
        <v>646502.49</v>
      </c>
      <c r="J53" s="48"/>
      <c r="K53" s="47" t="s">
        <v>399</v>
      </c>
      <c r="L53" s="2"/>
      <c r="M53" s="150" t="s">
        <v>209</v>
      </c>
      <c r="N53" s="2" t="s">
        <v>305</v>
      </c>
      <c r="O53" s="23"/>
      <c r="P53" s="50"/>
      <c r="Q53" s="50"/>
    </row>
    <row r="54" spans="1:20">
      <c r="B54" s="152" t="str">
        <f t="shared" si="0"/>
        <v>Rodolfo Subias y Melisa Lew</v>
      </c>
      <c r="C54" s="190">
        <v>46142</v>
      </c>
      <c r="D54" s="23" t="s">
        <v>1142</v>
      </c>
      <c r="E54" s="46" t="s">
        <v>1130</v>
      </c>
      <c r="F54" s="514" t="s">
        <v>1144</v>
      </c>
      <c r="G54" s="23" t="s">
        <v>2</v>
      </c>
      <c r="H54" s="14" t="s">
        <v>1076</v>
      </c>
      <c r="I54" s="48">
        <v>82550.44</v>
      </c>
      <c r="J54" s="48"/>
      <c r="K54" s="47" t="s">
        <v>399</v>
      </c>
      <c r="L54" s="2"/>
      <c r="M54" s="150" t="s">
        <v>209</v>
      </c>
      <c r="N54" s="2" t="s">
        <v>305</v>
      </c>
      <c r="O54" s="2"/>
      <c r="P54" s="50"/>
      <c r="Q54" s="50"/>
    </row>
    <row r="55" spans="1:20" ht="28.9">
      <c r="B55" s="152" t="str">
        <f t="shared" si="0"/>
        <v>Rodolfo Subias y Melisa Lew</v>
      </c>
      <c r="C55" s="190">
        <v>46147</v>
      </c>
      <c r="D55" s="23" t="s">
        <v>1142</v>
      </c>
      <c r="E55" s="46" t="s">
        <v>808</v>
      </c>
      <c r="F55" s="514" t="s">
        <v>1145</v>
      </c>
      <c r="G55" s="23" t="s">
        <v>89</v>
      </c>
      <c r="H55" s="14" t="s">
        <v>1076</v>
      </c>
      <c r="I55" s="48">
        <v>231120</v>
      </c>
      <c r="J55" s="48"/>
      <c r="K55" s="47" t="s">
        <v>399</v>
      </c>
      <c r="L55" s="2"/>
      <c r="M55" s="150" t="s">
        <v>209</v>
      </c>
      <c r="N55" s="2" t="s">
        <v>305</v>
      </c>
      <c r="O55" s="23"/>
      <c r="P55" s="50"/>
      <c r="Q55" s="50"/>
    </row>
    <row r="56" spans="1:20" ht="21.6" customHeight="1">
      <c r="B56" s="152" t="str">
        <f t="shared" si="0"/>
        <v>Rodolfo Subias y Melisa Lew</v>
      </c>
      <c r="C56" s="190">
        <v>46148</v>
      </c>
      <c r="D56" s="23" t="s">
        <v>364</v>
      </c>
      <c r="E56" s="46"/>
      <c r="F56" s="419" t="s">
        <v>1146</v>
      </c>
      <c r="G56" s="23" t="s">
        <v>76</v>
      </c>
      <c r="H56" s="14" t="s">
        <v>817</v>
      </c>
      <c r="I56" s="48"/>
      <c r="J56" s="48"/>
      <c r="K56" s="47" t="s">
        <v>399</v>
      </c>
      <c r="L56" s="2"/>
      <c r="M56" s="56" t="s">
        <v>732</v>
      </c>
      <c r="N56" s="2" t="s">
        <v>305</v>
      </c>
      <c r="O56" s="23"/>
      <c r="P56" s="50"/>
      <c r="Q56" s="50"/>
    </row>
    <row r="57" spans="1:20" ht="28.9">
      <c r="B57" s="152" t="str">
        <f t="shared" si="0"/>
        <v>Rodolfo Subias y Melisa Lew</v>
      </c>
      <c r="C57" s="190">
        <v>46149</v>
      </c>
      <c r="D57" s="23" t="s">
        <v>364</v>
      </c>
      <c r="E57" s="46"/>
      <c r="F57" s="514" t="s">
        <v>1147</v>
      </c>
      <c r="G57" s="23" t="s">
        <v>76</v>
      </c>
      <c r="H57" s="14" t="s">
        <v>817</v>
      </c>
      <c r="I57" s="48"/>
      <c r="J57" s="48"/>
      <c r="K57" s="47" t="s">
        <v>201</v>
      </c>
      <c r="L57" s="2"/>
      <c r="M57" s="56" t="s">
        <v>732</v>
      </c>
      <c r="N57" s="2" t="s">
        <v>305</v>
      </c>
      <c r="O57" s="2"/>
      <c r="P57" s="50"/>
      <c r="Q57" s="50"/>
    </row>
    <row r="58" spans="1:20" s="138" customFormat="1" ht="28.9">
      <c r="A58" s="168" t="s">
        <v>218</v>
      </c>
      <c r="B58" s="156" t="str">
        <f t="shared" si="0"/>
        <v>Rodolfo Subias y Melisa Lew</v>
      </c>
      <c r="C58" s="171">
        <v>46149</v>
      </c>
      <c r="D58" s="130"/>
      <c r="E58" s="317"/>
      <c r="F58" s="465"/>
      <c r="G58" s="131"/>
      <c r="H58" s="465"/>
      <c r="I58" s="132"/>
      <c r="J58" s="132"/>
      <c r="K58" s="368"/>
      <c r="L58" s="369"/>
      <c r="M58" s="135"/>
      <c r="N58" s="135"/>
      <c r="O58" s="140"/>
      <c r="P58" s="370"/>
      <c r="Q58" s="370"/>
      <c r="T58" s="371"/>
    </row>
    <row r="59" spans="1:20" ht="21.6" customHeight="1">
      <c r="B59" s="152" t="str">
        <f t="shared" si="0"/>
        <v>Rodolfo Subias y Melisa Lew</v>
      </c>
      <c r="C59" s="190">
        <v>46160</v>
      </c>
      <c r="D59" s="23" t="s">
        <v>364</v>
      </c>
      <c r="E59" s="38"/>
      <c r="F59" s="416"/>
      <c r="G59" s="23" t="s">
        <v>76</v>
      </c>
      <c r="H59" s="14" t="s">
        <v>817</v>
      </c>
      <c r="I59" s="40">
        <v>62000</v>
      </c>
      <c r="J59" s="40"/>
      <c r="K59" s="47" t="s">
        <v>201</v>
      </c>
      <c r="L59" s="2"/>
      <c r="M59" s="56" t="s">
        <v>732</v>
      </c>
      <c r="N59" s="2" t="s">
        <v>305</v>
      </c>
      <c r="O59" s="2"/>
      <c r="P59" s="50"/>
      <c r="Q59" s="50"/>
    </row>
    <row r="60" spans="1:20" s="138" customFormat="1" ht="28.9">
      <c r="A60" s="168" t="s">
        <v>218</v>
      </c>
      <c r="B60" s="156" t="str">
        <f t="shared" si="0"/>
        <v>Rodolfo Subias y Melisa Lew</v>
      </c>
      <c r="C60" s="171">
        <v>46163</v>
      </c>
      <c r="D60" s="130"/>
      <c r="E60" s="317"/>
      <c r="F60" s="465"/>
      <c r="G60" s="131"/>
      <c r="H60" s="465"/>
      <c r="I60" s="132"/>
      <c r="J60" s="132"/>
      <c r="K60" s="368"/>
      <c r="L60" s="369"/>
      <c r="M60" s="135"/>
      <c r="N60" s="135"/>
      <c r="O60" s="140"/>
      <c r="P60" s="370"/>
      <c r="Q60" s="370"/>
      <c r="T60" s="371"/>
    </row>
    <row r="61" spans="1:20" s="138" customFormat="1">
      <c r="A61" s="168"/>
      <c r="B61" s="129" t="str">
        <f>+$E$3</f>
        <v>Rodolfo Subias y Melisa Lew</v>
      </c>
      <c r="C61" s="189"/>
      <c r="D61" s="130"/>
      <c r="E61" s="130"/>
      <c r="F61" s="416"/>
      <c r="G61" s="131"/>
      <c r="H61" s="465"/>
      <c r="I61" s="132"/>
      <c r="J61" s="132"/>
      <c r="K61" s="368"/>
      <c r="L61" s="369"/>
      <c r="M61" s="135"/>
      <c r="N61" s="56"/>
      <c r="O61" s="140"/>
      <c r="P61" s="370"/>
      <c r="Q61" s="370"/>
      <c r="T61" s="371"/>
    </row>
    <row r="62" spans="1:20" ht="21.6" customHeight="1">
      <c r="B62" s="152" t="str">
        <f t="shared" ref="B62:B70" si="3">+$E$3</f>
        <v>Rodolfo Subias y Melisa Lew</v>
      </c>
      <c r="C62" s="190">
        <v>46230</v>
      </c>
      <c r="D62" s="23" t="s">
        <v>364</v>
      </c>
      <c r="E62" s="38"/>
      <c r="F62" s="416" t="s">
        <v>1148</v>
      </c>
      <c r="G62" s="23" t="s">
        <v>76</v>
      </c>
      <c r="H62" s="14" t="s">
        <v>817</v>
      </c>
      <c r="I62" s="40">
        <v>60000</v>
      </c>
      <c r="J62" s="40"/>
      <c r="K62" s="47" t="s">
        <v>399</v>
      </c>
      <c r="L62" s="2"/>
      <c r="M62" s="150" t="s">
        <v>209</v>
      </c>
      <c r="N62" s="2" t="s">
        <v>305</v>
      </c>
      <c r="O62" s="2"/>
      <c r="P62" s="50"/>
      <c r="Q62" s="50"/>
    </row>
    <row r="63" spans="1:20" ht="21.6" customHeight="1">
      <c r="B63" s="152" t="str">
        <f t="shared" si="3"/>
        <v>Rodolfo Subias y Melisa Lew</v>
      </c>
      <c r="C63" s="268">
        <v>46230</v>
      </c>
      <c r="D63" s="108" t="s">
        <v>364</v>
      </c>
      <c r="E63" s="405"/>
      <c r="F63" s="406" t="s">
        <v>1149</v>
      </c>
      <c r="G63" s="108" t="s">
        <v>76</v>
      </c>
      <c r="H63" s="112" t="s">
        <v>817</v>
      </c>
      <c r="I63" s="407">
        <v>60000</v>
      </c>
      <c r="J63" s="407"/>
      <c r="K63" s="408" t="s">
        <v>201</v>
      </c>
      <c r="L63" s="336" t="s">
        <v>732</v>
      </c>
      <c r="M63" s="336" t="s">
        <v>732</v>
      </c>
      <c r="N63" s="114" t="s">
        <v>305</v>
      </c>
      <c r="O63" s="335" t="s">
        <v>732</v>
      </c>
      <c r="P63" s="50"/>
      <c r="Q63" s="50"/>
    </row>
    <row r="64" spans="1:20" ht="21.6" customHeight="1">
      <c r="B64" s="152" t="str">
        <f t="shared" si="3"/>
        <v>Rodolfo Subias y Melisa Lew</v>
      </c>
      <c r="C64" s="268">
        <v>46231</v>
      </c>
      <c r="D64" s="108" t="s">
        <v>364</v>
      </c>
      <c r="E64" s="405"/>
      <c r="F64" s="406" t="s">
        <v>1150</v>
      </c>
      <c r="G64" s="108" t="s">
        <v>76</v>
      </c>
      <c r="H64" s="112" t="s">
        <v>817</v>
      </c>
      <c r="I64" s="407">
        <v>60000</v>
      </c>
      <c r="J64" s="407"/>
      <c r="K64" s="408" t="s">
        <v>201</v>
      </c>
      <c r="L64" s="336" t="s">
        <v>732</v>
      </c>
      <c r="M64" s="336" t="s">
        <v>732</v>
      </c>
      <c r="N64" s="114" t="s">
        <v>305</v>
      </c>
      <c r="O64" s="335" t="s">
        <v>732</v>
      </c>
      <c r="P64" s="50"/>
      <c r="Q64" s="50"/>
    </row>
    <row r="65" spans="1:20" s="138" customFormat="1" ht="28.9">
      <c r="A65" s="168" t="s">
        <v>218</v>
      </c>
      <c r="B65" s="156" t="str">
        <f t="shared" si="3"/>
        <v>Rodolfo Subias y Melisa Lew</v>
      </c>
      <c r="C65" s="171">
        <v>46233</v>
      </c>
      <c r="D65" s="130"/>
      <c r="E65" s="317"/>
      <c r="F65" s="465"/>
      <c r="G65" s="131"/>
      <c r="H65" s="487"/>
      <c r="I65" s="132"/>
      <c r="J65" s="132"/>
      <c r="K65" s="368"/>
      <c r="L65" s="369"/>
      <c r="M65" s="135"/>
      <c r="N65" s="135"/>
      <c r="O65" s="140"/>
      <c r="P65" s="370"/>
      <c r="Q65" s="370"/>
      <c r="T65" s="371"/>
    </row>
    <row r="66" spans="1:20" ht="21" customHeight="1">
      <c r="A66" s="221"/>
      <c r="B66" s="27" t="str">
        <f>+$E$3</f>
        <v>Rodolfo Subias y Melisa Lew</v>
      </c>
      <c r="C66" s="268">
        <v>46244</v>
      </c>
      <c r="D66" s="114" t="s">
        <v>364</v>
      </c>
      <c r="E66" s="405"/>
      <c r="F66" s="410" t="s">
        <v>1151</v>
      </c>
      <c r="G66" s="108" t="s">
        <v>76</v>
      </c>
      <c r="H66" s="112" t="s">
        <v>817</v>
      </c>
      <c r="I66" s="407">
        <v>65000</v>
      </c>
      <c r="J66" s="40"/>
      <c r="K66" s="408" t="s">
        <v>201</v>
      </c>
      <c r="L66" s="336" t="s">
        <v>732</v>
      </c>
      <c r="M66" s="336" t="s">
        <v>732</v>
      </c>
      <c r="N66" s="114" t="s">
        <v>305</v>
      </c>
      <c r="O66" s="335" t="s">
        <v>732</v>
      </c>
      <c r="P66" s="50"/>
      <c r="Q66" s="50"/>
      <c r="T66" s="15"/>
    </row>
    <row r="67" spans="1:20" ht="21" customHeight="1">
      <c r="A67" s="221"/>
      <c r="B67" s="27" t="str">
        <f>+$E$3</f>
        <v>Rodolfo Subias y Melisa Lew</v>
      </c>
      <c r="C67" s="409"/>
      <c r="D67" s="38"/>
      <c r="E67" s="38"/>
      <c r="F67" s="416"/>
      <c r="G67" s="39"/>
      <c r="H67" s="419"/>
      <c r="I67" s="40"/>
      <c r="J67" s="40"/>
      <c r="K67" s="48"/>
      <c r="L67" s="86"/>
      <c r="M67" s="56"/>
      <c r="N67" s="56"/>
      <c r="O67" s="2"/>
      <c r="P67" s="50"/>
      <c r="Q67" s="50"/>
      <c r="T67" s="15"/>
    </row>
    <row r="68" spans="1:20" ht="21.6" customHeight="1">
      <c r="B68" s="152" t="str">
        <f t="shared" si="3"/>
        <v>Rodolfo Subias y Melisa Lew</v>
      </c>
      <c r="C68" s="190"/>
      <c r="D68" s="38"/>
      <c r="E68" s="38"/>
      <c r="F68" s="416"/>
      <c r="G68" s="39"/>
      <c r="H68" s="419"/>
      <c r="I68" s="40"/>
      <c r="J68" s="40"/>
      <c r="K68" s="4"/>
      <c r="L68" s="14"/>
      <c r="M68" s="56"/>
      <c r="N68" s="56"/>
      <c r="O68" s="2"/>
      <c r="P68" s="50"/>
      <c r="Q68" s="50"/>
    </row>
    <row r="69" spans="1:20" s="311" customFormat="1" ht="18.600000000000001" customHeight="1">
      <c r="A69" s="367" t="s">
        <v>257</v>
      </c>
      <c r="B69" s="361" t="str">
        <f t="shared" si="0"/>
        <v>Rodolfo Subias y Melisa Lew</v>
      </c>
      <c r="C69" s="302">
        <v>46247</v>
      </c>
      <c r="D69" s="303"/>
      <c r="E69" s="362"/>
      <c r="F69" s="467"/>
      <c r="G69" s="304"/>
      <c r="H69" s="467"/>
      <c r="I69" s="305"/>
      <c r="J69" s="305"/>
      <c r="K69" s="363"/>
      <c r="L69" s="364"/>
      <c r="M69" s="308"/>
      <c r="N69" s="308"/>
      <c r="O69" s="365"/>
      <c r="P69" s="366"/>
      <c r="Q69" s="366"/>
      <c r="T69" s="360"/>
    </row>
    <row r="70" spans="1:20" ht="21.6" customHeight="1">
      <c r="B70" s="152" t="str">
        <f t="shared" si="3"/>
        <v>Rodolfo Subias y Melisa Lew</v>
      </c>
      <c r="C70" s="190"/>
      <c r="D70" s="38"/>
      <c r="E70" s="38"/>
      <c r="F70" s="416"/>
      <c r="G70" s="39"/>
      <c r="H70" s="419"/>
      <c r="I70" s="40"/>
      <c r="J70" s="40"/>
      <c r="K70" s="4"/>
      <c r="L70" s="14"/>
      <c r="M70" s="56"/>
      <c r="N70" s="56"/>
      <c r="O70" s="2"/>
      <c r="P70" s="50"/>
      <c r="Q70" s="50"/>
    </row>
    <row r="71" spans="1:20" ht="21.6" customHeight="1">
      <c r="B71" s="27" t="str">
        <f>+$E$3</f>
        <v>Rodolfo Subias y Melisa Lew</v>
      </c>
      <c r="C71" s="190"/>
      <c r="D71" s="38"/>
      <c r="E71" s="38"/>
      <c r="F71" s="416"/>
      <c r="G71" s="39"/>
      <c r="H71" s="419"/>
      <c r="I71" s="40"/>
      <c r="J71" s="40"/>
      <c r="K71" s="4"/>
      <c r="L71" s="86"/>
      <c r="M71" s="56"/>
      <c r="N71" s="56"/>
      <c r="O71" s="2"/>
      <c r="P71" s="50"/>
      <c r="Q71" s="50"/>
    </row>
    <row r="72" spans="1:20" ht="21.6" customHeight="1">
      <c r="B72" s="27" t="str">
        <f>+$E$3</f>
        <v>Rodolfo Subias y Melisa Lew</v>
      </c>
      <c r="C72" s="190"/>
      <c r="D72" s="38"/>
      <c r="E72" s="38"/>
      <c r="F72" s="416"/>
      <c r="G72" s="39"/>
      <c r="H72" s="419"/>
      <c r="I72" s="40"/>
      <c r="J72" s="40"/>
      <c r="K72" s="4"/>
      <c r="L72" s="86"/>
      <c r="M72" s="56"/>
      <c r="N72" s="56"/>
      <c r="O72" s="2"/>
      <c r="P72" s="50"/>
      <c r="Q72" s="50"/>
    </row>
    <row r="73" spans="1:20" s="311" customFormat="1" ht="18.600000000000001" customHeight="1">
      <c r="A73" s="367" t="s">
        <v>257</v>
      </c>
      <c r="B73" s="361" t="str">
        <f t="shared" si="0"/>
        <v>Rodolfo Subias y Melisa Lew</v>
      </c>
      <c r="C73" s="302">
        <v>46261</v>
      </c>
      <c r="D73" s="303"/>
      <c r="E73" s="362"/>
      <c r="F73" s="467"/>
      <c r="G73" s="304"/>
      <c r="H73" s="467"/>
      <c r="I73" s="305"/>
      <c r="J73" s="305"/>
      <c r="K73" s="363"/>
      <c r="L73" s="364"/>
      <c r="M73" s="308"/>
      <c r="N73" s="308"/>
      <c r="O73" s="365"/>
      <c r="P73" s="366"/>
      <c r="Q73" s="366"/>
      <c r="T73" s="360"/>
    </row>
    <row r="74" spans="1:20" ht="20.100000000000001" customHeight="1">
      <c r="B74" s="152" t="str">
        <f t="shared" si="0"/>
        <v>Rodolfo Subias y Melisa Lew</v>
      </c>
      <c r="C74" s="187"/>
      <c r="D74" s="469"/>
      <c r="E74" s="38"/>
      <c r="F74" s="419"/>
      <c r="G74" s="53"/>
      <c r="H74" s="469"/>
      <c r="I74" s="4"/>
      <c r="J74" s="4"/>
      <c r="K74" s="4"/>
      <c r="L74" s="14"/>
      <c r="M74" s="56"/>
      <c r="N74" s="56"/>
      <c r="O74" s="2"/>
      <c r="P74" s="50"/>
      <c r="Q74" s="50"/>
    </row>
    <row r="75" spans="1:20" ht="20.100000000000001" customHeight="1" thickBot="1">
      <c r="B75" s="6"/>
      <c r="G75" s="15"/>
      <c r="H75" s="30"/>
      <c r="I75" s="30"/>
      <c r="J75" s="30"/>
      <c r="N75" s="14"/>
    </row>
    <row r="76" spans="1:20" ht="19.350000000000001" customHeight="1" thickBot="1">
      <c r="B76" s="6"/>
      <c r="G76" s="5" t="s">
        <v>258</v>
      </c>
      <c r="H76" s="32">
        <f>SUM(I10:I74)</f>
        <v>9368313.4199999999</v>
      </c>
      <c r="I76" s="31"/>
      <c r="J76" s="31"/>
    </row>
    <row r="77" spans="1:20" ht="13.35" customHeight="1">
      <c r="B77" s="6"/>
      <c r="G77" s="15"/>
      <c r="H77" s="30"/>
      <c r="I77" s="30"/>
      <c r="J77" s="30"/>
    </row>
    <row r="78" spans="1:20">
      <c r="B78" s="6"/>
      <c r="G78" s="15"/>
      <c r="H78" s="30"/>
      <c r="I78" s="30"/>
      <c r="J78" s="30"/>
    </row>
    <row r="79" spans="1:20">
      <c r="B79" s="6"/>
      <c r="G79" s="15"/>
      <c r="H79" s="30"/>
      <c r="I79" s="30"/>
      <c r="J79" s="30"/>
    </row>
    <row r="80" spans="1:20">
      <c r="B80" s="6"/>
      <c r="H80" s="20"/>
      <c r="I80" s="20"/>
      <c r="J80" s="20"/>
    </row>
    <row r="81" spans="2:10">
      <c r="B81" s="6"/>
      <c r="H81" s="20"/>
      <c r="I81" s="20"/>
      <c r="J81" s="20"/>
    </row>
    <row r="82" spans="2:10">
      <c r="B82" s="6"/>
      <c r="H82" s="20"/>
      <c r="I82" s="20"/>
      <c r="J82" s="20"/>
    </row>
    <row r="83" spans="2:10">
      <c r="B83" s="6"/>
      <c r="H83" s="20"/>
      <c r="I83" s="20"/>
      <c r="J83" s="20"/>
    </row>
    <row r="84" spans="2:10">
      <c r="B84" s="6"/>
      <c r="H84" s="20"/>
      <c r="I84" s="20"/>
      <c r="J84" s="20"/>
    </row>
    <row r="85" spans="2:10">
      <c r="B85" s="6"/>
      <c r="H85" s="20"/>
      <c r="I85" s="20"/>
      <c r="J85" s="20"/>
    </row>
    <row r="86" spans="2:10">
      <c r="B86" s="6"/>
      <c r="H86" s="20"/>
      <c r="I86" s="20"/>
      <c r="J86" s="20"/>
    </row>
    <row r="87" spans="2:10">
      <c r="B87" s="6"/>
      <c r="H87" s="20"/>
      <c r="I87" s="20"/>
      <c r="J87" s="20"/>
    </row>
    <row r="88" spans="2:10">
      <c r="B88" s="6"/>
      <c r="H88" s="20"/>
      <c r="I88" s="20"/>
      <c r="J88" s="20"/>
    </row>
    <row r="89" spans="2:10">
      <c r="B89" s="6"/>
      <c r="H89" s="20"/>
      <c r="I89" s="20"/>
      <c r="J89" s="20"/>
    </row>
    <row r="90" spans="2:10">
      <c r="B90" s="6"/>
      <c r="H90" s="20"/>
      <c r="I90" s="20"/>
      <c r="J90" s="20"/>
    </row>
    <row r="91" spans="2:10">
      <c r="B91" s="6"/>
      <c r="H91" s="20"/>
      <c r="I91" s="20"/>
      <c r="J91" s="20"/>
    </row>
    <row r="92" spans="2:10">
      <c r="B92" s="6"/>
      <c r="H92" s="20"/>
      <c r="I92" s="20"/>
      <c r="J92" s="20"/>
    </row>
    <row r="93" spans="2:10">
      <c r="B93" s="6"/>
      <c r="H93" s="20"/>
      <c r="I93" s="20"/>
      <c r="J93" s="20"/>
    </row>
    <row r="94" spans="2:10">
      <c r="B94" s="6"/>
      <c r="H94" s="20"/>
      <c r="I94" s="20"/>
      <c r="J94" s="20"/>
    </row>
    <row r="95" spans="2:10">
      <c r="B95" s="6"/>
      <c r="H95" s="20"/>
      <c r="I95" s="20"/>
      <c r="J95" s="20"/>
    </row>
    <row r="96" spans="2:10">
      <c r="B96" s="6"/>
      <c r="H96" s="20"/>
      <c r="I96" s="20"/>
      <c r="J96" s="20"/>
    </row>
    <row r="97" spans="2:10">
      <c r="B97" s="6"/>
      <c r="H97" s="20"/>
      <c r="I97" s="20"/>
      <c r="J97" s="20"/>
    </row>
    <row r="98" spans="2:10">
      <c r="B98" s="6"/>
      <c r="H98" s="20"/>
      <c r="I98" s="20"/>
      <c r="J98" s="20"/>
    </row>
    <row r="99" spans="2:10">
      <c r="B99" s="6"/>
      <c r="H99" s="20"/>
      <c r="I99" s="20"/>
      <c r="J99" s="20"/>
    </row>
    <row r="100" spans="2:10">
      <c r="B100" s="6"/>
      <c r="H100" s="20"/>
      <c r="I100" s="20"/>
      <c r="J100" s="20"/>
    </row>
    <row r="101" spans="2:10">
      <c r="B101" s="6"/>
      <c r="H101" s="20"/>
      <c r="I101" s="20"/>
      <c r="J101" s="20"/>
    </row>
    <row r="102" spans="2:10">
      <c r="B102" s="6"/>
      <c r="H102" s="20"/>
      <c r="I102" s="20"/>
      <c r="J102" s="20"/>
    </row>
    <row r="103" spans="2:10">
      <c r="B103" s="6"/>
      <c r="H103" s="20"/>
      <c r="I103" s="20"/>
      <c r="J103" s="20"/>
    </row>
    <row r="104" spans="2:10">
      <c r="B104" s="6"/>
      <c r="H104" s="20"/>
      <c r="I104" s="20"/>
      <c r="J104" s="20"/>
    </row>
    <row r="105" spans="2:10">
      <c r="B105" s="6"/>
      <c r="H105" s="20"/>
      <c r="I105" s="20"/>
      <c r="J105" s="20"/>
    </row>
    <row r="106" spans="2:10">
      <c r="B106" s="6"/>
      <c r="H106" s="20"/>
      <c r="I106" s="20"/>
      <c r="J106" s="20"/>
    </row>
    <row r="107" spans="2:10">
      <c r="B107" s="6"/>
      <c r="H107" s="20"/>
      <c r="I107" s="20"/>
      <c r="J107" s="20"/>
    </row>
    <row r="108" spans="2:10">
      <c r="B108" s="6"/>
      <c r="H108" s="20"/>
      <c r="I108" s="20"/>
      <c r="J108" s="20"/>
    </row>
    <row r="109" spans="2:10">
      <c r="B109" s="6"/>
      <c r="H109" s="20"/>
      <c r="I109" s="20"/>
      <c r="J109" s="20"/>
    </row>
    <row r="110" spans="2:10">
      <c r="B110" s="6"/>
      <c r="H110" s="20"/>
      <c r="I110" s="20"/>
      <c r="J110" s="20"/>
    </row>
    <row r="111" spans="2:10">
      <c r="B111" s="6"/>
      <c r="H111" s="20"/>
      <c r="I111" s="20"/>
      <c r="J111" s="20"/>
    </row>
    <row r="112" spans="2:10">
      <c r="B112" s="6"/>
      <c r="H112" s="20"/>
      <c r="I112" s="20"/>
      <c r="J112" s="20"/>
    </row>
    <row r="113" spans="2:10">
      <c r="B113" s="6"/>
      <c r="H113" s="20"/>
      <c r="I113" s="20"/>
      <c r="J113" s="20"/>
    </row>
    <row r="114" spans="2:10">
      <c r="B114" s="6"/>
      <c r="H114" s="20"/>
      <c r="I114" s="20"/>
      <c r="J114" s="20"/>
    </row>
    <row r="115" spans="2:10">
      <c r="B115" s="6"/>
      <c r="H115" s="20"/>
      <c r="I115" s="20"/>
      <c r="J115" s="20"/>
    </row>
    <row r="116" spans="2:10">
      <c r="B116" s="6"/>
      <c r="H116" s="20"/>
      <c r="I116" s="20"/>
      <c r="J116" s="20"/>
    </row>
    <row r="117" spans="2:10">
      <c r="B117" s="6"/>
      <c r="H117" s="20"/>
      <c r="I117" s="20"/>
      <c r="J117" s="20"/>
    </row>
  </sheetData>
  <mergeCells count="5">
    <mergeCell ref="D2:H2"/>
    <mergeCell ref="F3:G3"/>
    <mergeCell ref="F4:G4"/>
    <mergeCell ref="F5:G5"/>
    <mergeCell ref="F6:G6"/>
  </mergeCells>
  <phoneticPr fontId="17" type="noConversion"/>
  <conditionalFormatting sqref="L10:L14 N10:N14 L16:L18 N16:N18 L20 N20 L23 L25:L28 L30:N32 L34:N40 L42:N43 N48 L51 L53:L55 O54 L56:M57 O57 L60:O61 N75">
    <cfRule type="cellIs" dxfId="719" priority="122" operator="equal">
      <formula>"Cuenta Corriente"</formula>
    </cfRule>
    <cfRule type="cellIs" dxfId="718" priority="123" operator="equal">
      <formula>"No Pagado"</formula>
    </cfRule>
  </conditionalFormatting>
  <conditionalFormatting sqref="L62:L64">
    <cfRule type="cellIs" dxfId="717" priority="20" operator="equal">
      <formula>"Cuenta Corriente"</formula>
    </cfRule>
    <cfRule type="cellIs" dxfId="716" priority="21" operator="equal">
      <formula>"No Pagado"</formula>
    </cfRule>
  </conditionalFormatting>
  <conditionalFormatting sqref="L66">
    <cfRule type="cellIs" dxfId="715" priority="5" operator="equal">
      <formula>"Cuenta Corriente"</formula>
    </cfRule>
    <cfRule type="cellIs" dxfId="714" priority="6" operator="equal">
      <formula>"No Pagado"</formula>
    </cfRule>
  </conditionalFormatting>
  <conditionalFormatting sqref="L22:M22 O22:O53 L48:M48">
    <cfRule type="containsText" dxfId="713" priority="103" operator="containsText" text="Pendiente">
      <formula>NOT(ISERROR(SEARCH("Pendiente",L22)))</formula>
    </cfRule>
    <cfRule type="containsText" dxfId="712" priority="104" operator="containsText" text="Pagado">
      <formula>NOT(ISERROR(SEARCH("Pagado",L22)))</formula>
    </cfRule>
    <cfRule type="containsText" dxfId="711" priority="105" operator="containsText" text="Para abonar">
      <formula>NOT(ISERROR(SEARCH("Para abonar",L22)))</formula>
    </cfRule>
  </conditionalFormatting>
  <conditionalFormatting sqref="L24:M24">
    <cfRule type="containsText" dxfId="710" priority="100" operator="containsText" text="Pendiente">
      <formula>NOT(ISERROR(SEARCH("Pendiente",L24)))</formula>
    </cfRule>
    <cfRule type="containsText" dxfId="709" priority="101" operator="containsText" text="Pagado">
      <formula>NOT(ISERROR(SEARCH("Pagado",L24)))</formula>
    </cfRule>
    <cfRule type="containsText" dxfId="708" priority="102" operator="containsText" text="Para abonar">
      <formula>NOT(ISERROR(SEARCH("Para abonar",L24)))</formula>
    </cfRule>
  </conditionalFormatting>
  <conditionalFormatting sqref="L29:M29">
    <cfRule type="containsText" dxfId="707" priority="95" operator="containsText" text="Pendiente">
      <formula>NOT(ISERROR(SEARCH("Pendiente",L29)))</formula>
    </cfRule>
    <cfRule type="containsText" dxfId="706" priority="96" operator="containsText" text="Pagado">
      <formula>NOT(ISERROR(SEARCH("Pagado",L29)))</formula>
    </cfRule>
    <cfRule type="containsText" dxfId="705" priority="97" operator="containsText" text="Para abonar">
      <formula>NOT(ISERROR(SEARCH("Para abonar",L29)))</formula>
    </cfRule>
  </conditionalFormatting>
  <conditionalFormatting sqref="L33:M33">
    <cfRule type="containsText" dxfId="704" priority="90" operator="containsText" text="Pendiente">
      <formula>NOT(ISERROR(SEARCH("Pendiente",L33)))</formula>
    </cfRule>
    <cfRule type="containsText" dxfId="703" priority="91" operator="containsText" text="Pagado">
      <formula>NOT(ISERROR(SEARCH("Pagado",L33)))</formula>
    </cfRule>
    <cfRule type="containsText" dxfId="702" priority="92" operator="containsText" text="Para abonar">
      <formula>NOT(ISERROR(SEARCH("Para abonar",L33)))</formula>
    </cfRule>
  </conditionalFormatting>
  <conditionalFormatting sqref="L41:M41">
    <cfRule type="containsText" dxfId="701" priority="85" operator="containsText" text="Pendiente">
      <formula>NOT(ISERROR(SEARCH("Pendiente",L41)))</formula>
    </cfRule>
    <cfRule type="containsText" dxfId="700" priority="86" operator="containsText" text="Pagado">
      <formula>NOT(ISERROR(SEARCH("Pagado",L41)))</formula>
    </cfRule>
    <cfRule type="containsText" dxfId="699" priority="87" operator="containsText" text="Para abonar">
      <formula>NOT(ISERROR(SEARCH("Para abonar",L41)))</formula>
    </cfRule>
  </conditionalFormatting>
  <conditionalFormatting sqref="L44:M44 L52:M52">
    <cfRule type="containsText" dxfId="698" priority="65" operator="containsText" text="Pendiente">
      <formula>NOT(ISERROR(SEARCH("Pendiente",L44)))</formula>
    </cfRule>
    <cfRule type="containsText" dxfId="697" priority="66" operator="containsText" text="Pagado">
      <formula>NOT(ISERROR(SEARCH("Pagado",L44)))</formula>
    </cfRule>
    <cfRule type="containsText" dxfId="696" priority="67" operator="containsText" text="Para abonar">
      <formula>NOT(ISERROR(SEARCH("Para abonar",L44)))</formula>
    </cfRule>
  </conditionalFormatting>
  <conditionalFormatting sqref="L59:M59">
    <cfRule type="cellIs" dxfId="695" priority="36" operator="equal">
      <formula>"Cuenta Corriente"</formula>
    </cfRule>
    <cfRule type="cellIs" dxfId="694" priority="37" operator="equal">
      <formula>"No Pagado"</formula>
    </cfRule>
  </conditionalFormatting>
  <conditionalFormatting sqref="L45:N47">
    <cfRule type="cellIs" dxfId="693" priority="57" operator="equal">
      <formula>"Cuenta Corriente"</formula>
    </cfRule>
    <cfRule type="cellIs" dxfId="692" priority="58" operator="equal">
      <formula>"No Pagado"</formula>
    </cfRule>
  </conditionalFormatting>
  <conditionalFormatting sqref="L49:N50">
    <cfRule type="cellIs" dxfId="691" priority="53" operator="equal">
      <formula>"Cuenta Corriente"</formula>
    </cfRule>
    <cfRule type="cellIs" dxfId="690" priority="54" operator="equal">
      <formula>"No Pagado"</formula>
    </cfRule>
  </conditionalFormatting>
  <conditionalFormatting sqref="L15:O15">
    <cfRule type="cellIs" dxfId="689" priority="115" operator="equal">
      <formula>"Cuenta Corriente"</formula>
    </cfRule>
    <cfRule type="cellIs" dxfId="688" priority="116" operator="equal">
      <formula>"No Pagado"</formula>
    </cfRule>
  </conditionalFormatting>
  <conditionalFormatting sqref="L19:O19">
    <cfRule type="cellIs" dxfId="687" priority="113" operator="equal">
      <formula>"Cuenta Corriente"</formula>
    </cfRule>
    <cfRule type="cellIs" dxfId="686" priority="114" operator="equal">
      <formula>"No Pagado"</formula>
    </cfRule>
  </conditionalFormatting>
  <conditionalFormatting sqref="L21:O21">
    <cfRule type="cellIs" dxfId="685" priority="111" operator="equal">
      <formula>"Cuenta Corriente"</formula>
    </cfRule>
    <cfRule type="cellIs" dxfId="684" priority="112" operator="equal">
      <formula>"No Pagado"</formula>
    </cfRule>
  </conditionalFormatting>
  <conditionalFormatting sqref="L58:O58 O59">
    <cfRule type="cellIs" dxfId="683" priority="38" operator="equal">
      <formula>"Cuenta Corriente"</formula>
    </cfRule>
    <cfRule type="cellIs" dxfId="682" priority="39" operator="equal">
      <formula>"No Pagado"</formula>
    </cfRule>
  </conditionalFormatting>
  <conditionalFormatting sqref="L65:O65 L67:O74">
    <cfRule type="cellIs" dxfId="681" priority="9" operator="equal">
      <formula>"Cuenta Corriente"</formula>
    </cfRule>
    <cfRule type="cellIs" dxfId="680" priority="10" operator="equal">
      <formula>"No Pagado"</formula>
    </cfRule>
  </conditionalFormatting>
  <conditionalFormatting sqref="M10:M14">
    <cfRule type="cellIs" dxfId="679" priority="81" operator="equal">
      <formula>"Cuenta Corriente"</formula>
    </cfRule>
    <cfRule type="cellIs" dxfId="678" priority="82" operator="equal">
      <formula>"No Pagado"</formula>
    </cfRule>
  </conditionalFormatting>
  <conditionalFormatting sqref="M16:M18">
    <cfRule type="cellIs" dxfId="677" priority="79" operator="equal">
      <formula>"Cuenta Corriente"</formula>
    </cfRule>
    <cfRule type="cellIs" dxfId="676" priority="80" operator="equal">
      <formula>"No Pagado"</formula>
    </cfRule>
  </conditionalFormatting>
  <conditionalFormatting sqref="M20">
    <cfRule type="cellIs" dxfId="675" priority="77" operator="equal">
      <formula>"Cuenta Corriente"</formula>
    </cfRule>
    <cfRule type="cellIs" dxfId="674" priority="78" operator="equal">
      <formula>"No Pagado"</formula>
    </cfRule>
  </conditionalFormatting>
  <conditionalFormatting sqref="M23">
    <cfRule type="cellIs" dxfId="673" priority="75" operator="equal">
      <formula>"Cuenta Corriente"</formula>
    </cfRule>
    <cfRule type="cellIs" dxfId="672" priority="76" operator="equal">
      <formula>"No Pagado"</formula>
    </cfRule>
  </conditionalFormatting>
  <conditionalFormatting sqref="M25:M28">
    <cfRule type="cellIs" dxfId="671" priority="73" operator="equal">
      <formula>"Cuenta Corriente"</formula>
    </cfRule>
    <cfRule type="cellIs" dxfId="670" priority="74" operator="equal">
      <formula>"No Pagado"</formula>
    </cfRule>
  </conditionalFormatting>
  <conditionalFormatting sqref="M53:M55">
    <cfRule type="cellIs" dxfId="669" priority="40" operator="equal">
      <formula>"Cuenta Corriente"</formula>
    </cfRule>
    <cfRule type="cellIs" dxfId="668" priority="41" operator="equal">
      <formula>"No Pagado"</formula>
    </cfRule>
  </conditionalFormatting>
  <conditionalFormatting sqref="M62:M64">
    <cfRule type="cellIs" dxfId="667" priority="22" operator="equal">
      <formula>"Cuenta Corriente"</formula>
    </cfRule>
    <cfRule type="cellIs" dxfId="666" priority="23" operator="equal">
      <formula>"No Pagado"</formula>
    </cfRule>
  </conditionalFormatting>
  <conditionalFormatting sqref="M66">
    <cfRule type="cellIs" dxfId="665" priority="7" operator="equal">
      <formula>"Cuenta Corriente"</formula>
    </cfRule>
    <cfRule type="cellIs" dxfId="664" priority="8" operator="equal">
      <formula>"No Pagado"</formula>
    </cfRule>
  </conditionalFormatting>
  <conditionalFormatting sqref="M51:N51">
    <cfRule type="cellIs" dxfId="663" priority="49" operator="equal">
      <formula>"Cuenta Corriente"</formula>
    </cfRule>
    <cfRule type="cellIs" dxfId="662" priority="50" operator="equal">
      <formula>"No Pagado"</formula>
    </cfRule>
  </conditionalFormatting>
  <conditionalFormatting sqref="N22:N29">
    <cfRule type="cellIs" dxfId="661" priority="93" operator="equal">
      <formula>"Cuenta Corriente"</formula>
    </cfRule>
    <cfRule type="cellIs" dxfId="660" priority="94" operator="equal">
      <formula>"No Pagado"</formula>
    </cfRule>
  </conditionalFormatting>
  <conditionalFormatting sqref="N33">
    <cfRule type="cellIs" dxfId="659" priority="88" operator="equal">
      <formula>"Cuenta Corriente"</formula>
    </cfRule>
    <cfRule type="cellIs" dxfId="658" priority="89" operator="equal">
      <formula>"No Pagado"</formula>
    </cfRule>
  </conditionalFormatting>
  <conditionalFormatting sqref="N41">
    <cfRule type="cellIs" dxfId="657" priority="83" operator="equal">
      <formula>"Cuenta Corriente"</formula>
    </cfRule>
    <cfRule type="cellIs" dxfId="656" priority="84" operator="equal">
      <formula>"No Pagado"</formula>
    </cfRule>
  </conditionalFormatting>
  <conditionalFormatting sqref="N44">
    <cfRule type="cellIs" dxfId="655" priority="63" operator="equal">
      <formula>"Cuenta Corriente"</formula>
    </cfRule>
    <cfRule type="cellIs" dxfId="654" priority="64" operator="equal">
      <formula>"No Pagado"</formula>
    </cfRule>
  </conditionalFormatting>
  <conditionalFormatting sqref="N52:N57">
    <cfRule type="cellIs" dxfId="653" priority="45" operator="equal">
      <formula>"Cuenta Corriente"</formula>
    </cfRule>
    <cfRule type="cellIs" dxfId="652" priority="46" operator="equal">
      <formula>"No Pagado"</formula>
    </cfRule>
  </conditionalFormatting>
  <conditionalFormatting sqref="N59">
    <cfRule type="cellIs" dxfId="651" priority="26" operator="equal">
      <formula>"Cuenta Corriente"</formula>
    </cfRule>
    <cfRule type="cellIs" dxfId="650" priority="27" operator="equal">
      <formula>"No Pagado"</formula>
    </cfRule>
  </conditionalFormatting>
  <conditionalFormatting sqref="N62:N64">
    <cfRule type="cellIs" dxfId="649" priority="18" operator="equal">
      <formula>"Cuenta Corriente"</formula>
    </cfRule>
    <cfRule type="cellIs" dxfId="648" priority="19" operator="equal">
      <formula>"No Pagado"</formula>
    </cfRule>
  </conditionalFormatting>
  <conditionalFormatting sqref="N66">
    <cfRule type="cellIs" dxfId="647" priority="3" operator="equal">
      <formula>"Cuenta Corriente"</formula>
    </cfRule>
    <cfRule type="cellIs" dxfId="646" priority="4" operator="equal">
      <formula>"No Pagado"</formula>
    </cfRule>
  </conditionalFormatting>
  <conditionalFormatting sqref="O10:O14 O16:O18 O20">
    <cfRule type="containsText" dxfId="645" priority="117" operator="containsText" text="Pendiente">
      <formula>NOT(ISERROR(SEARCH("Pendiente",O10)))</formula>
    </cfRule>
    <cfRule type="containsText" dxfId="644" priority="118" operator="containsText" text="Pagado">
      <formula>NOT(ISERROR(SEARCH("Pagado",O10)))</formula>
    </cfRule>
    <cfRule type="containsText" dxfId="643" priority="119" operator="containsText" text="Para abonar">
      <formula>NOT(ISERROR(SEARCH("Para abonar",O10)))</formula>
    </cfRule>
  </conditionalFormatting>
  <conditionalFormatting sqref="O55:O56">
    <cfRule type="containsText" dxfId="642" priority="42" operator="containsText" text="Pendiente">
      <formula>NOT(ISERROR(SEARCH("Pendiente",O55)))</formula>
    </cfRule>
    <cfRule type="containsText" dxfId="641" priority="43" operator="containsText" text="Pagado">
      <formula>NOT(ISERROR(SEARCH("Pagado",O55)))</formula>
    </cfRule>
    <cfRule type="containsText" dxfId="640" priority="44" operator="containsText" text="Para abonar">
      <formula>NOT(ISERROR(SEARCH("Para abonar",O55)))</formula>
    </cfRule>
  </conditionalFormatting>
  <conditionalFormatting sqref="O62:O64">
    <cfRule type="cellIs" dxfId="639" priority="13" operator="equal">
      <formula>"Cuenta Corriente"</formula>
    </cfRule>
    <cfRule type="cellIs" dxfId="638" priority="14" operator="equal">
      <formula>"No Pagado"</formula>
    </cfRule>
  </conditionalFormatting>
  <conditionalFormatting sqref="O66">
    <cfRule type="cellIs" dxfId="637" priority="1" operator="equal">
      <formula>"Cuenta Corriente"</formula>
    </cfRule>
    <cfRule type="cellIs" dxfId="636" priority="2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9284AB6-05DB-4441-A72B-7B77F0F85283}">
          <x14:formula1>
            <xm:f>Consultas!$B$9:$B$11</xm:f>
          </x14:formula1>
          <xm:sqref>N75 O10:O43 L10:M43 N44 K44 L45:M47 O45 K52 O49:O51 N48 N52 L49:M51 K48 L53:M74 O53:O74</xm:sqref>
        </x14:dataValidation>
        <x14:dataValidation type="list" allowBlank="1" showInputMessage="1" showErrorMessage="1" xr:uid="{3537FCDD-28C3-4EFF-A195-EE8A5F9CF404}">
          <x14:formula1>
            <xm:f>Consultas!$B$13:$B$15</xm:f>
          </x14:formula1>
          <xm:sqref>N10:N43 L44:M44 N45:N47 L52:M52 L48:M48 N49:N51 N53:N74</xm:sqref>
        </x14:dataValidation>
        <x14:dataValidation type="list" allowBlank="1" showInputMessage="1" showErrorMessage="1" xr:uid="{EBC452B1-4695-4DDD-B5F7-2A09E1ADCF65}">
          <x14:formula1>
            <xm:f>Proveedores!$B$3:$B$111</xm:f>
          </x14:formula1>
          <xm:sqref>G10:G43 G45:G47 F44 G49:G51 F48 F52 G53:G132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1E4B-EF19-49B3-A711-7DF997ABF735}">
  <dimension ref="A1:T92"/>
  <sheetViews>
    <sheetView topLeftCell="A17" zoomScale="94" zoomScaleNormal="94" workbookViewId="0">
      <selection activeCell="F27" sqref="F27"/>
    </sheetView>
  </sheetViews>
  <sheetFormatPr defaultColWidth="11.42578125" defaultRowHeight="14.45"/>
  <cols>
    <col min="1" max="1" width="12.5703125" customWidth="1"/>
    <col min="2" max="2" width="18.28515625" customWidth="1"/>
    <col min="3" max="3" width="17" customWidth="1"/>
    <col min="4" max="4" width="24" customWidth="1"/>
    <col min="5" max="5" width="25.140625" customWidth="1"/>
    <col min="6" max="6" width="41.28515625" bestFit="1" customWidth="1"/>
    <col min="7" max="7" width="18.42578125" customWidth="1"/>
    <col min="8" max="8" width="18" customWidth="1"/>
    <col min="9" max="9" width="16.42578125" customWidth="1"/>
    <col min="10" max="10" width="17.85546875" customWidth="1"/>
    <col min="11" max="11" width="16.28515625" customWidth="1"/>
    <col min="12" max="12" width="12.7109375" customWidth="1"/>
    <col min="13" max="13" width="15.28515625" customWidth="1"/>
    <col min="14" max="14" width="19" customWidth="1"/>
  </cols>
  <sheetData>
    <row r="1" spans="1:20" ht="15" thickBot="1">
      <c r="B1" s="6"/>
    </row>
    <row r="2" spans="1:20" ht="24" thickBot="1">
      <c r="B2" s="6"/>
      <c r="D2" s="420" t="s">
        <v>176</v>
      </c>
      <c r="E2" s="421"/>
      <c r="F2" s="421"/>
      <c r="G2" s="421"/>
      <c r="H2" s="422"/>
      <c r="I2" s="83"/>
    </row>
    <row r="3" spans="1:20" ht="18" customHeight="1">
      <c r="B3" s="6"/>
      <c r="D3" s="8" t="s">
        <v>177</v>
      </c>
      <c r="E3" s="36" t="s">
        <v>1152</v>
      </c>
      <c r="F3" s="423"/>
      <c r="G3" s="424"/>
      <c r="H3" s="37"/>
    </row>
    <row r="4" spans="1:20">
      <c r="B4" s="6"/>
      <c r="D4" s="9" t="s">
        <v>179</v>
      </c>
      <c r="E4" s="1" t="s">
        <v>1153</v>
      </c>
      <c r="F4" s="440" t="s">
        <v>180</v>
      </c>
      <c r="G4" s="441"/>
      <c r="H4" s="35" t="s">
        <v>1154</v>
      </c>
    </row>
    <row r="5" spans="1:20">
      <c r="B5" s="6"/>
      <c r="D5" s="9"/>
      <c r="E5" s="1"/>
      <c r="F5" s="442"/>
      <c r="G5" s="443"/>
      <c r="H5" s="10"/>
    </row>
    <row r="6" spans="1:20" ht="15" customHeight="1" thickBot="1">
      <c r="B6" s="6"/>
      <c r="D6" s="11"/>
      <c r="E6" s="12"/>
      <c r="F6" s="438"/>
      <c r="G6" s="439"/>
      <c r="H6" s="13"/>
    </row>
    <row r="7" spans="1:20">
      <c r="B7" s="6"/>
    </row>
    <row r="8" spans="1:20" ht="15" thickBot="1">
      <c r="B8" s="6"/>
    </row>
    <row r="9" spans="1:20" ht="43.9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52" t="s">
        <v>190</v>
      </c>
      <c r="M9" s="294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20" ht="45" customHeight="1">
      <c r="B10" s="27" t="str">
        <f>+$E$3</f>
        <v>RODRIGO LUGON</v>
      </c>
      <c r="C10" s="475">
        <v>46096</v>
      </c>
      <c r="D10" s="38" t="s">
        <v>867</v>
      </c>
      <c r="E10" s="42" t="s">
        <v>808</v>
      </c>
      <c r="F10" s="466"/>
      <c r="G10" s="42" t="s">
        <v>89</v>
      </c>
      <c r="H10" s="417" t="s">
        <v>216</v>
      </c>
      <c r="I10" s="48">
        <v>250000</v>
      </c>
      <c r="J10" s="48"/>
      <c r="K10" s="44" t="s">
        <v>396</v>
      </c>
      <c r="L10" s="2" t="s">
        <v>732</v>
      </c>
      <c r="M10" s="2"/>
      <c r="N10" s="265" t="s">
        <v>305</v>
      </c>
      <c r="O10" s="23"/>
      <c r="P10" s="106"/>
      <c r="Q10" s="106"/>
    </row>
    <row r="11" spans="1:20" ht="21.6" customHeight="1">
      <c r="B11" s="152" t="str">
        <f t="shared" ref="B11:B49" si="0">+$E$3</f>
        <v>RODRIGO LUGON</v>
      </c>
      <c r="C11" s="25">
        <v>46107</v>
      </c>
      <c r="D11" s="38" t="s">
        <v>867</v>
      </c>
      <c r="E11" s="41" t="s">
        <v>1155</v>
      </c>
      <c r="F11" s="460" t="s">
        <v>1156</v>
      </c>
      <c r="G11" s="41" t="s">
        <v>47</v>
      </c>
      <c r="H11" s="417" t="s">
        <v>216</v>
      </c>
      <c r="I11" s="45">
        <v>150000</v>
      </c>
      <c r="J11" s="45"/>
      <c r="K11" s="524" t="s">
        <v>208</v>
      </c>
      <c r="L11" s="2" t="s">
        <v>732</v>
      </c>
      <c r="M11" s="2"/>
      <c r="N11" s="265" t="s">
        <v>305</v>
      </c>
      <c r="O11" s="23"/>
      <c r="P11" s="49"/>
      <c r="Q11" s="49"/>
    </row>
    <row r="12" spans="1:20" s="138" customFormat="1" ht="44.25" customHeight="1">
      <c r="A12" s="168" t="s">
        <v>218</v>
      </c>
      <c r="B12" s="170"/>
      <c r="C12" s="171"/>
      <c r="D12" s="171"/>
      <c r="E12" s="130"/>
      <c r="F12" s="465"/>
      <c r="G12" s="131"/>
      <c r="H12" s="465"/>
      <c r="I12" s="132"/>
      <c r="J12" s="132"/>
      <c r="K12" s="133"/>
      <c r="L12" s="134"/>
      <c r="M12" s="134"/>
      <c r="N12" s="135"/>
      <c r="O12" s="136"/>
      <c r="P12" s="137"/>
      <c r="Q12" s="137"/>
    </row>
    <row r="13" spans="1:20" ht="45" customHeight="1">
      <c r="B13" s="27" t="str">
        <f>+$E$3</f>
        <v>RODRIGO LUGON</v>
      </c>
      <c r="C13" s="475">
        <v>46127</v>
      </c>
      <c r="D13" s="38" t="s">
        <v>867</v>
      </c>
      <c r="E13" s="42" t="s">
        <v>808</v>
      </c>
      <c r="F13" s="466"/>
      <c r="G13" s="42" t="s">
        <v>89</v>
      </c>
      <c r="H13" s="417" t="s">
        <v>216</v>
      </c>
      <c r="I13" s="48">
        <v>250000</v>
      </c>
      <c r="J13" s="48"/>
      <c r="K13" s="44" t="s">
        <v>396</v>
      </c>
      <c r="L13" s="2" t="s">
        <v>732</v>
      </c>
      <c r="M13" s="2"/>
      <c r="N13" s="265" t="s">
        <v>305</v>
      </c>
      <c r="O13" s="23"/>
      <c r="P13" s="106"/>
      <c r="Q13" s="106"/>
    </row>
    <row r="14" spans="1:20" s="138" customFormat="1" ht="44.25" customHeight="1">
      <c r="A14" s="168" t="s">
        <v>218</v>
      </c>
      <c r="B14" s="170"/>
      <c r="C14" s="171">
        <v>46135</v>
      </c>
      <c r="D14" s="171"/>
      <c r="E14" s="130"/>
      <c r="F14" s="465"/>
      <c r="G14" s="131"/>
      <c r="H14" s="465"/>
      <c r="I14" s="132"/>
      <c r="J14" s="132"/>
      <c r="K14" s="133"/>
      <c r="L14" s="134"/>
      <c r="M14" s="134"/>
      <c r="N14" s="135"/>
      <c r="O14" s="136"/>
      <c r="P14" s="137"/>
      <c r="Q14" s="137"/>
    </row>
    <row r="15" spans="1:20" ht="45" customHeight="1">
      <c r="B15" s="27" t="str">
        <f>+$E$3</f>
        <v>RODRIGO LUGON</v>
      </c>
      <c r="C15" s="475">
        <v>46141</v>
      </c>
      <c r="D15" s="38" t="s">
        <v>867</v>
      </c>
      <c r="E15" s="42" t="s">
        <v>808</v>
      </c>
      <c r="F15" s="466"/>
      <c r="G15" s="42" t="s">
        <v>89</v>
      </c>
      <c r="H15" s="417" t="s">
        <v>216</v>
      </c>
      <c r="I15" s="48">
        <v>105400</v>
      </c>
      <c r="J15" s="48"/>
      <c r="K15" s="44" t="s">
        <v>396</v>
      </c>
      <c r="L15" s="2" t="s">
        <v>732</v>
      </c>
      <c r="M15" s="2"/>
      <c r="N15" s="265" t="s">
        <v>305</v>
      </c>
      <c r="O15" s="23"/>
      <c r="P15" s="106"/>
      <c r="Q15" s="106"/>
    </row>
    <row r="16" spans="1:20" s="138" customFormat="1" ht="28.9">
      <c r="A16" s="168" t="s">
        <v>218</v>
      </c>
      <c r="B16" s="156" t="str">
        <f t="shared" si="0"/>
        <v>RODRIGO LUGON</v>
      </c>
      <c r="C16" s="171">
        <v>46149</v>
      </c>
      <c r="D16" s="130"/>
      <c r="E16" s="317"/>
      <c r="F16" s="465"/>
      <c r="G16" s="131"/>
      <c r="H16" s="465"/>
      <c r="I16" s="132"/>
      <c r="J16" s="132"/>
      <c r="K16" s="368"/>
      <c r="L16" s="369"/>
      <c r="M16" s="135"/>
      <c r="N16" s="135"/>
      <c r="O16" s="140"/>
      <c r="P16" s="370"/>
      <c r="Q16" s="370"/>
      <c r="T16" s="371"/>
    </row>
    <row r="17" spans="1:20" ht="23.1" customHeight="1">
      <c r="B17" s="152" t="str">
        <f t="shared" si="0"/>
        <v>RODRIGO LUGON</v>
      </c>
      <c r="C17" s="25">
        <v>46175</v>
      </c>
      <c r="D17" s="38" t="s">
        <v>867</v>
      </c>
      <c r="E17" s="29" t="s">
        <v>1157</v>
      </c>
      <c r="F17" s="84" t="s">
        <v>1156</v>
      </c>
      <c r="G17" s="23" t="s">
        <v>47</v>
      </c>
      <c r="H17" s="2"/>
      <c r="I17" s="44"/>
      <c r="J17" s="44"/>
      <c r="K17" s="524" t="s">
        <v>208</v>
      </c>
      <c r="L17" s="2" t="s">
        <v>732</v>
      </c>
      <c r="M17" s="2"/>
      <c r="N17" s="265" t="s">
        <v>305</v>
      </c>
      <c r="O17" s="23"/>
      <c r="P17" s="49"/>
      <c r="Q17" s="49"/>
    </row>
    <row r="18" spans="1:20" ht="23.45" customHeight="1">
      <c r="B18" s="152" t="str">
        <f t="shared" si="0"/>
        <v>RODRIGO LUGON</v>
      </c>
      <c r="C18" s="25">
        <v>46182</v>
      </c>
      <c r="D18" s="38" t="s">
        <v>867</v>
      </c>
      <c r="E18" s="29" t="s">
        <v>1157</v>
      </c>
      <c r="F18" s="84" t="s">
        <v>1156</v>
      </c>
      <c r="G18" s="23" t="s">
        <v>47</v>
      </c>
      <c r="H18" s="2"/>
      <c r="I18" s="44"/>
      <c r="J18" s="44"/>
      <c r="K18" s="524" t="s">
        <v>208</v>
      </c>
      <c r="L18" s="2" t="s">
        <v>732</v>
      </c>
      <c r="M18" s="2"/>
      <c r="N18" s="265" t="s">
        <v>305</v>
      </c>
      <c r="O18" s="23"/>
      <c r="P18" s="49"/>
      <c r="Q18" s="49"/>
    </row>
    <row r="19" spans="1:20" ht="23.45" customHeight="1">
      <c r="B19" s="27" t="str">
        <f>+$E$3</f>
        <v>RODRIGO LUGON</v>
      </c>
      <c r="C19" s="27"/>
      <c r="D19" s="38"/>
      <c r="E19" s="38"/>
      <c r="F19" s="416"/>
      <c r="G19" s="39"/>
      <c r="H19" s="419"/>
      <c r="I19" s="40"/>
      <c r="J19" s="40"/>
      <c r="K19" s="525"/>
      <c r="L19" s="86"/>
      <c r="M19" s="56"/>
      <c r="N19" s="56"/>
      <c r="O19" s="23"/>
      <c r="P19" s="106"/>
      <c r="Q19" s="106"/>
    </row>
    <row r="20" spans="1:20" ht="26.1" customHeight="1">
      <c r="B20" s="152" t="str">
        <f t="shared" si="0"/>
        <v>RODRIGO LUGON</v>
      </c>
      <c r="C20" s="25"/>
      <c r="D20" s="23"/>
      <c r="E20" s="29"/>
      <c r="F20" s="84"/>
      <c r="G20" s="23"/>
      <c r="H20" s="2"/>
      <c r="I20" s="44"/>
      <c r="J20" s="44"/>
      <c r="K20" s="47"/>
      <c r="L20" s="2"/>
      <c r="M20" s="55"/>
      <c r="N20" s="55"/>
      <c r="O20" s="23"/>
      <c r="P20" s="49"/>
      <c r="Q20" s="49"/>
    </row>
    <row r="21" spans="1:20" s="138" customFormat="1" ht="28.9">
      <c r="A21" s="168" t="s">
        <v>218</v>
      </c>
      <c r="B21" s="156" t="str">
        <f t="shared" si="0"/>
        <v>RODRIGO LUGON</v>
      </c>
      <c r="C21" s="171">
        <v>46191</v>
      </c>
      <c r="D21" s="130"/>
      <c r="E21" s="317"/>
      <c r="F21" s="465"/>
      <c r="G21" s="131"/>
      <c r="H21" s="465"/>
      <c r="I21" s="132"/>
      <c r="J21" s="132"/>
      <c r="K21" s="368"/>
      <c r="L21" s="369"/>
      <c r="M21" s="135"/>
      <c r="N21" s="135"/>
      <c r="O21" s="140"/>
      <c r="P21" s="370"/>
      <c r="Q21" s="370"/>
      <c r="T21" s="371"/>
    </row>
    <row r="22" spans="1:20" ht="21.6" customHeight="1">
      <c r="B22" s="152" t="str">
        <f t="shared" si="0"/>
        <v>RODRIGO LUGON</v>
      </c>
      <c r="C22" s="25">
        <v>46196</v>
      </c>
      <c r="D22" s="23" t="s">
        <v>397</v>
      </c>
      <c r="E22" s="29"/>
      <c r="F22" s="84" t="s">
        <v>1158</v>
      </c>
      <c r="G22" s="42" t="s">
        <v>76</v>
      </c>
      <c r="H22" s="2" t="s">
        <v>1067</v>
      </c>
      <c r="I22" s="44">
        <v>75000</v>
      </c>
      <c r="J22" s="48"/>
      <c r="K22" s="524" t="s">
        <v>208</v>
      </c>
      <c r="L22" s="2" t="s">
        <v>732</v>
      </c>
      <c r="M22" s="2"/>
      <c r="N22" s="265" t="s">
        <v>305</v>
      </c>
      <c r="O22" s="23"/>
      <c r="P22" s="50"/>
      <c r="Q22" s="50"/>
    </row>
    <row r="23" spans="1:20" ht="23.1" customHeight="1">
      <c r="B23" s="152" t="str">
        <f t="shared" si="0"/>
        <v>RODRIGO LUGON</v>
      </c>
      <c r="C23" s="25">
        <v>46197</v>
      </c>
      <c r="D23" s="23" t="s">
        <v>397</v>
      </c>
      <c r="E23" s="46"/>
      <c r="F23" s="84" t="s">
        <v>1158</v>
      </c>
      <c r="G23" s="42" t="s">
        <v>76</v>
      </c>
      <c r="H23" s="2" t="s">
        <v>1067</v>
      </c>
      <c r="I23" s="44">
        <v>75000</v>
      </c>
      <c r="J23" s="48"/>
      <c r="K23" s="524" t="s">
        <v>208</v>
      </c>
      <c r="L23" s="2" t="s">
        <v>732</v>
      </c>
      <c r="M23" s="2"/>
      <c r="N23" s="265" t="s">
        <v>305</v>
      </c>
      <c r="O23" s="23"/>
      <c r="P23" s="50"/>
      <c r="Q23" s="50"/>
    </row>
    <row r="24" spans="1:20" ht="22.35" customHeight="1">
      <c r="B24" s="152" t="str">
        <f t="shared" si="0"/>
        <v>RODRIGO LUGON</v>
      </c>
      <c r="C24" s="27"/>
      <c r="D24" s="23"/>
      <c r="E24" s="29"/>
      <c r="F24" s="85"/>
      <c r="G24" s="41"/>
      <c r="H24" s="14"/>
      <c r="I24" s="48"/>
      <c r="J24" s="48"/>
      <c r="K24" s="4"/>
      <c r="L24" s="2"/>
      <c r="M24" s="56"/>
      <c r="N24" s="56"/>
      <c r="O24" s="23"/>
      <c r="P24" s="50"/>
      <c r="Q24" s="50"/>
    </row>
    <row r="25" spans="1:20" ht="21.6" customHeight="1">
      <c r="B25" s="152" t="str">
        <f t="shared" si="0"/>
        <v>RODRIGO LUGON</v>
      </c>
      <c r="C25" s="27"/>
      <c r="D25" s="23"/>
      <c r="E25" s="29"/>
      <c r="F25" s="85"/>
      <c r="G25" s="41"/>
      <c r="H25" s="14"/>
      <c r="I25" s="48"/>
      <c r="J25" s="48"/>
      <c r="K25" s="4"/>
      <c r="L25" s="2"/>
      <c r="M25" s="56"/>
      <c r="N25" s="56"/>
      <c r="O25" s="23"/>
      <c r="P25" s="50"/>
      <c r="Q25" s="50"/>
    </row>
    <row r="26" spans="1:20" s="138" customFormat="1" ht="28.9">
      <c r="A26" s="168" t="s">
        <v>218</v>
      </c>
      <c r="B26" s="156" t="str">
        <f t="shared" si="0"/>
        <v>RODRIGO LUGON</v>
      </c>
      <c r="C26" s="171">
        <v>46205</v>
      </c>
      <c r="D26" s="136"/>
      <c r="E26" s="384"/>
      <c r="F26" s="208"/>
      <c r="G26" s="322"/>
      <c r="H26" s="414"/>
      <c r="I26" s="368"/>
      <c r="J26" s="368"/>
      <c r="K26" s="376"/>
      <c r="L26" s="140"/>
      <c r="M26" s="135"/>
      <c r="N26" s="135"/>
      <c r="O26" s="136"/>
      <c r="P26" s="370"/>
      <c r="Q26" s="370"/>
    </row>
    <row r="27" spans="1:20" ht="21.6" customHeight="1">
      <c r="B27" s="152" t="str">
        <f t="shared" si="0"/>
        <v>RODRIGO LUGON</v>
      </c>
      <c r="C27" s="27">
        <v>46244</v>
      </c>
      <c r="D27" s="23" t="s">
        <v>364</v>
      </c>
      <c r="E27" s="46" t="s">
        <v>808</v>
      </c>
      <c r="F27" s="416" t="s">
        <v>1159</v>
      </c>
      <c r="G27" s="23" t="s">
        <v>76</v>
      </c>
      <c r="H27" s="2" t="s">
        <v>1067</v>
      </c>
      <c r="I27" s="48">
        <v>65000</v>
      </c>
      <c r="J27" s="48"/>
      <c r="K27" s="524" t="s">
        <v>208</v>
      </c>
      <c r="L27" s="2" t="s">
        <v>732</v>
      </c>
      <c r="M27" s="2"/>
      <c r="N27" s="265" t="s">
        <v>305</v>
      </c>
      <c r="O27" s="23"/>
      <c r="P27" s="50"/>
      <c r="Q27" s="50"/>
    </row>
    <row r="28" spans="1:20" s="138" customFormat="1" ht="28.9">
      <c r="A28" s="168" t="s">
        <v>218</v>
      </c>
      <c r="B28" s="156" t="str">
        <f t="shared" si="0"/>
        <v>RODRIGO LUGON</v>
      </c>
      <c r="C28" s="171">
        <v>46261</v>
      </c>
      <c r="D28" s="130"/>
      <c r="E28" s="317"/>
      <c r="F28" s="465"/>
      <c r="G28" s="131"/>
      <c r="H28" s="465"/>
      <c r="I28" s="132"/>
      <c r="J28" s="132"/>
      <c r="K28" s="368"/>
      <c r="L28" s="369"/>
      <c r="M28" s="135"/>
      <c r="N28" s="135"/>
      <c r="O28" s="140"/>
      <c r="P28" s="370"/>
      <c r="Q28" s="370"/>
      <c r="T28" s="371"/>
    </row>
    <row r="29" spans="1:20" ht="21.6" customHeight="1">
      <c r="B29" s="152" t="str">
        <f t="shared" si="0"/>
        <v>RODRIGO LUGON</v>
      </c>
      <c r="C29" s="27"/>
      <c r="D29" s="23"/>
      <c r="E29" s="29"/>
      <c r="F29" s="85"/>
      <c r="G29" s="42"/>
      <c r="H29" s="14"/>
      <c r="I29" s="48"/>
      <c r="J29" s="48"/>
      <c r="K29" s="4"/>
      <c r="L29" s="2"/>
      <c r="M29" s="56"/>
      <c r="N29" s="56"/>
      <c r="O29" s="23"/>
      <c r="P29" s="50"/>
      <c r="Q29" s="50"/>
    </row>
    <row r="30" spans="1:20" ht="21.6" customHeight="1">
      <c r="B30" s="152" t="str">
        <f t="shared" si="0"/>
        <v>RODRIGO LUGON</v>
      </c>
      <c r="C30" s="27"/>
      <c r="D30" s="23"/>
      <c r="E30" s="29"/>
      <c r="F30" s="85"/>
      <c r="G30" s="42"/>
      <c r="H30" s="14"/>
      <c r="I30" s="48"/>
      <c r="J30" s="48"/>
      <c r="K30" s="4"/>
      <c r="L30" s="2"/>
      <c r="M30" s="56"/>
      <c r="N30" s="56"/>
      <c r="O30" s="23"/>
      <c r="P30" s="50"/>
      <c r="Q30" s="50"/>
    </row>
    <row r="31" spans="1:20" ht="21.6" customHeight="1">
      <c r="B31" s="152" t="str">
        <f t="shared" si="0"/>
        <v>RODRIGO LUGON</v>
      </c>
      <c r="C31" s="27"/>
      <c r="D31" s="23"/>
      <c r="E31" s="46"/>
      <c r="F31" s="85"/>
      <c r="G31" s="42"/>
      <c r="H31" s="86"/>
      <c r="I31" s="48"/>
      <c r="J31" s="48"/>
      <c r="K31" s="4"/>
      <c r="L31" s="2"/>
      <c r="M31" s="56"/>
      <c r="N31" s="56"/>
      <c r="O31" s="23"/>
      <c r="P31" s="50"/>
      <c r="Q31" s="50"/>
    </row>
    <row r="32" spans="1:20" ht="21.6" customHeight="1">
      <c r="B32" s="152" t="str">
        <f t="shared" si="0"/>
        <v>RODRIGO LUGON</v>
      </c>
      <c r="C32" s="27"/>
      <c r="D32" s="23"/>
      <c r="E32" s="29"/>
      <c r="F32" s="84"/>
      <c r="G32" s="23"/>
      <c r="H32" s="14"/>
      <c r="I32" s="44"/>
      <c r="J32" s="44"/>
      <c r="K32" s="19"/>
      <c r="L32" s="2"/>
      <c r="M32" s="56"/>
      <c r="N32" s="56"/>
      <c r="O32" s="23"/>
      <c r="P32" s="50"/>
      <c r="Q32" s="50"/>
    </row>
    <row r="33" spans="1:20" ht="21.6" customHeight="1">
      <c r="B33" s="152" t="str">
        <f t="shared" si="0"/>
        <v>RODRIGO LUGON</v>
      </c>
      <c r="C33" s="27"/>
      <c r="D33" s="23"/>
      <c r="E33" s="29"/>
      <c r="F33" s="85"/>
      <c r="G33" s="42"/>
      <c r="H33" s="87"/>
      <c r="I33" s="48"/>
      <c r="J33" s="48"/>
      <c r="K33" s="4"/>
      <c r="L33" s="2"/>
      <c r="M33" s="56"/>
      <c r="N33" s="56"/>
      <c r="O33" s="23"/>
      <c r="P33" s="50"/>
      <c r="Q33" s="50"/>
    </row>
    <row r="34" spans="1:20" s="311" customFormat="1" ht="18.600000000000001" customHeight="1">
      <c r="A34" s="367" t="s">
        <v>257</v>
      </c>
      <c r="B34" s="361" t="str">
        <f t="shared" si="0"/>
        <v>RODRIGO LUGON</v>
      </c>
      <c r="C34" s="302">
        <v>46275</v>
      </c>
      <c r="D34" s="303"/>
      <c r="E34" s="362"/>
      <c r="F34" s="467"/>
      <c r="G34" s="304"/>
      <c r="H34" s="467"/>
      <c r="I34" s="305"/>
      <c r="J34" s="305"/>
      <c r="K34" s="363"/>
      <c r="L34" s="364"/>
      <c r="M34" s="308"/>
      <c r="N34" s="308"/>
      <c r="O34" s="365"/>
      <c r="P34" s="366"/>
      <c r="Q34" s="366"/>
      <c r="T34" s="360"/>
    </row>
    <row r="35" spans="1:20" ht="21.6" customHeight="1">
      <c r="B35" s="152" t="str">
        <f t="shared" si="0"/>
        <v>RODRIGO LUGON</v>
      </c>
      <c r="C35" s="27"/>
      <c r="D35" s="23"/>
      <c r="E35" s="46"/>
      <c r="F35" s="85"/>
      <c r="G35" s="42"/>
      <c r="H35" s="86"/>
      <c r="I35" s="48"/>
      <c r="J35" s="48"/>
      <c r="K35" s="4"/>
      <c r="L35" s="2"/>
      <c r="M35" s="56"/>
      <c r="N35" s="56"/>
      <c r="O35" s="23"/>
      <c r="P35" s="50"/>
      <c r="Q35" s="50"/>
    </row>
    <row r="36" spans="1:20" ht="21.6" customHeight="1">
      <c r="B36" s="152" t="str">
        <f t="shared" si="0"/>
        <v>RODRIGO LUGON</v>
      </c>
      <c r="C36" s="27"/>
      <c r="D36" s="23"/>
      <c r="E36" s="46"/>
      <c r="F36" s="85"/>
      <c r="G36" s="42"/>
      <c r="H36" s="86"/>
      <c r="I36" s="48"/>
      <c r="J36" s="48"/>
      <c r="K36" s="4"/>
      <c r="L36" s="2"/>
      <c r="M36" s="56"/>
      <c r="N36" s="56"/>
      <c r="O36" s="23"/>
      <c r="P36" s="50"/>
      <c r="Q36" s="50"/>
    </row>
    <row r="37" spans="1:20" ht="21.6" customHeight="1">
      <c r="B37" s="152" t="str">
        <f t="shared" si="0"/>
        <v>RODRIGO LUGON</v>
      </c>
      <c r="C37" s="27"/>
      <c r="D37" s="23"/>
      <c r="E37" s="46"/>
      <c r="F37" s="85"/>
      <c r="G37" s="42"/>
      <c r="H37" s="2"/>
      <c r="I37" s="48"/>
      <c r="J37" s="48"/>
      <c r="K37" s="4"/>
      <c r="L37" s="2"/>
      <c r="M37" s="56"/>
      <c r="N37" s="56"/>
      <c r="O37" s="23"/>
      <c r="P37" s="50"/>
      <c r="Q37" s="50"/>
    </row>
    <row r="38" spans="1:20" ht="21.6" customHeight="1">
      <c r="B38" s="152" t="str">
        <f t="shared" si="0"/>
        <v>RODRIGO LUGON</v>
      </c>
      <c r="C38" s="27"/>
      <c r="D38" s="23"/>
      <c r="E38" s="29"/>
      <c r="F38" s="84"/>
      <c r="G38" s="23"/>
      <c r="H38" s="14"/>
      <c r="I38" s="44"/>
      <c r="J38" s="48"/>
      <c r="K38" s="4"/>
      <c r="L38" s="2"/>
      <c r="M38" s="56"/>
      <c r="N38" s="56"/>
      <c r="O38" s="23"/>
      <c r="P38" s="50"/>
      <c r="Q38" s="50"/>
    </row>
    <row r="39" spans="1:20" ht="21.6" customHeight="1">
      <c r="B39" s="152" t="str">
        <f t="shared" si="0"/>
        <v>RODRIGO LUGON</v>
      </c>
      <c r="C39" s="27"/>
      <c r="D39" s="42"/>
      <c r="E39" s="46"/>
      <c r="F39" s="85"/>
      <c r="G39" s="42"/>
      <c r="H39" s="86"/>
      <c r="I39" s="48"/>
      <c r="J39" s="48"/>
      <c r="K39" s="4"/>
      <c r="L39" s="2"/>
      <c r="M39" s="56"/>
      <c r="N39" s="56"/>
      <c r="O39" s="23"/>
      <c r="P39" s="50"/>
      <c r="Q39" s="50"/>
    </row>
    <row r="40" spans="1:20" ht="21.6" customHeight="1">
      <c r="B40" s="152" t="str">
        <f t="shared" si="0"/>
        <v>RODRIGO LUGON</v>
      </c>
      <c r="C40" s="27"/>
      <c r="D40" s="42"/>
      <c r="E40" s="46"/>
      <c r="F40" s="85"/>
      <c r="G40" s="23"/>
      <c r="H40" s="2"/>
      <c r="I40" s="48"/>
      <c r="J40" s="48"/>
      <c r="K40" s="4"/>
      <c r="L40" s="2"/>
      <c r="M40" s="56"/>
      <c r="N40" s="56"/>
      <c r="O40" s="23"/>
      <c r="P40" s="50"/>
      <c r="Q40" s="50"/>
    </row>
    <row r="41" spans="1:20" ht="21.6" customHeight="1">
      <c r="B41" s="152" t="str">
        <f t="shared" si="0"/>
        <v>RODRIGO LUGON</v>
      </c>
      <c r="C41" s="27"/>
      <c r="D41" s="38"/>
      <c r="E41" s="38"/>
      <c r="F41" s="85"/>
      <c r="G41" s="39"/>
      <c r="H41" s="88"/>
      <c r="I41" s="40"/>
      <c r="J41" s="40"/>
      <c r="K41" s="4"/>
      <c r="L41" s="2"/>
      <c r="M41" s="56"/>
      <c r="N41" s="56"/>
      <c r="O41" s="2"/>
      <c r="P41" s="50"/>
      <c r="Q41" s="50"/>
    </row>
    <row r="42" spans="1:20" ht="21.6" customHeight="1">
      <c r="B42" s="152" t="str">
        <f t="shared" si="0"/>
        <v>RODRIGO LUGON</v>
      </c>
      <c r="C42" s="27"/>
      <c r="D42" s="38"/>
      <c r="E42" s="38"/>
      <c r="F42" s="85"/>
      <c r="G42" s="39"/>
      <c r="H42" s="88"/>
      <c r="I42" s="40"/>
      <c r="J42" s="40"/>
      <c r="K42" s="4"/>
      <c r="L42" s="2"/>
      <c r="M42" s="56"/>
      <c r="N42" s="56"/>
      <c r="O42" s="14"/>
      <c r="P42" s="50"/>
      <c r="Q42" s="50"/>
    </row>
    <row r="43" spans="1:20" ht="21.6" customHeight="1">
      <c r="B43" s="152" t="str">
        <f t="shared" si="0"/>
        <v>RODRIGO LUGON</v>
      </c>
      <c r="C43" s="27"/>
      <c r="D43" s="38"/>
      <c r="E43" s="38"/>
      <c r="F43" s="85"/>
      <c r="G43" s="39"/>
      <c r="H43" s="88"/>
      <c r="I43" s="40"/>
      <c r="J43" s="40"/>
      <c r="K43" s="4"/>
      <c r="L43" s="2"/>
      <c r="M43" s="56"/>
      <c r="N43" s="56"/>
      <c r="O43" s="2"/>
      <c r="P43" s="50"/>
      <c r="Q43" s="50"/>
    </row>
    <row r="44" spans="1:20" ht="21.6" customHeight="1">
      <c r="B44" s="152" t="str">
        <f t="shared" si="0"/>
        <v>RODRIGO LUGON</v>
      </c>
      <c r="C44" s="27"/>
      <c r="D44" s="38"/>
      <c r="E44" s="38"/>
      <c r="F44" s="85"/>
      <c r="G44" s="39"/>
      <c r="H44" s="88"/>
      <c r="I44" s="40"/>
      <c r="J44" s="40"/>
      <c r="K44" s="4"/>
      <c r="L44" s="2"/>
      <c r="M44" s="56"/>
      <c r="N44" s="56"/>
      <c r="O44" s="2"/>
      <c r="P44" s="50"/>
      <c r="Q44" s="50"/>
    </row>
    <row r="45" spans="1:20" ht="21.6" customHeight="1">
      <c r="B45" s="152" t="str">
        <f t="shared" si="0"/>
        <v>RODRIGO LUGON</v>
      </c>
      <c r="C45" s="27"/>
      <c r="D45" s="38"/>
      <c r="E45" s="38"/>
      <c r="F45" s="85"/>
      <c r="G45" s="39"/>
      <c r="H45" s="88"/>
      <c r="I45" s="40"/>
      <c r="J45" s="40"/>
      <c r="K45" s="4"/>
      <c r="L45" s="2"/>
      <c r="M45" s="56"/>
      <c r="N45" s="56"/>
      <c r="O45" s="2"/>
      <c r="P45" s="50"/>
      <c r="Q45" s="50"/>
    </row>
    <row r="46" spans="1:20" ht="21.6" customHeight="1">
      <c r="B46" s="152" t="str">
        <f t="shared" si="0"/>
        <v>RODRIGO LUGON</v>
      </c>
      <c r="C46" s="27"/>
      <c r="D46" s="38"/>
      <c r="E46" s="38"/>
      <c r="F46" s="85"/>
      <c r="G46" s="39"/>
      <c r="H46" s="88"/>
      <c r="I46" s="40"/>
      <c r="J46" s="40"/>
      <c r="K46" s="4"/>
      <c r="L46" s="2"/>
      <c r="M46" s="56"/>
      <c r="N46" s="56"/>
      <c r="O46" s="2"/>
      <c r="P46" s="50"/>
      <c r="Q46" s="50"/>
    </row>
    <row r="47" spans="1:20" ht="21.6" customHeight="1">
      <c r="B47" s="152" t="str">
        <f t="shared" si="0"/>
        <v>RODRIGO LUGON</v>
      </c>
      <c r="C47" s="27"/>
      <c r="D47" s="38"/>
      <c r="E47" s="38"/>
      <c r="F47" s="85"/>
      <c r="G47" s="39"/>
      <c r="H47" s="88"/>
      <c r="I47" s="40"/>
      <c r="J47" s="40"/>
      <c r="K47" s="4"/>
      <c r="L47" s="2"/>
      <c r="M47" s="56"/>
      <c r="N47" s="56"/>
      <c r="O47" s="2"/>
      <c r="P47" s="50"/>
      <c r="Q47" s="50"/>
    </row>
    <row r="48" spans="1:20" ht="21.6" customHeight="1">
      <c r="B48" s="152" t="str">
        <f t="shared" si="0"/>
        <v>RODRIGO LUGON</v>
      </c>
      <c r="C48" s="27"/>
      <c r="D48" s="38"/>
      <c r="E48" s="38"/>
      <c r="F48" s="85"/>
      <c r="G48" s="39"/>
      <c r="H48" s="88"/>
      <c r="I48" s="40"/>
      <c r="J48" s="40"/>
      <c r="K48" s="4"/>
      <c r="L48" s="2"/>
      <c r="M48" s="56"/>
      <c r="N48" s="56"/>
      <c r="O48" s="2"/>
      <c r="P48" s="50"/>
      <c r="Q48" s="50"/>
    </row>
    <row r="49" spans="2:17" ht="20.100000000000001" customHeight="1">
      <c r="B49" s="152" t="str">
        <f t="shared" si="0"/>
        <v>RODRIGO LUGON</v>
      </c>
      <c r="C49" s="27"/>
      <c r="D49" s="89"/>
      <c r="E49" s="38"/>
      <c r="F49" s="88"/>
      <c r="G49" s="53"/>
      <c r="H49" s="89"/>
      <c r="I49" s="4"/>
      <c r="J49" s="4"/>
      <c r="K49" s="4"/>
      <c r="L49" s="14"/>
      <c r="M49" s="56"/>
      <c r="N49" s="56"/>
      <c r="O49" s="2"/>
      <c r="P49" s="50"/>
      <c r="Q49" s="50"/>
    </row>
    <row r="50" spans="2:17" ht="20.100000000000001" customHeight="1" thickBot="1">
      <c r="B50" s="6"/>
      <c r="H50" s="20"/>
      <c r="I50" s="20"/>
      <c r="M50" s="14"/>
    </row>
    <row r="51" spans="2:17" ht="19.350000000000001" customHeight="1" thickBot="1">
      <c r="B51" s="6"/>
      <c r="G51" s="5" t="s">
        <v>258</v>
      </c>
      <c r="H51" s="32">
        <f>SUM(I10:I49)</f>
        <v>970400</v>
      </c>
      <c r="I51" s="90"/>
    </row>
    <row r="52" spans="2:17" ht="13.35" customHeight="1">
      <c r="B52" s="6"/>
      <c r="H52" s="20"/>
      <c r="I52" s="20"/>
    </row>
    <row r="53" spans="2:17">
      <c r="B53" s="6"/>
      <c r="H53" s="20"/>
      <c r="I53" s="20"/>
    </row>
    <row r="54" spans="2:17">
      <c r="B54" s="6"/>
      <c r="H54" s="20"/>
      <c r="I54" s="20"/>
    </row>
    <row r="55" spans="2:17">
      <c r="B55" s="6"/>
      <c r="H55" s="20"/>
      <c r="I55" s="20"/>
    </row>
    <row r="56" spans="2:17">
      <c r="B56" s="6"/>
      <c r="H56" s="20"/>
      <c r="I56" s="20"/>
    </row>
    <row r="57" spans="2:17">
      <c r="B57" s="6"/>
      <c r="H57" s="20"/>
      <c r="I57" s="20"/>
    </row>
    <row r="58" spans="2:17">
      <c r="B58" s="6"/>
      <c r="H58" s="20"/>
      <c r="I58" s="20"/>
    </row>
    <row r="59" spans="2:17">
      <c r="B59" s="6"/>
      <c r="H59" s="20"/>
      <c r="I59" s="20"/>
    </row>
    <row r="60" spans="2:17">
      <c r="B60" s="6"/>
      <c r="H60" s="20"/>
      <c r="I60" s="20"/>
    </row>
    <row r="61" spans="2:17">
      <c r="B61" s="6"/>
      <c r="H61" s="20"/>
      <c r="I61" s="20"/>
    </row>
    <row r="62" spans="2:17">
      <c r="B62" s="6"/>
      <c r="H62" s="20"/>
      <c r="I62" s="20"/>
    </row>
    <row r="63" spans="2:17">
      <c r="B63" s="6"/>
      <c r="H63" s="20"/>
      <c r="I63" s="20"/>
    </row>
    <row r="64" spans="2:17">
      <c r="B64" s="6"/>
      <c r="H64" s="20"/>
      <c r="I64" s="20"/>
    </row>
    <row r="65" spans="2:9">
      <c r="B65" s="6"/>
      <c r="H65" s="20"/>
      <c r="I65" s="20"/>
    </row>
    <row r="66" spans="2:9">
      <c r="B66" s="6"/>
      <c r="H66" s="20"/>
      <c r="I66" s="20"/>
    </row>
    <row r="67" spans="2:9">
      <c r="B67" s="6"/>
      <c r="H67" s="20"/>
      <c r="I67" s="20"/>
    </row>
    <row r="68" spans="2:9">
      <c r="B68" s="6"/>
      <c r="H68" s="20"/>
      <c r="I68" s="20"/>
    </row>
    <row r="69" spans="2:9">
      <c r="B69" s="6"/>
      <c r="H69" s="20"/>
      <c r="I69" s="20"/>
    </row>
    <row r="70" spans="2:9">
      <c r="B70" s="6"/>
      <c r="H70" s="20"/>
      <c r="I70" s="20"/>
    </row>
    <row r="71" spans="2:9">
      <c r="B71" s="6"/>
      <c r="H71" s="20"/>
      <c r="I71" s="20"/>
    </row>
    <row r="72" spans="2:9">
      <c r="B72" s="6"/>
      <c r="H72" s="20"/>
      <c r="I72" s="20"/>
    </row>
    <row r="73" spans="2:9">
      <c r="B73" s="6"/>
      <c r="H73" s="20"/>
      <c r="I73" s="20"/>
    </row>
    <row r="74" spans="2:9">
      <c r="B74" s="6"/>
      <c r="H74" s="20"/>
      <c r="I74" s="20"/>
    </row>
    <row r="75" spans="2:9">
      <c r="B75" s="6"/>
      <c r="H75" s="20"/>
      <c r="I75" s="20"/>
    </row>
    <row r="76" spans="2:9">
      <c r="B76" s="6"/>
      <c r="H76" s="20"/>
      <c r="I76" s="20"/>
    </row>
    <row r="77" spans="2:9">
      <c r="B77" s="6"/>
      <c r="H77" s="20"/>
      <c r="I77" s="20"/>
    </row>
    <row r="78" spans="2:9">
      <c r="B78" s="6"/>
      <c r="H78" s="20"/>
      <c r="I78" s="20"/>
    </row>
    <row r="79" spans="2:9">
      <c r="B79" s="6"/>
      <c r="H79" s="20"/>
      <c r="I79" s="20"/>
    </row>
    <row r="80" spans="2:9">
      <c r="B80" s="6"/>
      <c r="H80" s="20"/>
      <c r="I80" s="20"/>
    </row>
    <row r="81" spans="2:9">
      <c r="B81" s="6"/>
      <c r="H81" s="20"/>
      <c r="I81" s="20"/>
    </row>
    <row r="82" spans="2:9">
      <c r="B82" s="6"/>
      <c r="H82" s="20"/>
      <c r="I82" s="20"/>
    </row>
    <row r="83" spans="2:9">
      <c r="B83" s="6"/>
      <c r="H83" s="20"/>
      <c r="I83" s="20"/>
    </row>
    <row r="84" spans="2:9">
      <c r="B84" s="6"/>
      <c r="H84" s="20"/>
      <c r="I84" s="20"/>
    </row>
    <row r="85" spans="2:9">
      <c r="B85" s="6"/>
      <c r="H85" s="20"/>
      <c r="I85" s="20"/>
    </row>
    <row r="86" spans="2:9">
      <c r="B86" s="6"/>
      <c r="H86" s="20"/>
      <c r="I86" s="20"/>
    </row>
    <row r="87" spans="2:9">
      <c r="B87" s="6"/>
      <c r="H87" s="20"/>
      <c r="I87" s="20"/>
    </row>
    <row r="88" spans="2:9">
      <c r="B88" s="6"/>
      <c r="H88" s="20"/>
      <c r="I88" s="20"/>
    </row>
    <row r="89" spans="2:9">
      <c r="B89" s="6"/>
      <c r="H89" s="20"/>
      <c r="I89" s="20"/>
    </row>
    <row r="90" spans="2:9">
      <c r="B90" s="6"/>
      <c r="H90" s="20"/>
      <c r="I90" s="20"/>
    </row>
    <row r="91" spans="2:9">
      <c r="B91" s="6"/>
      <c r="H91" s="20"/>
      <c r="I91" s="20"/>
    </row>
    <row r="92" spans="2:9">
      <c r="B92" s="6"/>
      <c r="H92" s="20"/>
      <c r="I92" s="20"/>
    </row>
  </sheetData>
  <mergeCells count="5">
    <mergeCell ref="D2:H2"/>
    <mergeCell ref="F3:G3"/>
    <mergeCell ref="F4:G4"/>
    <mergeCell ref="F5:G5"/>
    <mergeCell ref="F6:G6"/>
  </mergeCells>
  <conditionalFormatting sqref="L12:M12">
    <cfRule type="containsText" dxfId="616" priority="9" operator="containsText" text="Pendiente">
      <formula>NOT(ISERROR(SEARCH("Pendiente",L12)))</formula>
    </cfRule>
    <cfRule type="containsText" dxfId="615" priority="10" operator="containsText" text="Pagado">
      <formula>NOT(ISERROR(SEARCH("Pagado",L12)))</formula>
    </cfRule>
    <cfRule type="containsText" dxfId="614" priority="11" operator="containsText" text="Para abonar">
      <formula>NOT(ISERROR(SEARCH("Para abonar",L12)))</formula>
    </cfRule>
  </conditionalFormatting>
  <conditionalFormatting sqref="L10:N11 L13:N13 L15:N15 L17:N20 L22:N27 L29:N33 L35:N49">
    <cfRule type="cellIs" dxfId="613" priority="25" operator="equal">
      <formula>"Cuenta Corriente"</formula>
    </cfRule>
    <cfRule type="cellIs" dxfId="612" priority="26" operator="equal">
      <formula>"No Pagado"</formula>
    </cfRule>
  </conditionalFormatting>
  <conditionalFormatting sqref="L16:O16">
    <cfRule type="cellIs" dxfId="611" priority="12" operator="equal">
      <formula>"Cuenta Corriente"</formula>
    </cfRule>
    <cfRule type="cellIs" dxfId="610" priority="13" operator="equal">
      <formula>"No Pagado"</formula>
    </cfRule>
  </conditionalFormatting>
  <conditionalFormatting sqref="L21:O21">
    <cfRule type="cellIs" dxfId="609" priority="5" operator="equal">
      <formula>"Cuenta Corriente"</formula>
    </cfRule>
    <cfRule type="cellIs" dxfId="608" priority="6" operator="equal">
      <formula>"No Pagado"</formula>
    </cfRule>
  </conditionalFormatting>
  <conditionalFormatting sqref="L28:O28">
    <cfRule type="cellIs" dxfId="607" priority="1" operator="equal">
      <formula>"Cuenta Corriente"</formula>
    </cfRule>
    <cfRule type="cellIs" dxfId="606" priority="2" operator="equal">
      <formula>"No Pagado"</formula>
    </cfRule>
  </conditionalFormatting>
  <conditionalFormatting sqref="L34:O34">
    <cfRule type="cellIs" dxfId="605" priority="3" operator="equal">
      <formula>"Cuenta Corriente"</formula>
    </cfRule>
    <cfRule type="cellIs" dxfId="604" priority="4" operator="equal">
      <formula>"No Pagado"</formula>
    </cfRule>
  </conditionalFormatting>
  <conditionalFormatting sqref="N12">
    <cfRule type="cellIs" dxfId="603" priority="7" operator="equal">
      <formula>"Cuenta Corriente"</formula>
    </cfRule>
    <cfRule type="cellIs" dxfId="602" priority="8" operator="equal">
      <formula>"No Pagado"</formula>
    </cfRule>
  </conditionalFormatting>
  <conditionalFormatting sqref="N14">
    <cfRule type="cellIs" dxfId="601" priority="14" operator="equal">
      <formula>"Cuenta Corriente"</formula>
    </cfRule>
    <cfRule type="cellIs" dxfId="600" priority="15" operator="equal">
      <formula>"No Pagado"</formula>
    </cfRule>
  </conditionalFormatting>
  <conditionalFormatting sqref="O10:O15 L14:M14">
    <cfRule type="containsText" dxfId="599" priority="16" operator="containsText" text="Pendiente">
      <formula>NOT(ISERROR(SEARCH("Pendiente",L10)))</formula>
    </cfRule>
    <cfRule type="containsText" dxfId="598" priority="17" operator="containsText" text="Pagado">
      <formula>NOT(ISERROR(SEARCH("Pagado",L10)))</formula>
    </cfRule>
    <cfRule type="containsText" dxfId="597" priority="18" operator="containsText" text="Para abonar">
      <formula>NOT(ISERROR(SEARCH("Para abonar",L10)))</formula>
    </cfRule>
  </conditionalFormatting>
  <conditionalFormatting sqref="O17:O20 O22:O27 O29:O33 O35:O40">
    <cfRule type="containsText" dxfId="596" priority="22" operator="containsText" text="Pendiente">
      <formula>NOT(ISERROR(SEARCH("Pendiente",O17)))</formula>
    </cfRule>
    <cfRule type="containsText" dxfId="595" priority="23" operator="containsText" text="Pagado">
      <formula>NOT(ISERROR(SEARCH("Pagado",O17)))</formula>
    </cfRule>
    <cfRule type="containsText" dxfId="594" priority="24" operator="containsText" text="Para abonar">
      <formula>NOT(ISERROR(SEARCH("Para abonar",O17)))</formula>
    </cfRule>
  </conditionalFormatting>
  <conditionalFormatting sqref="O41:O49 M50">
    <cfRule type="cellIs" dxfId="593" priority="32" operator="equal">
      <formula>"Cuenta Corriente"</formula>
    </cfRule>
    <cfRule type="cellIs" dxfId="592" priority="33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01F1B9A-912B-4767-A2DF-C76A4FF433F4}">
          <x14:formula1>
            <xm:f>Consultas!$B$13:$B$15</xm:f>
          </x14:formula1>
          <xm:sqref>L14:M14 N10:N11 N13 L12:M12 N15:N49</xm:sqref>
        </x14:dataValidation>
        <x14:dataValidation type="list" allowBlank="1" showInputMessage="1" showErrorMessage="1" xr:uid="{8A192009-F123-4E92-ADAA-96CF41DE75AF}">
          <x14:formula1>
            <xm:f>Consultas!$B$9:$B$11</xm:f>
          </x14:formula1>
          <xm:sqref>M50 L13:M13 N14 K14 L10:M11 O10:O11 O13 N12 K12 O15:O49 L15:M49</xm:sqref>
        </x14:dataValidation>
        <x14:dataValidation type="list" allowBlank="1" showInputMessage="1" showErrorMessage="1" xr:uid="{55894560-772F-469B-8F19-6B66D29DC3CF}">
          <x14:formula1>
            <xm:f>Proveedores!$B$3:$B$111</xm:f>
          </x14:formula1>
          <xm:sqref>F14 G10:G11 G13 F12 G15:G118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9A4D-1FFE-4C01-804B-176FD64FB6BE}">
  <sheetPr>
    <tabColor rgb="FF92D050"/>
  </sheetPr>
  <dimension ref="A1:T100"/>
  <sheetViews>
    <sheetView topLeftCell="A33" zoomScale="85" zoomScaleNormal="85" workbookViewId="0">
      <selection activeCell="A49" sqref="A49:XFD49"/>
    </sheetView>
  </sheetViews>
  <sheetFormatPr defaultColWidth="11.42578125" defaultRowHeight="14.45"/>
  <cols>
    <col min="2" max="2" width="11.42578125" bestFit="1" customWidth="1"/>
    <col min="3" max="3" width="16" bestFit="1" customWidth="1"/>
    <col min="4" max="4" width="14.42578125" bestFit="1" customWidth="1"/>
    <col min="5" max="5" width="16.42578125" customWidth="1"/>
    <col min="6" max="6" width="51.7109375" customWidth="1"/>
    <col min="7" max="7" width="18.42578125" style="6" customWidth="1"/>
    <col min="8" max="8" width="18" customWidth="1"/>
    <col min="9" max="10" width="16.42578125" customWidth="1"/>
    <col min="11" max="11" width="17.85546875" customWidth="1"/>
    <col min="12" max="12" width="15.85546875" bestFit="1" customWidth="1"/>
    <col min="13" max="13" width="15.85546875" customWidth="1"/>
    <col min="14" max="14" width="16.7109375" customWidth="1"/>
    <col min="15" max="15" width="16.28515625" bestFit="1" customWidth="1"/>
  </cols>
  <sheetData>
    <row r="1" spans="1:18" ht="15" thickBot="1">
      <c r="B1" s="6"/>
    </row>
    <row r="2" spans="1:18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18" ht="15.6">
      <c r="A3" s="116"/>
      <c r="B3" s="6"/>
      <c r="C3" s="116"/>
      <c r="D3" s="125" t="s">
        <v>177</v>
      </c>
      <c r="E3" s="167" t="s">
        <v>1160</v>
      </c>
      <c r="F3" s="526" t="s">
        <v>1161</v>
      </c>
      <c r="G3" s="446"/>
      <c r="H3" s="126"/>
      <c r="I3" s="127"/>
      <c r="J3" s="127"/>
      <c r="K3" s="116"/>
      <c r="L3" s="116"/>
      <c r="M3" s="116"/>
      <c r="N3" s="116"/>
      <c r="O3" s="116"/>
      <c r="P3" s="116"/>
      <c r="Q3" s="116"/>
      <c r="R3" s="116"/>
    </row>
    <row r="4" spans="1:18">
      <c r="A4" s="116"/>
      <c r="B4" s="6"/>
      <c r="C4" s="116"/>
      <c r="D4" s="123" t="s">
        <v>179</v>
      </c>
      <c r="E4" s="502"/>
      <c r="F4" s="517" t="s">
        <v>180</v>
      </c>
      <c r="G4" s="518"/>
      <c r="H4" s="124"/>
      <c r="I4" s="519"/>
      <c r="J4" s="519"/>
      <c r="K4" s="116"/>
      <c r="L4" s="116"/>
      <c r="M4" s="116"/>
      <c r="N4" s="116"/>
      <c r="O4" s="116"/>
      <c r="P4" s="116"/>
      <c r="Q4" s="116"/>
      <c r="R4" s="116"/>
    </row>
    <row r="5" spans="1:18">
      <c r="B5" s="6"/>
      <c r="D5" s="9"/>
      <c r="E5" s="1"/>
      <c r="F5" s="453"/>
      <c r="G5" s="454"/>
      <c r="H5" s="10"/>
      <c r="I5" s="15"/>
      <c r="J5" s="15"/>
    </row>
    <row r="6" spans="1:18" ht="15" thickBot="1">
      <c r="B6" s="6"/>
      <c r="D6" s="11"/>
      <c r="E6" s="12"/>
      <c r="F6" s="455"/>
      <c r="G6" s="456"/>
      <c r="H6" s="13"/>
      <c r="I6" s="15"/>
      <c r="J6" s="15"/>
    </row>
    <row r="7" spans="1:18">
      <c r="B7" s="6"/>
    </row>
    <row r="8" spans="1:18" ht="15" thickBot="1">
      <c r="B8" s="6"/>
    </row>
    <row r="9" spans="1:18" ht="43.9" thickBot="1">
      <c r="B9" s="52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  <c r="R9" s="52" t="s">
        <v>265</v>
      </c>
    </row>
    <row r="10" spans="1:18">
      <c r="B10" s="152" t="str">
        <f t="shared" ref="B10:B57" si="0">+$E$3</f>
        <v>NE</v>
      </c>
      <c r="C10" s="25">
        <v>45993</v>
      </c>
      <c r="D10" s="23" t="s">
        <v>364</v>
      </c>
      <c r="E10" s="46" t="s">
        <v>1121</v>
      </c>
      <c r="F10" s="520" t="s">
        <v>1162</v>
      </c>
      <c r="G10" s="41" t="s">
        <v>76</v>
      </c>
      <c r="H10" s="14" t="s">
        <v>817</v>
      </c>
      <c r="I10" s="45">
        <v>50000</v>
      </c>
      <c r="J10" s="45"/>
      <c r="K10" s="521" t="s">
        <v>396</v>
      </c>
      <c r="L10" s="161" t="s">
        <v>209</v>
      </c>
      <c r="M10" s="2"/>
      <c r="N10" s="2" t="s">
        <v>305</v>
      </c>
      <c r="O10" s="23"/>
      <c r="P10" s="49"/>
      <c r="Q10" s="49"/>
    </row>
    <row r="11" spans="1:18" ht="28.9">
      <c r="A11" s="168" t="s">
        <v>218</v>
      </c>
      <c r="B11" s="156"/>
      <c r="C11" s="129"/>
      <c r="D11" s="134"/>
      <c r="E11" s="143"/>
      <c r="F11" s="465"/>
      <c r="G11" s="136"/>
      <c r="H11" s="474"/>
      <c r="I11" s="144"/>
      <c r="J11" s="349"/>
      <c r="K11" s="145"/>
      <c r="L11" s="140"/>
      <c r="M11" s="140"/>
      <c r="N11" s="140"/>
      <c r="O11" s="140"/>
      <c r="P11" s="141"/>
      <c r="Q11" s="142"/>
      <c r="R11" s="138"/>
    </row>
    <row r="12" spans="1:18">
      <c r="B12" s="152" t="str">
        <f t="shared" si="0"/>
        <v>NE</v>
      </c>
      <c r="C12" s="463">
        <v>46017</v>
      </c>
      <c r="D12" s="23" t="s">
        <v>364</v>
      </c>
      <c r="E12" s="46" t="s">
        <v>1121</v>
      </c>
      <c r="F12" s="520" t="s">
        <v>1163</v>
      </c>
      <c r="G12" s="41" t="s">
        <v>76</v>
      </c>
      <c r="H12" s="14" t="s">
        <v>817</v>
      </c>
      <c r="I12" s="45">
        <v>80000</v>
      </c>
      <c r="J12" s="45"/>
      <c r="K12" s="521" t="s">
        <v>396</v>
      </c>
      <c r="L12" s="161" t="s">
        <v>209</v>
      </c>
      <c r="M12" s="2"/>
      <c r="N12" s="2" t="s">
        <v>305</v>
      </c>
      <c r="O12" s="23"/>
      <c r="P12" s="49"/>
      <c r="Q12" s="49"/>
    </row>
    <row r="13" spans="1:18" s="138" customFormat="1" ht="28.9">
      <c r="A13" s="168" t="s">
        <v>218</v>
      </c>
      <c r="B13" s="170"/>
      <c r="C13" s="171">
        <v>46022</v>
      </c>
      <c r="D13" s="130"/>
      <c r="E13" s="130"/>
      <c r="F13" s="465"/>
      <c r="G13" s="134"/>
      <c r="H13" s="465"/>
      <c r="I13" s="132"/>
      <c r="J13" s="132"/>
      <c r="K13" s="133"/>
      <c r="L13" s="134"/>
      <c r="M13" s="285"/>
      <c r="N13" s="135"/>
      <c r="O13" s="136"/>
      <c r="P13" s="137"/>
      <c r="Q13" s="137"/>
    </row>
    <row r="14" spans="1:18" s="138" customFormat="1" ht="28.9">
      <c r="A14" s="168" t="s">
        <v>218</v>
      </c>
      <c r="B14" s="170"/>
      <c r="C14" s="171">
        <v>46037</v>
      </c>
      <c r="D14" s="130"/>
      <c r="E14" s="130"/>
      <c r="F14" s="465"/>
      <c r="G14" s="134"/>
      <c r="H14" s="465"/>
      <c r="I14" s="132"/>
      <c r="J14" s="132"/>
      <c r="K14" s="133"/>
      <c r="L14" s="134"/>
      <c r="M14" s="285"/>
      <c r="N14" s="135"/>
      <c r="O14" s="136"/>
      <c r="P14" s="137"/>
      <c r="Q14" s="137"/>
    </row>
    <row r="15" spans="1:18">
      <c r="B15" s="152" t="str">
        <f t="shared" si="0"/>
        <v>NE</v>
      </c>
      <c r="C15" s="25">
        <v>46043</v>
      </c>
      <c r="D15" s="38" t="s">
        <v>1164</v>
      </c>
      <c r="E15" s="29" t="s">
        <v>808</v>
      </c>
      <c r="F15" s="462" t="s">
        <v>1165</v>
      </c>
      <c r="G15" s="23" t="s">
        <v>119</v>
      </c>
      <c r="H15" s="464" t="s">
        <v>1166</v>
      </c>
      <c r="I15" s="44">
        <v>101642.26</v>
      </c>
      <c r="J15" s="44"/>
      <c r="K15" s="19" t="s">
        <v>629</v>
      </c>
      <c r="L15" s="161" t="s">
        <v>209</v>
      </c>
      <c r="M15" s="55"/>
      <c r="N15" s="55"/>
      <c r="O15" s="23"/>
      <c r="P15" s="3"/>
      <c r="Q15" s="3"/>
      <c r="R15" t="s">
        <v>1167</v>
      </c>
    </row>
    <row r="16" spans="1:18" s="138" customFormat="1" ht="28.9">
      <c r="A16" s="168" t="s">
        <v>218</v>
      </c>
      <c r="B16" s="170"/>
      <c r="C16" s="171">
        <v>46051</v>
      </c>
      <c r="D16" s="130"/>
      <c r="E16" s="130"/>
      <c r="F16" s="465"/>
      <c r="G16" s="134"/>
      <c r="H16" s="465"/>
      <c r="I16" s="132"/>
      <c r="J16" s="132"/>
      <c r="K16" s="133"/>
      <c r="L16" s="134"/>
      <c r="M16" s="285"/>
      <c r="N16" s="135"/>
      <c r="O16" s="136"/>
      <c r="P16" s="137"/>
      <c r="Q16" s="137"/>
    </row>
    <row r="17" spans="1:20" s="138" customFormat="1" ht="28.9">
      <c r="A17" s="168" t="s">
        <v>218</v>
      </c>
      <c r="B17" s="170"/>
      <c r="C17" s="171">
        <v>46065</v>
      </c>
      <c r="D17" s="171"/>
      <c r="E17" s="130"/>
      <c r="F17" s="465"/>
      <c r="G17" s="134"/>
      <c r="H17" s="465"/>
      <c r="I17" s="132"/>
      <c r="J17" s="132"/>
      <c r="K17" s="133"/>
      <c r="L17" s="134"/>
      <c r="M17" s="285"/>
      <c r="N17" s="135"/>
      <c r="O17" s="136"/>
      <c r="P17" s="137"/>
      <c r="Q17" s="137"/>
    </row>
    <row r="18" spans="1:20">
      <c r="B18" s="152" t="str">
        <f t="shared" si="0"/>
        <v>NE</v>
      </c>
      <c r="C18" s="27"/>
      <c r="D18" s="23"/>
      <c r="E18" s="29"/>
      <c r="F18" s="416"/>
      <c r="G18" s="41"/>
      <c r="H18" s="461"/>
      <c r="I18" s="48"/>
      <c r="J18" s="48"/>
      <c r="K18" s="4"/>
      <c r="L18" s="2"/>
      <c r="M18" s="56"/>
      <c r="N18" s="56"/>
      <c r="O18" s="23"/>
      <c r="P18" s="50"/>
      <c r="Q18" s="50"/>
    </row>
    <row r="19" spans="1:20" s="138" customFormat="1" ht="28.9">
      <c r="A19" s="168" t="s">
        <v>218</v>
      </c>
      <c r="B19" s="170"/>
      <c r="C19" s="171">
        <v>46079</v>
      </c>
      <c r="D19" s="171"/>
      <c r="E19" s="130"/>
      <c r="F19" s="465"/>
      <c r="G19" s="134"/>
      <c r="H19" s="465"/>
      <c r="I19" s="132"/>
      <c r="J19" s="132"/>
      <c r="K19" s="133"/>
      <c r="L19" s="134"/>
      <c r="M19" s="285"/>
      <c r="N19" s="135"/>
      <c r="O19" s="136"/>
      <c r="P19" s="137"/>
      <c r="Q19" s="137"/>
    </row>
    <row r="20" spans="1:20">
      <c r="B20" s="152" t="str">
        <f t="shared" si="0"/>
        <v>NE</v>
      </c>
      <c r="C20" s="27">
        <v>46079</v>
      </c>
      <c r="D20" s="23" t="s">
        <v>364</v>
      </c>
      <c r="E20" s="46" t="s">
        <v>1121</v>
      </c>
      <c r="F20" s="416" t="s">
        <v>1168</v>
      </c>
      <c r="G20" s="42" t="s">
        <v>107</v>
      </c>
      <c r="H20" s="461" t="s">
        <v>1169</v>
      </c>
      <c r="I20" s="48">
        <v>116099.45</v>
      </c>
      <c r="J20" s="48"/>
      <c r="K20" s="19" t="s">
        <v>629</v>
      </c>
      <c r="L20" s="161" t="s">
        <v>209</v>
      </c>
      <c r="M20" s="56"/>
      <c r="N20" s="56" t="s">
        <v>305</v>
      </c>
      <c r="O20" s="23"/>
      <c r="P20" s="50"/>
      <c r="Q20" s="50"/>
    </row>
    <row r="21" spans="1:20" s="138" customFormat="1" ht="28.9">
      <c r="A21" s="168" t="s">
        <v>218</v>
      </c>
      <c r="B21" s="170"/>
      <c r="C21" s="171">
        <v>46093</v>
      </c>
      <c r="D21" s="171"/>
      <c r="E21" s="130"/>
      <c r="F21" s="465"/>
      <c r="G21" s="134"/>
      <c r="H21" s="465"/>
      <c r="I21" s="132"/>
      <c r="J21" s="132"/>
      <c r="K21" s="133"/>
      <c r="L21" s="134"/>
      <c r="M21" s="134"/>
      <c r="N21" s="135"/>
      <c r="O21" s="136"/>
      <c r="P21" s="137"/>
      <c r="Q21" s="137"/>
    </row>
    <row r="22" spans="1:20" s="138" customFormat="1" ht="28.9">
      <c r="A22" s="168" t="s">
        <v>218</v>
      </c>
      <c r="B22" s="170"/>
      <c r="C22" s="171">
        <v>46107</v>
      </c>
      <c r="D22" s="171"/>
      <c r="E22" s="130"/>
      <c r="F22" s="465"/>
      <c r="G22" s="134"/>
      <c r="H22" s="465"/>
      <c r="I22" s="132"/>
      <c r="J22" s="132"/>
      <c r="K22" s="133"/>
      <c r="L22" s="134"/>
      <c r="M22" s="134"/>
      <c r="N22" s="135"/>
      <c r="O22" s="136"/>
      <c r="P22" s="137"/>
      <c r="Q22" s="137"/>
    </row>
    <row r="23" spans="1:20" s="138" customFormat="1" ht="28.9">
      <c r="A23" s="168" t="s">
        <v>218</v>
      </c>
      <c r="B23" s="170"/>
      <c r="C23" s="171">
        <v>46121</v>
      </c>
      <c r="D23" s="171"/>
      <c r="E23" s="130"/>
      <c r="F23" s="465"/>
      <c r="G23" s="134"/>
      <c r="H23" s="465"/>
      <c r="I23" s="132"/>
      <c r="J23" s="132"/>
      <c r="K23" s="133"/>
      <c r="L23" s="134"/>
      <c r="M23" s="134"/>
      <c r="N23" s="135"/>
      <c r="O23" s="136"/>
      <c r="P23" s="137"/>
      <c r="Q23" s="137"/>
    </row>
    <row r="24" spans="1:20">
      <c r="A24" s="221"/>
      <c r="B24" s="222" t="str">
        <f>+$E$3</f>
        <v>NE</v>
      </c>
      <c r="C24" s="222"/>
      <c r="D24" s="312"/>
      <c r="E24" s="38"/>
      <c r="F24" s="419"/>
      <c r="G24" s="42"/>
      <c r="H24" s="419"/>
      <c r="I24" s="40"/>
      <c r="J24" s="40"/>
      <c r="K24" s="270"/>
      <c r="L24" s="42"/>
      <c r="M24" s="286"/>
      <c r="N24" s="56"/>
      <c r="O24" s="23"/>
      <c r="P24" s="106"/>
      <c r="Q24" s="106"/>
    </row>
    <row r="25" spans="1:20" s="138" customFormat="1" ht="28.9">
      <c r="A25" s="168" t="s">
        <v>218</v>
      </c>
      <c r="B25" s="170"/>
      <c r="C25" s="171">
        <v>46135</v>
      </c>
      <c r="D25" s="171"/>
      <c r="E25" s="130"/>
      <c r="F25" s="465"/>
      <c r="G25" s="134"/>
      <c r="H25" s="465"/>
      <c r="I25" s="132"/>
      <c r="J25" s="132"/>
      <c r="K25" s="133"/>
      <c r="L25" s="134"/>
      <c r="M25" s="134"/>
      <c r="N25" s="135"/>
      <c r="O25" s="136"/>
      <c r="P25" s="137"/>
      <c r="Q25" s="137"/>
    </row>
    <row r="26" spans="1:20">
      <c r="B26" s="152" t="str">
        <f t="shared" si="0"/>
        <v>NE</v>
      </c>
      <c r="C26" s="27">
        <v>46136</v>
      </c>
      <c r="D26" s="23" t="s">
        <v>364</v>
      </c>
      <c r="E26" s="29"/>
      <c r="F26" s="462" t="s">
        <v>1170</v>
      </c>
      <c r="G26" s="42" t="s">
        <v>107</v>
      </c>
      <c r="H26" s="461"/>
      <c r="I26" s="44">
        <v>73239.490000000005</v>
      </c>
      <c r="J26" s="48"/>
      <c r="K26" s="19" t="s">
        <v>629</v>
      </c>
      <c r="L26" s="2" t="s">
        <v>732</v>
      </c>
      <c r="M26" s="56" t="s">
        <v>732</v>
      </c>
      <c r="N26" s="56" t="s">
        <v>305</v>
      </c>
      <c r="O26" s="23" t="s">
        <v>202</v>
      </c>
      <c r="P26" s="50"/>
      <c r="Q26" s="50"/>
      <c r="R26" t="s">
        <v>1171</v>
      </c>
    </row>
    <row r="27" spans="1:20">
      <c r="B27" s="152" t="str">
        <f t="shared" si="0"/>
        <v>NE</v>
      </c>
      <c r="C27" s="27">
        <v>46142</v>
      </c>
      <c r="D27" s="23" t="s">
        <v>364</v>
      </c>
      <c r="E27" s="29"/>
      <c r="F27" s="462" t="s">
        <v>1172</v>
      </c>
      <c r="G27" s="42" t="s">
        <v>107</v>
      </c>
      <c r="H27" s="461"/>
      <c r="I27" s="44">
        <v>17011.05</v>
      </c>
      <c r="J27" s="48"/>
      <c r="K27" s="19" t="s">
        <v>629</v>
      </c>
      <c r="L27" s="2" t="s">
        <v>732</v>
      </c>
      <c r="M27" s="56" t="s">
        <v>732</v>
      </c>
      <c r="N27" s="56" t="s">
        <v>305</v>
      </c>
      <c r="O27" s="23" t="s">
        <v>202</v>
      </c>
      <c r="P27" s="50"/>
      <c r="Q27" s="50"/>
      <c r="R27" t="s">
        <v>1173</v>
      </c>
    </row>
    <row r="28" spans="1:20">
      <c r="B28" s="27" t="str">
        <f>+$E$3</f>
        <v>NE</v>
      </c>
      <c r="C28" s="27">
        <v>46140</v>
      </c>
      <c r="D28" s="38" t="s">
        <v>1174</v>
      </c>
      <c r="E28" s="29" t="s">
        <v>808</v>
      </c>
      <c r="F28" s="416" t="s">
        <v>1175</v>
      </c>
      <c r="G28" s="42" t="s">
        <v>72</v>
      </c>
      <c r="H28" s="419"/>
      <c r="I28" s="48">
        <v>89000.01</v>
      </c>
      <c r="J28" s="40"/>
      <c r="K28" s="19" t="s">
        <v>629</v>
      </c>
      <c r="L28" s="2" t="s">
        <v>732</v>
      </c>
      <c r="M28" s="56" t="s">
        <v>732</v>
      </c>
      <c r="N28" s="56" t="s">
        <v>305</v>
      </c>
      <c r="O28" s="23" t="s">
        <v>202</v>
      </c>
      <c r="P28" s="50"/>
      <c r="Q28" s="50"/>
      <c r="R28" t="s">
        <v>1176</v>
      </c>
    </row>
    <row r="29" spans="1:20" s="138" customFormat="1" ht="28.9">
      <c r="A29" s="168" t="s">
        <v>218</v>
      </c>
      <c r="B29" s="156" t="str">
        <f t="shared" si="0"/>
        <v>NE</v>
      </c>
      <c r="C29" s="171">
        <v>46149</v>
      </c>
      <c r="D29" s="130"/>
      <c r="E29" s="317"/>
      <c r="F29" s="465"/>
      <c r="G29" s="134"/>
      <c r="H29" s="465"/>
      <c r="I29" s="132"/>
      <c r="J29" s="132"/>
      <c r="K29" s="368"/>
      <c r="L29" s="369"/>
      <c r="M29" s="135"/>
      <c r="N29" s="135"/>
      <c r="O29" s="140"/>
      <c r="P29" s="370"/>
      <c r="Q29" s="370"/>
      <c r="T29" s="371"/>
    </row>
    <row r="30" spans="1:20">
      <c r="B30" s="152" t="str">
        <f t="shared" si="0"/>
        <v>NE</v>
      </c>
      <c r="C30" s="27">
        <v>46154</v>
      </c>
      <c r="D30" s="38" t="s">
        <v>1174</v>
      </c>
      <c r="E30" s="29" t="s">
        <v>808</v>
      </c>
      <c r="F30" s="416" t="s">
        <v>1177</v>
      </c>
      <c r="G30" s="42" t="s">
        <v>72</v>
      </c>
      <c r="H30" s="419"/>
      <c r="I30" s="48">
        <v>116243.41</v>
      </c>
      <c r="J30" s="40"/>
      <c r="K30" s="19" t="s">
        <v>629</v>
      </c>
      <c r="L30" s="2" t="s">
        <v>732</v>
      </c>
      <c r="M30" s="56" t="s">
        <v>732</v>
      </c>
      <c r="N30" s="56" t="s">
        <v>305</v>
      </c>
      <c r="O30" s="23" t="s">
        <v>202</v>
      </c>
      <c r="P30" s="50"/>
      <c r="Q30" s="50"/>
      <c r="R30" t="s">
        <v>1178</v>
      </c>
    </row>
    <row r="31" spans="1:20">
      <c r="B31" s="152" t="str">
        <f t="shared" si="0"/>
        <v>NE</v>
      </c>
      <c r="C31" s="27"/>
      <c r="D31" s="38"/>
      <c r="E31" s="38"/>
      <c r="F31" s="416"/>
      <c r="G31" s="42"/>
      <c r="H31" s="419"/>
      <c r="I31" s="40"/>
      <c r="J31" s="40"/>
      <c r="K31" s="4"/>
      <c r="L31" s="2"/>
      <c r="M31" s="56"/>
      <c r="N31" s="56"/>
      <c r="O31" s="2"/>
      <c r="P31" s="50"/>
      <c r="Q31" s="50"/>
    </row>
    <row r="32" spans="1:20" s="138" customFormat="1" ht="28.9">
      <c r="A32" s="168" t="s">
        <v>218</v>
      </c>
      <c r="B32" s="156" t="str">
        <f t="shared" si="0"/>
        <v>NE</v>
      </c>
      <c r="C32" s="171">
        <v>46163</v>
      </c>
      <c r="D32" s="130"/>
      <c r="E32" s="317"/>
      <c r="F32" s="465"/>
      <c r="G32" s="134"/>
      <c r="H32" s="465"/>
      <c r="I32" s="132"/>
      <c r="J32" s="132"/>
      <c r="K32" s="368"/>
      <c r="L32" s="369"/>
      <c r="M32" s="135"/>
      <c r="N32" s="135"/>
      <c r="O32" s="140"/>
      <c r="P32" s="370"/>
      <c r="Q32" s="370"/>
      <c r="T32" s="371"/>
    </row>
    <row r="33" spans="1:17" s="138" customFormat="1" ht="28.9">
      <c r="A33" s="168" t="s">
        <v>218</v>
      </c>
      <c r="B33" s="129" t="str">
        <f t="shared" ref="B33:B38" si="1">+$E$3</f>
        <v>NE</v>
      </c>
      <c r="C33" s="171">
        <v>46177</v>
      </c>
      <c r="D33" s="130"/>
      <c r="E33" s="130"/>
      <c r="F33" s="465"/>
      <c r="G33" s="134"/>
      <c r="H33" s="465"/>
      <c r="I33" s="132"/>
      <c r="J33" s="132"/>
      <c r="K33" s="376"/>
      <c r="L33" s="140"/>
      <c r="M33" s="135"/>
      <c r="N33" s="135"/>
      <c r="O33" s="140"/>
      <c r="P33" s="370"/>
      <c r="Q33" s="370"/>
    </row>
    <row r="34" spans="1:17">
      <c r="B34" s="152" t="str">
        <f t="shared" si="0"/>
        <v>NE</v>
      </c>
      <c r="C34" s="27">
        <v>46113</v>
      </c>
      <c r="D34" s="38" t="s">
        <v>1179</v>
      </c>
      <c r="E34" s="29" t="s">
        <v>808</v>
      </c>
      <c r="F34" s="416" t="s">
        <v>1180</v>
      </c>
      <c r="G34" s="42" t="s">
        <v>83</v>
      </c>
      <c r="H34" s="419"/>
      <c r="I34" s="40">
        <v>153703.26</v>
      </c>
      <c r="J34" s="40"/>
      <c r="K34" s="19" t="s">
        <v>629</v>
      </c>
      <c r="L34" s="2" t="s">
        <v>732</v>
      </c>
      <c r="M34" s="56" t="s">
        <v>732</v>
      </c>
      <c r="N34" s="56" t="s">
        <v>305</v>
      </c>
      <c r="O34" s="23" t="s">
        <v>202</v>
      </c>
      <c r="P34" s="23"/>
      <c r="Q34" s="50"/>
    </row>
    <row r="35" spans="1:17">
      <c r="B35" s="152" t="str">
        <f t="shared" si="0"/>
        <v>NE</v>
      </c>
      <c r="C35" s="27">
        <v>46125</v>
      </c>
      <c r="D35" s="38" t="s">
        <v>1181</v>
      </c>
      <c r="E35" s="29" t="s">
        <v>808</v>
      </c>
      <c r="F35" s="416"/>
      <c r="G35" s="42" t="s">
        <v>83</v>
      </c>
      <c r="H35" s="419"/>
      <c r="I35" s="40">
        <v>11721.4</v>
      </c>
      <c r="J35" s="40"/>
      <c r="K35" s="19" t="s">
        <v>629</v>
      </c>
      <c r="L35" s="2" t="s">
        <v>732</v>
      </c>
      <c r="M35" s="56" t="s">
        <v>732</v>
      </c>
      <c r="N35" s="56" t="s">
        <v>305</v>
      </c>
      <c r="O35" s="23" t="s">
        <v>202</v>
      </c>
      <c r="P35" s="50"/>
      <c r="Q35" s="50"/>
    </row>
    <row r="36" spans="1:17">
      <c r="B36" s="152" t="str">
        <f t="shared" si="1"/>
        <v>NE</v>
      </c>
      <c r="C36" s="27">
        <v>46168</v>
      </c>
      <c r="D36" s="23" t="s">
        <v>364</v>
      </c>
      <c r="E36" s="38"/>
      <c r="F36" s="416" t="s">
        <v>1182</v>
      </c>
      <c r="G36" s="42" t="s">
        <v>47</v>
      </c>
      <c r="H36" s="419"/>
      <c r="I36" s="40">
        <v>145000</v>
      </c>
      <c r="J36" s="40"/>
      <c r="K36" s="19" t="s">
        <v>629</v>
      </c>
      <c r="L36" s="2" t="s">
        <v>732</v>
      </c>
      <c r="M36" s="56" t="s">
        <v>732</v>
      </c>
      <c r="N36" s="56" t="s">
        <v>305</v>
      </c>
      <c r="O36" s="23" t="s">
        <v>202</v>
      </c>
      <c r="P36" s="50"/>
      <c r="Q36" s="50"/>
    </row>
    <row r="37" spans="1:17">
      <c r="B37" s="27" t="str">
        <f>+$E$3</f>
        <v>NE</v>
      </c>
      <c r="C37" s="27"/>
      <c r="D37" s="38"/>
      <c r="E37" s="38"/>
      <c r="F37" s="416"/>
      <c r="G37" s="42"/>
      <c r="H37" s="419"/>
      <c r="I37" s="40"/>
      <c r="J37" s="40"/>
      <c r="K37" s="4"/>
      <c r="L37" s="86"/>
      <c r="M37" s="56"/>
      <c r="N37" s="56"/>
      <c r="O37" s="23"/>
      <c r="P37" s="50"/>
      <c r="Q37" s="50"/>
    </row>
    <row r="38" spans="1:17" s="138" customFormat="1" ht="28.9">
      <c r="A38" s="168" t="s">
        <v>218</v>
      </c>
      <c r="B38" s="129" t="str">
        <f t="shared" si="1"/>
        <v>NE</v>
      </c>
      <c r="C38" s="171">
        <v>46191</v>
      </c>
      <c r="D38" s="130"/>
      <c r="E38" s="130"/>
      <c r="F38" s="465"/>
      <c r="G38" s="134"/>
      <c r="H38" s="465"/>
      <c r="I38" s="132"/>
      <c r="J38" s="132"/>
      <c r="K38" s="376"/>
      <c r="L38" s="140"/>
      <c r="M38" s="135"/>
      <c r="N38" s="135"/>
      <c r="O38" s="140"/>
      <c r="P38" s="370"/>
      <c r="Q38" s="370"/>
    </row>
    <row r="39" spans="1:17">
      <c r="B39" s="152" t="str">
        <f t="shared" si="0"/>
        <v>NE</v>
      </c>
      <c r="C39" s="27">
        <v>46227</v>
      </c>
      <c r="D39" s="38" t="s">
        <v>1183</v>
      </c>
      <c r="E39" s="29" t="s">
        <v>808</v>
      </c>
      <c r="F39" s="416" t="s">
        <v>1184</v>
      </c>
      <c r="G39" s="42" t="s">
        <v>83</v>
      </c>
      <c r="H39" s="419"/>
      <c r="I39" s="40">
        <v>293515.55</v>
      </c>
      <c r="J39" s="40"/>
      <c r="K39" s="19" t="s">
        <v>629</v>
      </c>
      <c r="L39" s="2" t="s">
        <v>732</v>
      </c>
      <c r="M39" s="56" t="s">
        <v>732</v>
      </c>
      <c r="N39" s="56" t="s">
        <v>305</v>
      </c>
      <c r="O39" s="23" t="s">
        <v>202</v>
      </c>
      <c r="P39" s="50"/>
      <c r="Q39" s="50"/>
    </row>
    <row r="40" spans="1:17">
      <c r="B40" s="27" t="str">
        <f t="shared" ref="B40:B47" si="2">+$E$3</f>
        <v>NE</v>
      </c>
      <c r="C40" s="27">
        <v>46227</v>
      </c>
      <c r="D40" s="38" t="s">
        <v>1185</v>
      </c>
      <c r="E40" s="29" t="s">
        <v>808</v>
      </c>
      <c r="F40" s="416" t="s">
        <v>1186</v>
      </c>
      <c r="G40" s="42" t="s">
        <v>83</v>
      </c>
      <c r="H40" s="419"/>
      <c r="I40" s="40">
        <v>17275.27</v>
      </c>
      <c r="J40" s="40"/>
      <c r="K40" s="19" t="s">
        <v>629</v>
      </c>
      <c r="L40" s="2" t="s">
        <v>732</v>
      </c>
      <c r="M40" s="56" t="s">
        <v>732</v>
      </c>
      <c r="N40" s="56" t="s">
        <v>305</v>
      </c>
      <c r="O40" s="23" t="s">
        <v>202</v>
      </c>
      <c r="P40" s="50"/>
      <c r="Q40" s="50"/>
    </row>
    <row r="41" spans="1:17">
      <c r="B41" s="152" t="str">
        <f t="shared" si="2"/>
        <v>NE</v>
      </c>
      <c r="C41" s="27">
        <v>46231</v>
      </c>
      <c r="D41" s="38" t="s">
        <v>1187</v>
      </c>
      <c r="E41" s="29" t="s">
        <v>808</v>
      </c>
      <c r="F41" s="416" t="s">
        <v>1188</v>
      </c>
      <c r="G41" s="42" t="s">
        <v>83</v>
      </c>
      <c r="H41" s="419"/>
      <c r="I41" s="40">
        <v>106279.61</v>
      </c>
      <c r="J41" s="40"/>
      <c r="K41" s="19" t="s">
        <v>629</v>
      </c>
      <c r="L41" s="2" t="s">
        <v>732</v>
      </c>
      <c r="M41" s="56" t="s">
        <v>732</v>
      </c>
      <c r="N41" s="56" t="s">
        <v>305</v>
      </c>
      <c r="O41" s="23" t="s">
        <v>202</v>
      </c>
      <c r="P41" s="50"/>
      <c r="Q41" s="50"/>
    </row>
    <row r="42" spans="1:17">
      <c r="B42" s="152" t="str">
        <f t="shared" si="2"/>
        <v>NE</v>
      </c>
      <c r="C42" s="27">
        <v>46216</v>
      </c>
      <c r="D42" s="23" t="s">
        <v>364</v>
      </c>
      <c r="E42" s="38"/>
      <c r="F42" s="416" t="s">
        <v>1182</v>
      </c>
      <c r="G42" s="42" t="s">
        <v>47</v>
      </c>
      <c r="H42" s="419"/>
      <c r="I42" s="40">
        <v>145000</v>
      </c>
      <c r="J42" s="40"/>
      <c r="K42" s="19" t="s">
        <v>629</v>
      </c>
      <c r="L42" s="2" t="s">
        <v>732</v>
      </c>
      <c r="M42" s="56" t="s">
        <v>732</v>
      </c>
      <c r="N42" s="56" t="s">
        <v>305</v>
      </c>
      <c r="O42" s="23" t="s">
        <v>202</v>
      </c>
      <c r="P42" s="50"/>
      <c r="Q42" s="50"/>
    </row>
    <row r="43" spans="1:17" s="138" customFormat="1" ht="28.9">
      <c r="A43" s="168" t="s">
        <v>218</v>
      </c>
      <c r="B43" s="129" t="str">
        <f t="shared" si="2"/>
        <v>NE</v>
      </c>
      <c r="C43" s="171">
        <v>46232</v>
      </c>
      <c r="D43" s="130"/>
      <c r="E43" s="130"/>
      <c r="F43" s="465"/>
      <c r="G43" s="134"/>
      <c r="H43" s="465"/>
      <c r="I43" s="132"/>
      <c r="J43" s="132"/>
      <c r="K43" s="376"/>
      <c r="L43" s="140"/>
      <c r="M43" s="135"/>
      <c r="N43" s="135"/>
      <c r="O43" s="140"/>
      <c r="P43" s="370"/>
      <c r="Q43" s="370"/>
    </row>
    <row r="44" spans="1:17">
      <c r="B44" s="152" t="str">
        <f t="shared" si="2"/>
        <v>NE</v>
      </c>
      <c r="C44" s="27"/>
      <c r="D44" s="38"/>
      <c r="E44" s="38"/>
      <c r="F44" s="416"/>
      <c r="G44" s="42"/>
      <c r="H44" s="419"/>
      <c r="I44" s="40"/>
      <c r="J44" s="40"/>
      <c r="K44" s="4"/>
      <c r="L44" s="14"/>
      <c r="M44" s="56"/>
      <c r="N44" s="56"/>
      <c r="O44" s="2"/>
      <c r="P44" s="50"/>
      <c r="Q44" s="50"/>
    </row>
    <row r="45" spans="1:17">
      <c r="B45" s="27" t="str">
        <f>+$E$3</f>
        <v>NE</v>
      </c>
      <c r="C45" s="27"/>
      <c r="D45" s="38"/>
      <c r="E45" s="38"/>
      <c r="F45" s="416"/>
      <c r="G45" s="42"/>
      <c r="H45" s="419"/>
      <c r="I45" s="40"/>
      <c r="J45" s="40"/>
      <c r="K45" s="4"/>
      <c r="L45" s="86"/>
      <c r="M45" s="56"/>
      <c r="N45" s="56"/>
      <c r="O45" s="2"/>
      <c r="P45" s="50"/>
      <c r="Q45" s="50"/>
    </row>
    <row r="46" spans="1:17" s="138" customFormat="1" ht="28.9">
      <c r="A46" s="168" t="s">
        <v>218</v>
      </c>
      <c r="B46" s="129" t="str">
        <f t="shared" si="2"/>
        <v>NE</v>
      </c>
      <c r="C46" s="171">
        <v>46247</v>
      </c>
      <c r="D46" s="130"/>
      <c r="E46" s="130"/>
      <c r="F46" s="465"/>
      <c r="G46" s="134"/>
      <c r="H46" s="465"/>
      <c r="I46" s="132"/>
      <c r="J46" s="132"/>
      <c r="K46" s="376"/>
      <c r="L46" s="140"/>
      <c r="M46" s="135"/>
      <c r="N46" s="135"/>
      <c r="O46" s="140"/>
      <c r="P46" s="370"/>
      <c r="Q46" s="370"/>
    </row>
    <row r="47" spans="1:17">
      <c r="B47" s="152" t="str">
        <f t="shared" si="2"/>
        <v>NE</v>
      </c>
      <c r="C47" s="27">
        <v>46258</v>
      </c>
      <c r="D47" s="38" t="s">
        <v>364</v>
      </c>
      <c r="E47" s="38" t="s">
        <v>808</v>
      </c>
      <c r="F47" s="416" t="s">
        <v>1189</v>
      </c>
      <c r="G47" s="42" t="s">
        <v>125</v>
      </c>
      <c r="H47" s="419"/>
      <c r="I47" s="40">
        <v>180000</v>
      </c>
      <c r="J47" s="40"/>
      <c r="K47" s="4" t="s">
        <v>396</v>
      </c>
      <c r="L47" s="87" t="s">
        <v>732</v>
      </c>
      <c r="M47" s="56" t="s">
        <v>732</v>
      </c>
      <c r="N47" s="56" t="s">
        <v>305</v>
      </c>
      <c r="O47" s="2" t="s">
        <v>202</v>
      </c>
      <c r="P47" s="50"/>
      <c r="Q47" s="50"/>
    </row>
    <row r="48" spans="1:17">
      <c r="B48" s="27" t="str">
        <f t="shared" ref="B48:B56" si="3">+$E$3</f>
        <v>NE</v>
      </c>
      <c r="C48" s="27"/>
      <c r="D48" s="38"/>
      <c r="E48" s="38"/>
      <c r="F48" s="416"/>
      <c r="G48" s="42"/>
      <c r="H48" s="419"/>
      <c r="I48" s="40"/>
      <c r="J48" s="40"/>
      <c r="K48" s="4"/>
      <c r="L48" s="86"/>
      <c r="M48" s="56"/>
      <c r="N48" s="56"/>
      <c r="O48" s="2"/>
      <c r="P48" s="50"/>
      <c r="Q48" s="50"/>
    </row>
    <row r="49" spans="1:20" s="138" customFormat="1" ht="28.9">
      <c r="A49" s="168" t="s">
        <v>218</v>
      </c>
      <c r="B49" s="156" t="str">
        <f t="shared" si="3"/>
        <v>NE</v>
      </c>
      <c r="C49" s="171">
        <v>46261</v>
      </c>
      <c r="D49" s="130"/>
      <c r="E49" s="317"/>
      <c r="F49" s="465"/>
      <c r="G49" s="131"/>
      <c r="H49" s="465"/>
      <c r="I49" s="132"/>
      <c r="J49" s="132"/>
      <c r="K49" s="368"/>
      <c r="L49" s="369"/>
      <c r="M49" s="135"/>
      <c r="N49" s="135"/>
      <c r="O49" s="140"/>
      <c r="P49" s="370"/>
      <c r="Q49" s="370"/>
      <c r="T49" s="371"/>
    </row>
    <row r="50" spans="1:20">
      <c r="B50" s="152" t="str">
        <f t="shared" si="3"/>
        <v>NE</v>
      </c>
      <c r="C50" s="27"/>
      <c r="D50" s="38"/>
      <c r="E50" s="38"/>
      <c r="F50" s="416"/>
      <c r="G50" s="42"/>
      <c r="H50" s="419"/>
      <c r="I50" s="40"/>
      <c r="J50" s="40"/>
      <c r="K50" s="4"/>
      <c r="L50" s="87"/>
      <c r="M50" s="56"/>
      <c r="N50" s="56"/>
      <c r="O50" s="2"/>
      <c r="P50" s="50"/>
      <c r="Q50" s="50"/>
    </row>
    <row r="51" spans="1:20">
      <c r="B51" s="152" t="str">
        <f t="shared" si="3"/>
        <v>NE</v>
      </c>
      <c r="C51" s="27"/>
      <c r="D51" s="38"/>
      <c r="E51" s="38"/>
      <c r="F51" s="416"/>
      <c r="G51" s="42"/>
      <c r="H51" s="419"/>
      <c r="I51" s="40"/>
      <c r="J51" s="40"/>
      <c r="K51" s="4"/>
      <c r="L51" s="87"/>
      <c r="M51" s="56"/>
      <c r="N51" s="56"/>
      <c r="O51" s="2"/>
      <c r="P51" s="50"/>
      <c r="Q51" s="50"/>
    </row>
    <row r="52" spans="1:20">
      <c r="B52" s="152" t="str">
        <f t="shared" si="3"/>
        <v>NE</v>
      </c>
      <c r="C52" s="27"/>
      <c r="D52" s="38"/>
      <c r="E52" s="38"/>
      <c r="F52" s="416"/>
      <c r="G52" s="42"/>
      <c r="H52" s="419"/>
      <c r="I52" s="40"/>
      <c r="J52" s="40"/>
      <c r="K52" s="4"/>
      <c r="L52" s="87"/>
      <c r="M52" s="56"/>
      <c r="N52" s="56"/>
      <c r="O52" s="2"/>
      <c r="P52" s="50"/>
      <c r="Q52" s="50"/>
    </row>
    <row r="53" spans="1:20">
      <c r="B53" s="152" t="str">
        <f t="shared" si="3"/>
        <v>NE</v>
      </c>
      <c r="C53" s="27"/>
      <c r="D53" s="38"/>
      <c r="E53" s="38"/>
      <c r="F53" s="416"/>
      <c r="G53" s="42"/>
      <c r="H53" s="419"/>
      <c r="I53" s="40"/>
      <c r="J53" s="40"/>
      <c r="K53" s="4"/>
      <c r="L53" s="87"/>
      <c r="M53" s="56"/>
      <c r="N53" s="56"/>
      <c r="O53" s="2"/>
      <c r="P53" s="50"/>
      <c r="Q53" s="50"/>
    </row>
    <row r="54" spans="1:20" s="311" customFormat="1" ht="18.600000000000001" customHeight="1">
      <c r="A54" s="389" t="s">
        <v>257</v>
      </c>
      <c r="B54" s="361" t="str">
        <f t="shared" si="3"/>
        <v>NE</v>
      </c>
      <c r="C54" s="302">
        <v>46275</v>
      </c>
      <c r="D54" s="303"/>
      <c r="E54" s="362"/>
      <c r="F54" s="467"/>
      <c r="G54" s="304"/>
      <c r="H54" s="467"/>
      <c r="I54" s="305"/>
      <c r="J54" s="305"/>
      <c r="K54" s="363"/>
      <c r="L54" s="364"/>
      <c r="M54" s="308"/>
      <c r="N54" s="308"/>
      <c r="O54" s="365"/>
      <c r="P54" s="366"/>
      <c r="Q54" s="366"/>
      <c r="T54" s="360"/>
    </row>
    <row r="55" spans="1:20">
      <c r="B55" s="152" t="str">
        <f t="shared" si="3"/>
        <v>NE</v>
      </c>
      <c r="C55" s="27"/>
      <c r="D55" s="38"/>
      <c r="E55" s="38"/>
      <c r="F55" s="416"/>
      <c r="G55" s="42"/>
      <c r="H55" s="419"/>
      <c r="I55" s="40"/>
      <c r="J55" s="40"/>
      <c r="K55" s="4"/>
      <c r="L55" s="87"/>
      <c r="M55" s="56"/>
      <c r="N55" s="56"/>
      <c r="O55" s="2"/>
      <c r="P55" s="50"/>
      <c r="Q55" s="50"/>
    </row>
    <row r="56" spans="1:20">
      <c r="B56" s="152" t="str">
        <f t="shared" si="3"/>
        <v>NE</v>
      </c>
      <c r="C56" s="27"/>
      <c r="D56" s="38"/>
      <c r="E56" s="38"/>
      <c r="F56" s="416"/>
      <c r="G56" s="42"/>
      <c r="H56" s="419"/>
      <c r="I56" s="40"/>
      <c r="J56" s="40"/>
      <c r="K56" s="4"/>
      <c r="L56" s="87"/>
      <c r="M56" s="56"/>
      <c r="N56" s="56"/>
      <c r="O56" s="2"/>
      <c r="P56" s="50"/>
      <c r="Q56" s="50"/>
    </row>
    <row r="57" spans="1:20">
      <c r="B57" s="152" t="str">
        <f t="shared" si="0"/>
        <v>NE</v>
      </c>
      <c r="C57" s="27"/>
      <c r="D57" s="469"/>
      <c r="E57" s="38"/>
      <c r="F57" s="419"/>
      <c r="G57" s="42"/>
      <c r="H57" s="469"/>
      <c r="I57" s="4"/>
      <c r="J57" s="4"/>
      <c r="K57" s="4"/>
      <c r="L57" s="14"/>
      <c r="M57" s="56"/>
      <c r="N57" s="56"/>
      <c r="O57" s="2"/>
      <c r="P57" s="50"/>
      <c r="Q57" s="50"/>
    </row>
    <row r="58" spans="1:20" ht="15" thickBot="1">
      <c r="B58" s="6"/>
      <c r="G58" s="380"/>
      <c r="H58" s="30"/>
      <c r="I58" s="30"/>
      <c r="J58" s="30"/>
      <c r="N58" s="14"/>
    </row>
    <row r="59" spans="1:20" ht="15" thickBot="1">
      <c r="B59" s="6"/>
      <c r="H59" s="388" t="s">
        <v>258</v>
      </c>
      <c r="I59" s="32">
        <f>SUM(I10:I57)</f>
        <v>1695730.7600000002</v>
      </c>
      <c r="J59" s="31"/>
    </row>
    <row r="60" spans="1:20">
      <c r="B60" s="6"/>
      <c r="G60" s="380"/>
      <c r="H60" s="30"/>
      <c r="I60" s="30"/>
      <c r="J60" s="30"/>
    </row>
    <row r="61" spans="1:20">
      <c r="B61" s="6"/>
      <c r="G61" s="380"/>
      <c r="H61" s="30"/>
      <c r="I61" s="30"/>
      <c r="J61" s="30"/>
    </row>
    <row r="62" spans="1:20">
      <c r="B62" s="6"/>
      <c r="G62" s="380"/>
      <c r="H62" s="30"/>
      <c r="I62" s="30"/>
      <c r="J62" s="30"/>
    </row>
    <row r="63" spans="1:20">
      <c r="B63" s="6"/>
      <c r="H63" s="20"/>
      <c r="I63" s="20"/>
      <c r="J63" s="20"/>
    </row>
    <row r="64" spans="1:20">
      <c r="B64" s="6"/>
      <c r="H64" s="20"/>
      <c r="I64" s="20"/>
      <c r="J64" s="20"/>
    </row>
    <row r="65" spans="2:10">
      <c r="B65" s="6"/>
      <c r="H65" s="20"/>
      <c r="I65" s="20"/>
      <c r="J65" s="20"/>
    </row>
    <row r="66" spans="2:10">
      <c r="B66" s="6"/>
      <c r="H66" s="20"/>
      <c r="I66" s="20"/>
      <c r="J66" s="20"/>
    </row>
    <row r="67" spans="2:10">
      <c r="B67" s="6"/>
      <c r="H67" s="20"/>
      <c r="I67" s="20"/>
      <c r="J67" s="20"/>
    </row>
    <row r="68" spans="2:10">
      <c r="B68" s="6"/>
      <c r="H68" s="20"/>
      <c r="I68" s="20"/>
      <c r="J68" s="20"/>
    </row>
    <row r="69" spans="2:10">
      <c r="B69" s="6"/>
      <c r="H69" s="20"/>
      <c r="I69" s="20"/>
      <c r="J69" s="20"/>
    </row>
    <row r="70" spans="2:10">
      <c r="B70" s="6"/>
      <c r="H70" s="20"/>
      <c r="I70" s="20"/>
      <c r="J70" s="20"/>
    </row>
    <row r="71" spans="2:10">
      <c r="B71" s="6"/>
      <c r="H71" s="20"/>
      <c r="I71" s="20"/>
      <c r="J71" s="20"/>
    </row>
    <row r="72" spans="2:10">
      <c r="B72" s="6"/>
      <c r="H72" s="20"/>
      <c r="I72" s="20"/>
      <c r="J72" s="20"/>
    </row>
    <row r="73" spans="2:10">
      <c r="B73" s="6"/>
      <c r="H73" s="20"/>
      <c r="I73" s="20"/>
      <c r="J73" s="20"/>
    </row>
    <row r="74" spans="2:10">
      <c r="B74" s="6"/>
      <c r="H74" s="20"/>
      <c r="I74" s="20"/>
      <c r="J74" s="20"/>
    </row>
    <row r="75" spans="2:10">
      <c r="B75" s="6"/>
      <c r="H75" s="20"/>
      <c r="I75" s="20"/>
      <c r="J75" s="20"/>
    </row>
    <row r="76" spans="2:10">
      <c r="B76" s="6"/>
      <c r="H76" s="20"/>
      <c r="I76" s="20"/>
      <c r="J76" s="20"/>
    </row>
    <row r="77" spans="2:10">
      <c r="B77" s="6"/>
      <c r="H77" s="20"/>
      <c r="I77" s="20"/>
      <c r="J77" s="20"/>
    </row>
    <row r="78" spans="2:10">
      <c r="B78" s="6"/>
      <c r="H78" s="20"/>
      <c r="I78" s="20"/>
      <c r="J78" s="20"/>
    </row>
    <row r="79" spans="2:10">
      <c r="B79" s="6"/>
      <c r="H79" s="20"/>
      <c r="I79" s="20"/>
      <c r="J79" s="20"/>
    </row>
    <row r="80" spans="2:10">
      <c r="B80" s="6"/>
      <c r="H80" s="20"/>
      <c r="I80" s="20"/>
      <c r="J80" s="20"/>
    </row>
    <row r="81" spans="2:10">
      <c r="B81" s="6"/>
      <c r="H81" s="20"/>
      <c r="I81" s="20"/>
      <c r="J81" s="20"/>
    </row>
    <row r="82" spans="2:10">
      <c r="B82" s="6"/>
      <c r="H82" s="20"/>
      <c r="I82" s="20"/>
      <c r="J82" s="20"/>
    </row>
    <row r="83" spans="2:10">
      <c r="B83" s="6"/>
      <c r="H83" s="20"/>
      <c r="I83" s="20"/>
      <c r="J83" s="20"/>
    </row>
    <row r="84" spans="2:10">
      <c r="B84" s="6"/>
      <c r="H84" s="20"/>
      <c r="I84" s="20"/>
      <c r="J84" s="20"/>
    </row>
    <row r="85" spans="2:10">
      <c r="B85" s="6"/>
      <c r="H85" s="20"/>
      <c r="I85" s="20"/>
      <c r="J85" s="20"/>
    </row>
    <row r="86" spans="2:10">
      <c r="B86" s="6"/>
      <c r="H86" s="20"/>
      <c r="I86" s="20"/>
      <c r="J86" s="20"/>
    </row>
    <row r="87" spans="2:10">
      <c r="B87" s="6"/>
      <c r="H87" s="20"/>
      <c r="I87" s="20"/>
      <c r="J87" s="20"/>
    </row>
    <row r="88" spans="2:10">
      <c r="B88" s="6"/>
      <c r="H88" s="20"/>
      <c r="I88" s="20"/>
      <c r="J88" s="20"/>
    </row>
    <row r="89" spans="2:10">
      <c r="B89" s="6"/>
      <c r="H89" s="20"/>
      <c r="I89" s="20"/>
      <c r="J89" s="20"/>
    </row>
    <row r="90" spans="2:10">
      <c r="B90" s="6"/>
      <c r="H90" s="20"/>
      <c r="I90" s="20"/>
      <c r="J90" s="20"/>
    </row>
    <row r="91" spans="2:10">
      <c r="B91" s="6"/>
      <c r="H91" s="20"/>
      <c r="I91" s="20"/>
      <c r="J91" s="20"/>
    </row>
    <row r="92" spans="2:10">
      <c r="B92" s="6"/>
      <c r="H92" s="20"/>
      <c r="I92" s="20"/>
      <c r="J92" s="20"/>
    </row>
    <row r="93" spans="2:10">
      <c r="B93" s="6"/>
      <c r="H93" s="20"/>
      <c r="I93" s="20"/>
      <c r="J93" s="20"/>
    </row>
    <row r="94" spans="2:10">
      <c r="B94" s="6"/>
      <c r="H94" s="20"/>
      <c r="I94" s="20"/>
      <c r="J94" s="20"/>
    </row>
    <row r="95" spans="2:10">
      <c r="B95" s="6"/>
      <c r="H95" s="20"/>
      <c r="I95" s="20"/>
      <c r="J95" s="20"/>
    </row>
    <row r="96" spans="2:10">
      <c r="B96" s="6"/>
      <c r="H96" s="20"/>
      <c r="I96" s="20"/>
      <c r="J96" s="20"/>
    </row>
    <row r="97" spans="2:10">
      <c r="B97" s="6"/>
      <c r="H97" s="20"/>
      <c r="I97" s="20"/>
      <c r="J97" s="20"/>
    </row>
    <row r="98" spans="2:10">
      <c r="B98" s="6"/>
      <c r="H98" s="20"/>
      <c r="I98" s="20"/>
      <c r="J98" s="20"/>
    </row>
    <row r="99" spans="2:10">
      <c r="B99" s="6"/>
      <c r="H99" s="20"/>
      <c r="I99" s="20"/>
      <c r="J99" s="20"/>
    </row>
    <row r="100" spans="2:10">
      <c r="B100" s="6"/>
      <c r="H100" s="20"/>
      <c r="I100" s="20"/>
      <c r="J100" s="20"/>
    </row>
  </sheetData>
  <mergeCells count="5">
    <mergeCell ref="D2:H2"/>
    <mergeCell ref="F3:G3"/>
    <mergeCell ref="F4:G4"/>
    <mergeCell ref="F5:G5"/>
    <mergeCell ref="F6:G6"/>
  </mergeCells>
  <conditionalFormatting sqref="L13:M14">
    <cfRule type="containsText" dxfId="572" priority="99" operator="containsText" text="Pendiente">
      <formula>NOT(ISERROR(SEARCH("Pendiente",L13)))</formula>
    </cfRule>
    <cfRule type="containsText" dxfId="571" priority="100" operator="containsText" text="Pagado">
      <formula>NOT(ISERROR(SEARCH("Pagado",L13)))</formula>
    </cfRule>
    <cfRule type="containsText" dxfId="570" priority="101" operator="containsText" text="Para abonar">
      <formula>NOT(ISERROR(SEARCH("Para abonar",L13)))</formula>
    </cfRule>
  </conditionalFormatting>
  <conditionalFormatting sqref="L19:M19">
    <cfRule type="containsText" dxfId="569" priority="86" operator="containsText" text="Pendiente">
      <formula>NOT(ISERROR(SEARCH("Pendiente",L19)))</formula>
    </cfRule>
    <cfRule type="containsText" dxfId="568" priority="87" operator="containsText" text="Pagado">
      <formula>NOT(ISERROR(SEARCH("Pagado",L19)))</formula>
    </cfRule>
    <cfRule type="containsText" dxfId="567" priority="88" operator="containsText" text="Para abonar">
      <formula>NOT(ISERROR(SEARCH("Para abonar",L19)))</formula>
    </cfRule>
  </conditionalFormatting>
  <conditionalFormatting sqref="L21:M25">
    <cfRule type="containsText" dxfId="566" priority="68" operator="containsText" text="Pendiente">
      <formula>NOT(ISERROR(SEARCH("Pendiente",L21)))</formula>
    </cfRule>
    <cfRule type="containsText" dxfId="565" priority="69" operator="containsText" text="Pagado">
      <formula>NOT(ISERROR(SEARCH("Pagado",L21)))</formula>
    </cfRule>
    <cfRule type="containsText" dxfId="564" priority="70" operator="containsText" text="Para abonar">
      <formula>NOT(ISERROR(SEARCH("Para abonar",L21)))</formula>
    </cfRule>
  </conditionalFormatting>
  <conditionalFormatting sqref="L30:M30 L43:O57">
    <cfRule type="cellIs" dxfId="563" priority="62" operator="equal">
      <formula>"Cuenta Corriente"</formula>
    </cfRule>
    <cfRule type="cellIs" dxfId="562" priority="63" operator="equal">
      <formula>"No Pagado"</formula>
    </cfRule>
  </conditionalFormatting>
  <conditionalFormatting sqref="L35:M37">
    <cfRule type="cellIs" dxfId="561" priority="27" operator="equal">
      <formula>"Cuenta Corriente"</formula>
    </cfRule>
    <cfRule type="cellIs" dxfId="560" priority="28" operator="equal">
      <formula>"No Pagado"</formula>
    </cfRule>
  </conditionalFormatting>
  <conditionalFormatting sqref="L39:M42">
    <cfRule type="cellIs" dxfId="559" priority="9" operator="equal">
      <formula>"Cuenta Corriente"</formula>
    </cfRule>
    <cfRule type="cellIs" dxfId="558" priority="10" operator="equal">
      <formula>"No Pagado"</formula>
    </cfRule>
  </conditionalFormatting>
  <conditionalFormatting sqref="L10:N10 L12:N12 L15:N15 L18:N18 L20:N20 L26:N28 N58">
    <cfRule type="cellIs" dxfId="557" priority="114" operator="equal">
      <formula>"Cuenta Corriente"</formula>
    </cfRule>
    <cfRule type="cellIs" dxfId="556" priority="115" operator="equal">
      <formula>"No Pagado"</formula>
    </cfRule>
  </conditionalFormatting>
  <conditionalFormatting sqref="L34:N34">
    <cfRule type="cellIs" dxfId="555" priority="41" operator="equal">
      <formula>"Cuenta Corriente"</formula>
    </cfRule>
    <cfRule type="cellIs" dxfId="554" priority="42" operator="equal">
      <formula>"No Pagado"</formula>
    </cfRule>
  </conditionalFormatting>
  <conditionalFormatting sqref="L11:O11">
    <cfRule type="cellIs" dxfId="553" priority="107" operator="equal">
      <formula>"Cuenta Corriente"</formula>
    </cfRule>
    <cfRule type="cellIs" dxfId="552" priority="108" operator="equal">
      <formula>"No Pagado"</formula>
    </cfRule>
  </conditionalFormatting>
  <conditionalFormatting sqref="L29:O29 L31:O33">
    <cfRule type="cellIs" dxfId="551" priority="64" operator="equal">
      <formula>"Cuenta Corriente"</formula>
    </cfRule>
    <cfRule type="cellIs" dxfId="550" priority="65" operator="equal">
      <formula>"No Pagado"</formula>
    </cfRule>
  </conditionalFormatting>
  <conditionalFormatting sqref="L38:O38">
    <cfRule type="cellIs" dxfId="549" priority="7" operator="equal">
      <formula>"Cuenta Corriente"</formula>
    </cfRule>
    <cfRule type="cellIs" dxfId="548" priority="8" operator="equal">
      <formula>"No Pagado"</formula>
    </cfRule>
  </conditionalFormatting>
  <conditionalFormatting sqref="N13:N14">
    <cfRule type="cellIs" dxfId="547" priority="102" operator="equal">
      <formula>"Cuenta Corriente"</formula>
    </cfRule>
    <cfRule type="cellIs" dxfId="546" priority="103" operator="equal">
      <formula>"No Pagado"</formula>
    </cfRule>
  </conditionalFormatting>
  <conditionalFormatting sqref="N16:N17">
    <cfRule type="cellIs" dxfId="545" priority="89" operator="equal">
      <formula>"Cuenta Corriente"</formula>
    </cfRule>
    <cfRule type="cellIs" dxfId="544" priority="90" operator="equal">
      <formula>"No Pagado"</formula>
    </cfRule>
  </conditionalFormatting>
  <conditionalFormatting sqref="N19">
    <cfRule type="cellIs" dxfId="543" priority="84" operator="equal">
      <formula>"Cuenta Corriente"</formula>
    </cfRule>
    <cfRule type="cellIs" dxfId="542" priority="85" operator="equal">
      <formula>"No Pagado"</formula>
    </cfRule>
  </conditionalFormatting>
  <conditionalFormatting sqref="N21:N25">
    <cfRule type="cellIs" dxfId="541" priority="74" operator="equal">
      <formula>"Cuenta Corriente"</formula>
    </cfRule>
    <cfRule type="cellIs" dxfId="540" priority="75" operator="equal">
      <formula>"No Pagado"</formula>
    </cfRule>
  </conditionalFormatting>
  <conditionalFormatting sqref="N30">
    <cfRule type="cellIs" dxfId="539" priority="57" operator="equal">
      <formula>"Cuenta Corriente"</formula>
    </cfRule>
    <cfRule type="cellIs" dxfId="538" priority="58" operator="equal">
      <formula>"No Pagado"</formula>
    </cfRule>
  </conditionalFormatting>
  <conditionalFormatting sqref="N35:N37">
    <cfRule type="cellIs" dxfId="537" priority="29" operator="equal">
      <formula>"Cuenta Corriente"</formula>
    </cfRule>
    <cfRule type="cellIs" dxfId="536" priority="30" operator="equal">
      <formula>"No Pagado"</formula>
    </cfRule>
  </conditionalFormatting>
  <conditionalFormatting sqref="N39:N42">
    <cfRule type="cellIs" dxfId="535" priority="11" operator="equal">
      <formula>"Cuenta Corriente"</formula>
    </cfRule>
    <cfRule type="cellIs" dxfId="534" priority="12" operator="equal">
      <formula>"No Pagado"</formula>
    </cfRule>
  </conditionalFormatting>
  <conditionalFormatting sqref="N34:O34">
    <cfRule type="cellIs" dxfId="533" priority="36" operator="equal">
      <formula>"Cuenta Corriente"</formula>
    </cfRule>
    <cfRule type="cellIs" dxfId="532" priority="37" operator="equal">
      <formula>"No Pagado"</formula>
    </cfRule>
  </conditionalFormatting>
  <conditionalFormatting sqref="O10">
    <cfRule type="containsText" dxfId="531" priority="111" operator="containsText" text="Pendiente">
      <formula>NOT(ISERROR(SEARCH("Pendiente",O10)))</formula>
    </cfRule>
    <cfRule type="containsText" dxfId="530" priority="112" operator="containsText" text="Pagado">
      <formula>NOT(ISERROR(SEARCH("Pagado",O10)))</formula>
    </cfRule>
    <cfRule type="containsText" dxfId="529" priority="113" operator="containsText" text="Para abonar">
      <formula>NOT(ISERROR(SEARCH("Para abonar",O10)))</formula>
    </cfRule>
  </conditionalFormatting>
  <conditionalFormatting sqref="O12:O28 L16:M17">
    <cfRule type="containsText" dxfId="528" priority="91" operator="containsText" text="Pendiente">
      <formula>NOT(ISERROR(SEARCH("Pendiente",L12)))</formula>
    </cfRule>
    <cfRule type="containsText" dxfId="527" priority="92" operator="containsText" text="Pagado">
      <formula>NOT(ISERROR(SEARCH("Pagado",L12)))</formula>
    </cfRule>
    <cfRule type="containsText" dxfId="526" priority="93" operator="containsText" text="Para abonar">
      <formula>NOT(ISERROR(SEARCH("Para abonar",L12)))</formula>
    </cfRule>
  </conditionalFormatting>
  <conditionalFormatting sqref="O30">
    <cfRule type="containsText" dxfId="525" priority="59" operator="containsText" text="Pendiente">
      <formula>NOT(ISERROR(SEARCH("Pendiente",O30)))</formula>
    </cfRule>
    <cfRule type="containsText" dxfId="524" priority="60" operator="containsText" text="Pagado">
      <formula>NOT(ISERROR(SEARCH("Pagado",O30)))</formula>
    </cfRule>
    <cfRule type="containsText" dxfId="523" priority="61" operator="containsText" text="Para abonar">
      <formula>NOT(ISERROR(SEARCH("Para abonar",O30)))</formula>
    </cfRule>
  </conditionalFormatting>
  <conditionalFormatting sqref="O35:O37">
    <cfRule type="containsText" dxfId="522" priority="31" operator="containsText" text="Pendiente">
      <formula>NOT(ISERROR(SEARCH("Pendiente",O35)))</formula>
    </cfRule>
    <cfRule type="containsText" dxfId="521" priority="32" operator="containsText" text="Pagado">
      <formula>NOT(ISERROR(SEARCH("Pagado",O35)))</formula>
    </cfRule>
    <cfRule type="containsText" dxfId="520" priority="33" operator="containsText" text="Para abonar">
      <formula>NOT(ISERROR(SEARCH("Para abonar",O35)))</formula>
    </cfRule>
  </conditionalFormatting>
  <conditionalFormatting sqref="O39:O42">
    <cfRule type="containsText" dxfId="519" priority="13" operator="containsText" text="Pendiente">
      <formula>NOT(ISERROR(SEARCH("Pendiente",O39)))</formula>
    </cfRule>
    <cfRule type="containsText" dxfId="518" priority="14" operator="containsText" text="Pagado">
      <formula>NOT(ISERROR(SEARCH("Pagado",O39)))</formula>
    </cfRule>
    <cfRule type="containsText" dxfId="517" priority="15" operator="containsText" text="Para abonar">
      <formula>NOT(ISERROR(SEARCH("Para abonar",O39)))</formula>
    </cfRule>
  </conditionalFormatting>
  <conditionalFormatting sqref="O34:P34">
    <cfRule type="containsText" dxfId="516" priority="38" operator="containsText" text="Pendiente">
      <formula>NOT(ISERROR(SEARCH("Pendiente",O34)))</formula>
    </cfRule>
    <cfRule type="containsText" dxfId="515" priority="39" operator="containsText" text="Pagado">
      <formula>NOT(ISERROR(SEARCH("Pagado",O34)))</formula>
    </cfRule>
    <cfRule type="containsText" dxfId="514" priority="40" operator="containsText" text="Para abonar">
      <formula>NOT(ISERROR(SEARCH("Para abonar",O34)))</formula>
    </cfRule>
  </conditionalFormatting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C225D54-7D0A-41F3-935B-AE1AA4F298A7}">
          <x14:formula1>
            <xm:f>Consultas!$B$9:$B$11</xm:f>
          </x14:formula1>
          <xm:sqref>N58 O10:O20 L10:M20 N21:N25 K21:K25 P34 L26:M57 O26:O57</xm:sqref>
        </x14:dataValidation>
        <x14:dataValidation type="list" allowBlank="1" showInputMessage="1" showErrorMessage="1" xr:uid="{0076DB95-31A2-4E94-A6EB-21E9BBA4D621}">
          <x14:formula1>
            <xm:f>Consultas!$B$13:$B$15</xm:f>
          </x14:formula1>
          <xm:sqref>N10:N20 L21:M25 N26:N57</xm:sqref>
        </x14:dataValidation>
        <x14:dataValidation type="list" allowBlank="1" showInputMessage="1" showErrorMessage="1" xr:uid="{4263BBE7-6B75-46B5-8A8A-7EFD6A2FE430}">
          <x14:formula1>
            <xm:f>Proveedores!$B$3:$B$111</xm:f>
          </x14:formula1>
          <xm:sqref>G10:G20 F21:F25 G60:G134 H59 G26:G58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CEDC-756D-44AF-9A87-2A896E46CDEC}">
  <dimension ref="A1:T98"/>
  <sheetViews>
    <sheetView topLeftCell="A24" zoomScale="85" zoomScaleNormal="85" workbookViewId="0">
      <selection activeCell="A32" sqref="A32"/>
    </sheetView>
  </sheetViews>
  <sheetFormatPr defaultColWidth="11.42578125" defaultRowHeight="14.45"/>
  <cols>
    <col min="2" max="2" width="11" bestFit="1" customWidth="1"/>
    <col min="3" max="3" width="16.28515625" bestFit="1" customWidth="1"/>
    <col min="4" max="4" width="12" style="6" bestFit="1" customWidth="1"/>
    <col min="5" max="5" width="14" bestFit="1" customWidth="1"/>
    <col min="6" max="6" width="31" customWidth="1"/>
    <col min="7" max="7" width="18.42578125" customWidth="1"/>
    <col min="8" max="8" width="21.28515625" bestFit="1" customWidth="1"/>
    <col min="9" max="10" width="16.42578125" customWidth="1"/>
    <col min="11" max="11" width="17.85546875" customWidth="1"/>
    <col min="12" max="12" width="14.7109375" bestFit="1" customWidth="1"/>
    <col min="13" max="13" width="17.42578125" customWidth="1"/>
    <col min="14" max="14" width="19.42578125" bestFit="1" customWidth="1"/>
  </cols>
  <sheetData>
    <row r="1" spans="1:17" ht="15" thickBot="1">
      <c r="B1" s="6"/>
    </row>
    <row r="2" spans="1:17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17" ht="18" customHeight="1">
      <c r="B3" s="6"/>
      <c r="D3" s="80" t="s">
        <v>177</v>
      </c>
      <c r="E3" s="36" t="s">
        <v>1190</v>
      </c>
      <c r="F3" s="423"/>
      <c r="G3" s="424"/>
      <c r="H3" s="37"/>
      <c r="I3" s="15"/>
      <c r="J3" s="15"/>
    </row>
    <row r="4" spans="1:17">
      <c r="B4" s="6"/>
      <c r="D4" s="16" t="s">
        <v>179</v>
      </c>
      <c r="E4" s="449" t="s">
        <v>1191</v>
      </c>
      <c r="F4" s="450" t="s">
        <v>180</v>
      </c>
      <c r="G4" s="451"/>
      <c r="H4" s="35" t="s">
        <v>1192</v>
      </c>
      <c r="I4" s="452"/>
      <c r="J4" s="452"/>
    </row>
    <row r="5" spans="1:17">
      <c r="B5" s="6"/>
      <c r="D5" s="16"/>
      <c r="E5" s="1" t="s">
        <v>1193</v>
      </c>
      <c r="F5" s="453"/>
      <c r="G5" s="454"/>
      <c r="H5" s="10"/>
      <c r="I5" s="15"/>
      <c r="J5" s="15"/>
    </row>
    <row r="6" spans="1:17" ht="15" thickBot="1">
      <c r="B6" s="6"/>
      <c r="D6" s="17"/>
      <c r="E6" s="12"/>
      <c r="F6" s="455"/>
      <c r="G6" s="456"/>
      <c r="H6" s="13"/>
      <c r="I6" s="15"/>
      <c r="J6" s="15"/>
    </row>
    <row r="7" spans="1:17">
      <c r="B7" s="6"/>
    </row>
    <row r="8" spans="1:17" ht="15" thickBot="1">
      <c r="B8" s="6"/>
    </row>
    <row r="9" spans="1:17" ht="43.9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17" ht="43.15">
      <c r="B10" s="152" t="str">
        <f t="shared" ref="B10:B55" si="0">+$E$3</f>
        <v>Alma Viva</v>
      </c>
      <c r="C10" s="158">
        <v>45975</v>
      </c>
      <c r="D10" s="22" t="s">
        <v>364</v>
      </c>
      <c r="E10" s="22" t="s">
        <v>1121</v>
      </c>
      <c r="F10" s="527" t="s">
        <v>1194</v>
      </c>
      <c r="G10" s="22" t="s">
        <v>76</v>
      </c>
      <c r="H10" s="458" t="s">
        <v>817</v>
      </c>
      <c r="I10" s="43">
        <v>100000</v>
      </c>
      <c r="J10" s="43"/>
      <c r="K10" s="34"/>
      <c r="L10" s="203" t="s">
        <v>209</v>
      </c>
      <c r="M10" s="297"/>
      <c r="N10" s="54" t="s">
        <v>305</v>
      </c>
      <c r="O10" s="41"/>
      <c r="P10" s="459"/>
      <c r="Q10" s="459"/>
    </row>
    <row r="11" spans="1:17" ht="43.15">
      <c r="B11" s="152" t="str">
        <f t="shared" si="0"/>
        <v>Alma Viva</v>
      </c>
      <c r="C11" s="25">
        <v>45975</v>
      </c>
      <c r="D11" s="23" t="s">
        <v>364</v>
      </c>
      <c r="E11" s="81" t="s">
        <v>1121</v>
      </c>
      <c r="F11" s="82" t="s">
        <v>1195</v>
      </c>
      <c r="G11" s="41" t="s">
        <v>76</v>
      </c>
      <c r="H11" s="14" t="s">
        <v>817</v>
      </c>
      <c r="I11" s="45">
        <v>100000</v>
      </c>
      <c r="J11" s="45"/>
      <c r="K11" s="19"/>
      <c r="L11" s="150" t="s">
        <v>209</v>
      </c>
      <c r="M11" s="298"/>
      <c r="N11" s="55" t="s">
        <v>305</v>
      </c>
      <c r="O11" s="23"/>
      <c r="P11" s="49"/>
      <c r="Q11" s="49"/>
    </row>
    <row r="12" spans="1:17" ht="28.9">
      <c r="B12" s="152" t="str">
        <f t="shared" si="0"/>
        <v>Alma Viva</v>
      </c>
      <c r="C12" s="25">
        <v>45986</v>
      </c>
      <c r="D12" s="23" t="s">
        <v>364</v>
      </c>
      <c r="E12" s="23" t="s">
        <v>1121</v>
      </c>
      <c r="F12" s="528" t="s">
        <v>1196</v>
      </c>
      <c r="G12" s="23" t="s">
        <v>1197</v>
      </c>
      <c r="H12" s="14" t="s">
        <v>817</v>
      </c>
      <c r="I12" s="44">
        <v>240000</v>
      </c>
      <c r="J12" s="44"/>
      <c r="K12" s="529" t="s">
        <v>1198</v>
      </c>
      <c r="L12" s="150" t="s">
        <v>209</v>
      </c>
      <c r="M12" s="298"/>
      <c r="N12" s="55" t="s">
        <v>305</v>
      </c>
      <c r="O12" s="23"/>
      <c r="P12" s="49"/>
      <c r="Q12" s="49"/>
    </row>
    <row r="13" spans="1:17" ht="28.9">
      <c r="B13" s="152" t="str">
        <f t="shared" si="0"/>
        <v>Alma Viva</v>
      </c>
      <c r="C13" s="25">
        <v>45988</v>
      </c>
      <c r="D13" s="23" t="s">
        <v>364</v>
      </c>
      <c r="E13" s="23" t="s">
        <v>1121</v>
      </c>
      <c r="F13" s="528" t="s">
        <v>1196</v>
      </c>
      <c r="G13" s="23" t="s">
        <v>1197</v>
      </c>
      <c r="H13" s="14" t="s">
        <v>817</v>
      </c>
      <c r="I13" s="44">
        <v>240000</v>
      </c>
      <c r="J13" s="44"/>
      <c r="K13" s="529" t="s">
        <v>1198</v>
      </c>
      <c r="L13" s="150" t="s">
        <v>209</v>
      </c>
      <c r="M13" s="298"/>
      <c r="N13" s="55" t="s">
        <v>305</v>
      </c>
      <c r="O13" s="23"/>
      <c r="P13" s="49"/>
      <c r="Q13" s="49"/>
    </row>
    <row r="14" spans="1:17" ht="27" customHeight="1">
      <c r="B14" s="152" t="str">
        <f t="shared" si="0"/>
        <v>Alma Viva</v>
      </c>
      <c r="C14" s="25">
        <v>45989</v>
      </c>
      <c r="D14" s="23" t="s">
        <v>364</v>
      </c>
      <c r="E14" s="23" t="s">
        <v>1121</v>
      </c>
      <c r="F14" s="528" t="s">
        <v>1196</v>
      </c>
      <c r="G14" s="23" t="s">
        <v>1197</v>
      </c>
      <c r="H14" s="14" t="s">
        <v>817</v>
      </c>
      <c r="I14" s="44">
        <v>240000</v>
      </c>
      <c r="J14" s="44"/>
      <c r="K14" s="529" t="s">
        <v>1198</v>
      </c>
      <c r="L14" s="150" t="s">
        <v>209</v>
      </c>
      <c r="M14" s="298"/>
      <c r="N14" s="55" t="s">
        <v>305</v>
      </c>
      <c r="O14" s="23"/>
      <c r="P14" s="49"/>
      <c r="Q14" s="49"/>
    </row>
    <row r="15" spans="1:17" s="138" customFormat="1" ht="29.45" thickBot="1">
      <c r="A15" s="168" t="s">
        <v>218</v>
      </c>
      <c r="B15" s="170"/>
      <c r="C15" s="171">
        <v>45989</v>
      </c>
      <c r="D15" s="134"/>
      <c r="E15" s="143"/>
      <c r="F15" s="465"/>
      <c r="G15" s="136"/>
      <c r="H15" s="474"/>
      <c r="I15" s="144"/>
      <c r="J15" s="349"/>
      <c r="K15" s="145"/>
      <c r="L15" s="140"/>
      <c r="M15" s="140"/>
      <c r="N15" s="140"/>
      <c r="O15" s="140"/>
      <c r="P15" s="141"/>
      <c r="Q15" s="142"/>
    </row>
    <row r="16" spans="1:17" ht="43.15">
      <c r="B16" s="152" t="str">
        <f t="shared" si="0"/>
        <v>Alma Viva</v>
      </c>
      <c r="C16" s="463">
        <v>45982</v>
      </c>
      <c r="D16" s="22" t="s">
        <v>364</v>
      </c>
      <c r="E16" s="22" t="s">
        <v>1121</v>
      </c>
      <c r="F16" s="159" t="s">
        <v>1194</v>
      </c>
      <c r="G16" s="22" t="s">
        <v>76</v>
      </c>
      <c r="H16" s="18" t="s">
        <v>817</v>
      </c>
      <c r="I16" s="43">
        <v>100000</v>
      </c>
      <c r="J16" s="45"/>
      <c r="K16" s="529" t="s">
        <v>1198</v>
      </c>
      <c r="L16" s="203" t="s">
        <v>209</v>
      </c>
      <c r="M16" s="297"/>
      <c r="N16" s="54" t="s">
        <v>305</v>
      </c>
      <c r="O16" s="41"/>
      <c r="P16" s="54"/>
      <c r="Q16" s="54"/>
    </row>
    <row r="17" spans="1:17" ht="43.15">
      <c r="B17" s="152" t="str">
        <f t="shared" si="0"/>
        <v>Alma Viva</v>
      </c>
      <c r="C17" s="25">
        <v>45982</v>
      </c>
      <c r="D17" s="23" t="s">
        <v>364</v>
      </c>
      <c r="E17" s="81" t="s">
        <v>1121</v>
      </c>
      <c r="F17" s="82" t="s">
        <v>1195</v>
      </c>
      <c r="G17" s="41" t="s">
        <v>76</v>
      </c>
      <c r="H17" s="14" t="s">
        <v>817</v>
      </c>
      <c r="I17" s="45">
        <v>100000</v>
      </c>
      <c r="J17" s="45"/>
      <c r="K17" s="529" t="s">
        <v>1198</v>
      </c>
      <c r="L17" s="150" t="s">
        <v>209</v>
      </c>
      <c r="M17" s="298"/>
      <c r="N17" s="55" t="s">
        <v>305</v>
      </c>
      <c r="O17" s="23"/>
      <c r="P17" s="49"/>
      <c r="Q17" s="49"/>
    </row>
    <row r="18" spans="1:17" ht="28.9">
      <c r="B18" s="152" t="str">
        <f t="shared" si="0"/>
        <v>Alma Viva</v>
      </c>
      <c r="C18" s="26">
        <v>45993</v>
      </c>
      <c r="D18" s="23" t="s">
        <v>364</v>
      </c>
      <c r="E18" s="81" t="s">
        <v>1121</v>
      </c>
      <c r="F18" s="528" t="s">
        <v>1196</v>
      </c>
      <c r="G18" s="23" t="s">
        <v>1197</v>
      </c>
      <c r="H18" s="14" t="s">
        <v>817</v>
      </c>
      <c r="I18" s="44">
        <v>240000</v>
      </c>
      <c r="J18" s="44"/>
      <c r="K18" s="529" t="s">
        <v>1198</v>
      </c>
      <c r="L18" s="150" t="s">
        <v>209</v>
      </c>
      <c r="M18" s="298"/>
      <c r="N18" s="55" t="s">
        <v>305</v>
      </c>
      <c r="O18" s="23"/>
      <c r="P18" s="49"/>
      <c r="Q18" s="49"/>
    </row>
    <row r="19" spans="1:17" ht="28.9">
      <c r="B19" s="152" t="str">
        <f t="shared" si="0"/>
        <v>Alma Viva</v>
      </c>
      <c r="C19" s="26">
        <v>45994</v>
      </c>
      <c r="D19" s="23" t="s">
        <v>364</v>
      </c>
      <c r="E19" s="81" t="s">
        <v>1121</v>
      </c>
      <c r="F19" s="528" t="s">
        <v>1196</v>
      </c>
      <c r="G19" s="23" t="s">
        <v>1197</v>
      </c>
      <c r="H19" s="14" t="s">
        <v>817</v>
      </c>
      <c r="I19" s="44">
        <v>240000</v>
      </c>
      <c r="J19" s="44"/>
      <c r="K19" s="529" t="s">
        <v>1198</v>
      </c>
      <c r="L19" s="150" t="s">
        <v>209</v>
      </c>
      <c r="M19" s="298"/>
      <c r="N19" s="55" t="s">
        <v>305</v>
      </c>
      <c r="O19" s="23"/>
      <c r="P19" s="49"/>
      <c r="Q19" s="49"/>
    </row>
    <row r="20" spans="1:17" ht="28.9">
      <c r="B20" s="152" t="str">
        <f t="shared" si="0"/>
        <v>Alma Viva</v>
      </c>
      <c r="C20" s="25">
        <v>46000</v>
      </c>
      <c r="D20" s="23" t="s">
        <v>364</v>
      </c>
      <c r="E20" s="81" t="s">
        <v>1121</v>
      </c>
      <c r="F20" s="528" t="s">
        <v>1199</v>
      </c>
      <c r="G20" s="23" t="s">
        <v>1197</v>
      </c>
      <c r="H20" s="14" t="s">
        <v>817</v>
      </c>
      <c r="I20" s="44">
        <v>240000</v>
      </c>
      <c r="J20" s="44"/>
      <c r="K20" s="61" t="s">
        <v>1198</v>
      </c>
      <c r="L20" s="150" t="s">
        <v>209</v>
      </c>
      <c r="M20" s="298"/>
      <c r="N20" s="55" t="s">
        <v>305</v>
      </c>
      <c r="O20" s="23"/>
      <c r="P20" s="49"/>
      <c r="Q20" s="49"/>
    </row>
    <row r="21" spans="1:17" s="138" customFormat="1" ht="29.45" thickBot="1">
      <c r="A21" s="168" t="s">
        <v>218</v>
      </c>
      <c r="B21" s="170"/>
      <c r="C21" s="171">
        <v>45996</v>
      </c>
      <c r="D21" s="134"/>
      <c r="E21" s="143"/>
      <c r="F21" s="465"/>
      <c r="G21" s="136"/>
      <c r="H21" s="474"/>
      <c r="I21" s="144"/>
      <c r="J21" s="349"/>
      <c r="K21" s="145"/>
      <c r="L21" s="140"/>
      <c r="M21" s="140"/>
      <c r="N21" s="140"/>
      <c r="O21" s="140"/>
      <c r="P21" s="141"/>
      <c r="Q21" s="142"/>
    </row>
    <row r="22" spans="1:17" ht="23.1" customHeight="1">
      <c r="B22" s="152" t="str">
        <f t="shared" si="0"/>
        <v>Alma Viva</v>
      </c>
      <c r="C22" s="25">
        <v>46010</v>
      </c>
      <c r="D22" s="23" t="s">
        <v>364</v>
      </c>
      <c r="E22" s="23" t="s">
        <v>1121</v>
      </c>
      <c r="F22" s="462" t="s">
        <v>1200</v>
      </c>
      <c r="G22" s="22" t="s">
        <v>76</v>
      </c>
      <c r="H22" s="18" t="s">
        <v>817</v>
      </c>
      <c r="I22" s="43">
        <v>110000</v>
      </c>
      <c r="J22" s="45"/>
      <c r="K22" s="61" t="s">
        <v>1198</v>
      </c>
      <c r="L22" s="203" t="s">
        <v>209</v>
      </c>
      <c r="M22" s="297"/>
      <c r="N22" s="54" t="s">
        <v>305</v>
      </c>
      <c r="O22" s="23"/>
      <c r="P22" s="3"/>
      <c r="Q22" s="3"/>
    </row>
    <row r="23" spans="1:17" s="138" customFormat="1" ht="21.6" customHeight="1">
      <c r="A23" s="168" t="s">
        <v>218</v>
      </c>
      <c r="B23" s="170"/>
      <c r="C23" s="171">
        <v>46009</v>
      </c>
      <c r="D23" s="134"/>
      <c r="E23" s="143"/>
      <c r="F23" s="208"/>
      <c r="G23" s="136"/>
      <c r="H23" s="140"/>
      <c r="I23" s="144"/>
      <c r="J23" s="349"/>
      <c r="K23" s="145"/>
      <c r="L23" s="140"/>
      <c r="M23" s="140"/>
      <c r="N23" s="140"/>
      <c r="O23" s="140"/>
      <c r="P23" s="141"/>
      <c r="Q23" s="142"/>
    </row>
    <row r="24" spans="1:17" s="138" customFormat="1" ht="28.9">
      <c r="A24" s="168" t="s">
        <v>218</v>
      </c>
      <c r="B24" s="170"/>
      <c r="C24" s="171">
        <v>46022</v>
      </c>
      <c r="D24" s="130"/>
      <c r="E24" s="130"/>
      <c r="F24" s="465"/>
      <c r="G24" s="131"/>
      <c r="H24" s="465"/>
      <c r="I24" s="132"/>
      <c r="J24" s="132"/>
      <c r="K24" s="133"/>
      <c r="L24" s="134"/>
      <c r="M24" s="285"/>
      <c r="N24" s="135"/>
      <c r="O24" s="136"/>
      <c r="P24" s="137"/>
      <c r="Q24" s="137"/>
    </row>
    <row r="25" spans="1:17" ht="49.5" customHeight="1">
      <c r="B25" s="152" t="str">
        <f>+$E$3</f>
        <v>Alma Viva</v>
      </c>
      <c r="C25" s="27">
        <v>46035</v>
      </c>
      <c r="D25" s="23" t="s">
        <v>867</v>
      </c>
      <c r="E25" s="29" t="s">
        <v>533</v>
      </c>
      <c r="F25" s="220" t="s">
        <v>1201</v>
      </c>
      <c r="G25" s="39" t="s">
        <v>14</v>
      </c>
      <c r="H25" s="88" t="s">
        <v>216</v>
      </c>
      <c r="I25" s="40">
        <v>50000</v>
      </c>
      <c r="J25" s="40"/>
      <c r="K25" s="48" t="s">
        <v>201</v>
      </c>
      <c r="L25" s="266" t="s">
        <v>209</v>
      </c>
      <c r="M25" s="284"/>
      <c r="N25" s="56" t="s">
        <v>305</v>
      </c>
      <c r="O25" s="23"/>
      <c r="P25" s="50"/>
      <c r="Q25" s="50"/>
    </row>
    <row r="26" spans="1:17" s="138" customFormat="1" ht="28.9">
      <c r="A26" s="168" t="s">
        <v>218</v>
      </c>
      <c r="B26" s="170"/>
      <c r="C26" s="171">
        <v>46037</v>
      </c>
      <c r="D26" s="130"/>
      <c r="E26" s="130"/>
      <c r="F26" s="465"/>
      <c r="G26" s="131"/>
      <c r="H26" s="465"/>
      <c r="I26" s="132"/>
      <c r="J26" s="132"/>
      <c r="K26" s="133"/>
      <c r="L26" s="134"/>
      <c r="M26" s="285"/>
      <c r="N26" s="135"/>
      <c r="O26" s="136"/>
      <c r="P26" s="137"/>
      <c r="Q26" s="137"/>
    </row>
    <row r="27" spans="1:17" ht="21.6" customHeight="1">
      <c r="B27" s="152" t="str">
        <f t="shared" si="0"/>
        <v>Alma Viva</v>
      </c>
      <c r="C27" s="27">
        <v>46050</v>
      </c>
      <c r="D27" s="23" t="s">
        <v>867</v>
      </c>
      <c r="E27" s="29" t="s">
        <v>533</v>
      </c>
      <c r="F27" s="462" t="s">
        <v>1202</v>
      </c>
      <c r="G27" s="119" t="s">
        <v>75</v>
      </c>
      <c r="H27" s="461" t="s">
        <v>817</v>
      </c>
      <c r="I27" s="44">
        <f>145200*1.21</f>
        <v>175692</v>
      </c>
      <c r="J27" s="48"/>
      <c r="K27" s="48" t="s">
        <v>201</v>
      </c>
      <c r="L27" s="266" t="s">
        <v>209</v>
      </c>
      <c r="M27" s="284" t="s">
        <v>209</v>
      </c>
      <c r="N27" s="56"/>
      <c r="O27" s="23"/>
      <c r="P27" s="49"/>
      <c r="Q27" s="50"/>
    </row>
    <row r="28" spans="1:17" ht="21.6" customHeight="1">
      <c r="B28" s="152" t="str">
        <f t="shared" si="0"/>
        <v>Alma Viva</v>
      </c>
      <c r="C28" s="27">
        <v>46051</v>
      </c>
      <c r="D28" s="23" t="s">
        <v>867</v>
      </c>
      <c r="E28" s="29" t="s">
        <v>533</v>
      </c>
      <c r="F28" s="462" t="s">
        <v>1202</v>
      </c>
      <c r="G28" s="119" t="s">
        <v>75</v>
      </c>
      <c r="H28" s="461" t="s">
        <v>817</v>
      </c>
      <c r="I28" s="44">
        <f>145200*1.21</f>
        <v>175692</v>
      </c>
      <c r="J28" s="48"/>
      <c r="K28" s="48" t="s">
        <v>201</v>
      </c>
      <c r="L28" s="266" t="s">
        <v>209</v>
      </c>
      <c r="M28" s="284" t="s">
        <v>209</v>
      </c>
      <c r="N28" s="56"/>
      <c r="O28" s="23"/>
      <c r="P28" s="49"/>
      <c r="Q28" s="50"/>
    </row>
    <row r="29" spans="1:17" s="138" customFormat="1" ht="28.9">
      <c r="A29" s="168" t="s">
        <v>218</v>
      </c>
      <c r="B29" s="170"/>
      <c r="C29" s="171">
        <v>46051</v>
      </c>
      <c r="D29" s="130"/>
      <c r="E29" s="130"/>
      <c r="F29" s="465"/>
      <c r="G29" s="131"/>
      <c r="H29" s="465"/>
      <c r="I29" s="132"/>
      <c r="J29" s="132"/>
      <c r="K29" s="133"/>
      <c r="L29" s="134"/>
      <c r="M29" s="285"/>
      <c r="N29" s="135"/>
      <c r="O29" s="136"/>
      <c r="P29" s="137"/>
      <c r="Q29" s="137"/>
    </row>
    <row r="30" spans="1:17" s="138" customFormat="1" ht="28.9">
      <c r="A30" s="168" t="s">
        <v>218</v>
      </c>
      <c r="B30" s="170"/>
      <c r="C30" s="171">
        <v>46065</v>
      </c>
      <c r="D30" s="171"/>
      <c r="E30" s="130"/>
      <c r="F30" s="465"/>
      <c r="G30" s="131"/>
      <c r="H30" s="465"/>
      <c r="I30" s="132"/>
      <c r="J30" s="132"/>
      <c r="K30" s="133"/>
      <c r="L30" s="134"/>
      <c r="M30" s="285"/>
      <c r="N30" s="135"/>
      <c r="O30" s="136"/>
      <c r="P30" s="137"/>
      <c r="Q30" s="137"/>
    </row>
    <row r="31" spans="1:17" ht="21.6" customHeight="1">
      <c r="B31" s="152" t="str">
        <f t="shared" si="0"/>
        <v>Alma Viva</v>
      </c>
      <c r="C31" s="27"/>
      <c r="D31" s="23"/>
      <c r="E31" s="23"/>
      <c r="F31" s="462"/>
      <c r="G31" s="23"/>
      <c r="H31" s="461"/>
      <c r="I31" s="44"/>
      <c r="J31" s="44"/>
      <c r="K31" s="19"/>
      <c r="L31" s="2"/>
      <c r="M31" s="56"/>
      <c r="N31" s="56"/>
      <c r="O31" s="23"/>
      <c r="P31" s="50"/>
      <c r="Q31" s="50"/>
    </row>
    <row r="32" spans="1:17" s="138" customFormat="1" ht="28.9">
      <c r="A32" s="168" t="s">
        <v>218</v>
      </c>
      <c r="B32" s="170"/>
      <c r="C32" s="171">
        <v>46079</v>
      </c>
      <c r="D32" s="171"/>
      <c r="E32" s="130"/>
      <c r="F32" s="465"/>
      <c r="G32" s="131"/>
      <c r="H32" s="465"/>
      <c r="I32" s="132"/>
      <c r="J32" s="132"/>
      <c r="K32" s="133"/>
      <c r="L32" s="134"/>
      <c r="M32" s="285"/>
      <c r="N32" s="135"/>
      <c r="O32" s="136"/>
      <c r="P32" s="137"/>
      <c r="Q32" s="137"/>
    </row>
    <row r="33" spans="1:20" ht="51" customHeight="1">
      <c r="B33" s="152" t="str">
        <f t="shared" si="0"/>
        <v>Alma Viva</v>
      </c>
      <c r="C33" s="27">
        <v>46083</v>
      </c>
      <c r="D33" s="23" t="s">
        <v>364</v>
      </c>
      <c r="E33" s="81" t="s">
        <v>1121</v>
      </c>
      <c r="F33" s="528" t="s">
        <v>1203</v>
      </c>
      <c r="G33" s="23" t="s">
        <v>1197</v>
      </c>
      <c r="H33" s="14" t="s">
        <v>817</v>
      </c>
      <c r="I33" s="44">
        <v>220000</v>
      </c>
      <c r="J33" s="44"/>
      <c r="K33" s="529" t="s">
        <v>208</v>
      </c>
      <c r="L33" s="266" t="s">
        <v>209</v>
      </c>
      <c r="M33" s="86"/>
      <c r="N33" s="55" t="s">
        <v>305</v>
      </c>
      <c r="O33" s="23"/>
      <c r="P33" s="50"/>
      <c r="Q33" s="50"/>
      <c r="T33" s="447" t="s">
        <v>1204</v>
      </c>
    </row>
    <row r="34" spans="1:20" ht="21.6" customHeight="1">
      <c r="B34" s="27" t="str">
        <f t="shared" ref="B34:B39" si="1">+$E$3</f>
        <v>Alma Viva</v>
      </c>
      <c r="C34" s="475">
        <v>46080</v>
      </c>
      <c r="D34" s="23" t="s">
        <v>1205</v>
      </c>
      <c r="E34" s="29" t="s">
        <v>533</v>
      </c>
      <c r="F34" s="416" t="s">
        <v>1206</v>
      </c>
      <c r="G34" s="39" t="s">
        <v>64</v>
      </c>
      <c r="H34" s="419" t="s">
        <v>1207</v>
      </c>
      <c r="I34" s="40">
        <v>389323.55</v>
      </c>
      <c r="J34" s="40"/>
      <c r="K34" s="48" t="s">
        <v>201</v>
      </c>
      <c r="L34" s="266" t="s">
        <v>209</v>
      </c>
      <c r="M34" s="266" t="s">
        <v>209</v>
      </c>
      <c r="N34" s="55" t="s">
        <v>305</v>
      </c>
      <c r="O34" s="23"/>
      <c r="P34" s="50"/>
      <c r="Q34" s="50"/>
    </row>
    <row r="35" spans="1:20" ht="21.6" customHeight="1">
      <c r="B35" s="152" t="str">
        <f t="shared" si="1"/>
        <v>Alma Viva</v>
      </c>
      <c r="C35" s="475">
        <v>46080</v>
      </c>
      <c r="D35" s="23" t="s">
        <v>1208</v>
      </c>
      <c r="E35" s="29" t="s">
        <v>533</v>
      </c>
      <c r="F35" s="416" t="s">
        <v>1209</v>
      </c>
      <c r="G35" s="39" t="s">
        <v>64</v>
      </c>
      <c r="H35" s="419" t="s">
        <v>1207</v>
      </c>
      <c r="I35" s="40">
        <v>44704.66</v>
      </c>
      <c r="J35" s="40"/>
      <c r="K35" s="48" t="s">
        <v>201</v>
      </c>
      <c r="L35" s="266" t="s">
        <v>209</v>
      </c>
      <c r="M35" s="266" t="s">
        <v>209</v>
      </c>
      <c r="N35" s="55" t="s">
        <v>305</v>
      </c>
      <c r="O35" s="23"/>
      <c r="P35" s="50"/>
      <c r="Q35" s="50"/>
    </row>
    <row r="36" spans="1:20" ht="21.6" customHeight="1">
      <c r="B36" s="152" t="str">
        <f t="shared" si="1"/>
        <v>Alma Viva</v>
      </c>
      <c r="C36" s="475">
        <v>46080</v>
      </c>
      <c r="D36" s="23" t="s">
        <v>1210</v>
      </c>
      <c r="E36" s="29" t="s">
        <v>533</v>
      </c>
      <c r="F36" s="416" t="s">
        <v>1211</v>
      </c>
      <c r="G36" s="39" t="s">
        <v>64</v>
      </c>
      <c r="H36" s="419" t="s">
        <v>1207</v>
      </c>
      <c r="I36" s="40">
        <v>230045.12</v>
      </c>
      <c r="J36" s="40"/>
      <c r="K36" s="48" t="s">
        <v>201</v>
      </c>
      <c r="L36" s="266" t="s">
        <v>209</v>
      </c>
      <c r="M36" s="266" t="s">
        <v>209</v>
      </c>
      <c r="N36" s="55" t="s">
        <v>305</v>
      </c>
      <c r="O36" s="23"/>
      <c r="P36" s="50"/>
      <c r="Q36" s="50"/>
    </row>
    <row r="37" spans="1:20" ht="21.6" customHeight="1">
      <c r="B37" s="152" t="str">
        <f t="shared" si="1"/>
        <v>Alma Viva</v>
      </c>
      <c r="C37" s="475">
        <v>46080</v>
      </c>
      <c r="D37" s="23" t="s">
        <v>1212</v>
      </c>
      <c r="E37" s="29" t="s">
        <v>533</v>
      </c>
      <c r="F37" s="416" t="s">
        <v>1211</v>
      </c>
      <c r="G37" s="39" t="s">
        <v>64</v>
      </c>
      <c r="H37" s="419" t="s">
        <v>1207</v>
      </c>
      <c r="I37" s="40">
        <v>2361540.08</v>
      </c>
      <c r="J37" s="40"/>
      <c r="K37" s="48" t="s">
        <v>201</v>
      </c>
      <c r="L37" s="266" t="s">
        <v>209</v>
      </c>
      <c r="M37" s="266" t="s">
        <v>209</v>
      </c>
      <c r="N37" s="55" t="s">
        <v>305</v>
      </c>
      <c r="O37" s="23"/>
      <c r="P37" s="50"/>
      <c r="Q37" s="50"/>
    </row>
    <row r="38" spans="1:20" ht="21.6" customHeight="1">
      <c r="B38" s="152" t="str">
        <f t="shared" si="1"/>
        <v>Alma Viva</v>
      </c>
      <c r="C38" s="475">
        <v>46080</v>
      </c>
      <c r="D38" s="23" t="s">
        <v>1213</v>
      </c>
      <c r="E38" s="29" t="s">
        <v>533</v>
      </c>
      <c r="F38" s="416" t="s">
        <v>1211</v>
      </c>
      <c r="G38" s="39" t="s">
        <v>64</v>
      </c>
      <c r="H38" s="419" t="s">
        <v>1207</v>
      </c>
      <c r="I38" s="40">
        <v>395163.41</v>
      </c>
      <c r="J38" s="40"/>
      <c r="K38" s="48" t="s">
        <v>201</v>
      </c>
      <c r="L38" s="266" t="s">
        <v>209</v>
      </c>
      <c r="M38" s="266" t="s">
        <v>209</v>
      </c>
      <c r="N38" s="55" t="s">
        <v>305</v>
      </c>
      <c r="O38" s="23"/>
      <c r="P38" s="50"/>
      <c r="Q38" s="50"/>
    </row>
    <row r="39" spans="1:20" ht="21.6" customHeight="1">
      <c r="B39" s="152" t="str">
        <f t="shared" si="1"/>
        <v>Alma Viva</v>
      </c>
      <c r="C39" s="475">
        <v>46080</v>
      </c>
      <c r="D39" s="23" t="s">
        <v>1214</v>
      </c>
      <c r="E39" s="29" t="s">
        <v>533</v>
      </c>
      <c r="F39" s="416" t="s">
        <v>1215</v>
      </c>
      <c r="G39" s="39" t="s">
        <v>64</v>
      </c>
      <c r="H39" s="419" t="s">
        <v>1207</v>
      </c>
      <c r="I39" s="40">
        <v>435600</v>
      </c>
      <c r="J39" s="40"/>
      <c r="K39" s="48" t="s">
        <v>201</v>
      </c>
      <c r="L39" s="266" t="s">
        <v>209</v>
      </c>
      <c r="M39" s="266" t="s">
        <v>209</v>
      </c>
      <c r="N39" s="55" t="s">
        <v>305</v>
      </c>
      <c r="O39" s="23"/>
      <c r="P39" s="50"/>
      <c r="Q39" s="50"/>
    </row>
    <row r="40" spans="1:20" ht="21.6" customHeight="1">
      <c r="B40" s="27" t="str">
        <f t="shared" ref="B40:B44" si="2">+$E$3</f>
        <v>Alma Viva</v>
      </c>
      <c r="C40" s="475">
        <v>46080</v>
      </c>
      <c r="D40" s="23" t="s">
        <v>1216</v>
      </c>
      <c r="E40" s="29" t="s">
        <v>533</v>
      </c>
      <c r="F40" s="416" t="s">
        <v>1217</v>
      </c>
      <c r="G40" s="39" t="s">
        <v>64</v>
      </c>
      <c r="H40" s="419" t="s">
        <v>1207</v>
      </c>
      <c r="I40" s="40">
        <v>10001.959999999999</v>
      </c>
      <c r="J40" s="40"/>
      <c r="K40" s="48" t="s">
        <v>201</v>
      </c>
      <c r="L40" s="266" t="s">
        <v>209</v>
      </c>
      <c r="M40" s="266" t="s">
        <v>209</v>
      </c>
      <c r="N40" s="55" t="s">
        <v>305</v>
      </c>
      <c r="O40" s="23"/>
      <c r="P40" s="50"/>
      <c r="Q40" s="50"/>
    </row>
    <row r="41" spans="1:20" ht="21.6" customHeight="1">
      <c r="B41" s="152" t="str">
        <f t="shared" si="2"/>
        <v>Alma Viva</v>
      </c>
      <c r="C41" s="475">
        <v>46080</v>
      </c>
      <c r="D41" s="23" t="s">
        <v>1218</v>
      </c>
      <c r="E41" s="29" t="s">
        <v>533</v>
      </c>
      <c r="F41" s="416" t="s">
        <v>1209</v>
      </c>
      <c r="G41" s="39" t="s">
        <v>64</v>
      </c>
      <c r="H41" s="419" t="s">
        <v>1207</v>
      </c>
      <c r="I41" s="40">
        <v>241727.75</v>
      </c>
      <c r="J41" s="40"/>
      <c r="K41" s="48" t="s">
        <v>201</v>
      </c>
      <c r="L41" s="266" t="s">
        <v>209</v>
      </c>
      <c r="M41" s="266" t="s">
        <v>209</v>
      </c>
      <c r="N41" s="55" t="s">
        <v>305</v>
      </c>
      <c r="O41" s="23"/>
      <c r="P41" s="50"/>
      <c r="Q41" s="50"/>
    </row>
    <row r="42" spans="1:20" ht="21.6" customHeight="1">
      <c r="B42" s="152" t="str">
        <f t="shared" si="2"/>
        <v>Alma Viva</v>
      </c>
      <c r="C42" s="475">
        <v>46080</v>
      </c>
      <c r="D42" s="23" t="s">
        <v>1219</v>
      </c>
      <c r="E42" s="29" t="s">
        <v>533</v>
      </c>
      <c r="F42" s="416" t="s">
        <v>1206</v>
      </c>
      <c r="G42" s="39" t="s">
        <v>64</v>
      </c>
      <c r="H42" s="419" t="s">
        <v>1207</v>
      </c>
      <c r="I42" s="40">
        <v>228291.55</v>
      </c>
      <c r="J42" s="40"/>
      <c r="K42" s="48" t="s">
        <v>201</v>
      </c>
      <c r="L42" s="266" t="s">
        <v>209</v>
      </c>
      <c r="M42" s="266" t="s">
        <v>209</v>
      </c>
      <c r="N42" s="55" t="s">
        <v>305</v>
      </c>
      <c r="O42" s="23"/>
      <c r="P42" s="50"/>
      <c r="Q42" s="50"/>
    </row>
    <row r="43" spans="1:20" ht="21.6" customHeight="1">
      <c r="B43" s="152" t="str">
        <f t="shared" si="2"/>
        <v>Alma Viva</v>
      </c>
      <c r="C43" s="475">
        <v>46080</v>
      </c>
      <c r="D43" s="23" t="s">
        <v>1220</v>
      </c>
      <c r="E43" s="29" t="s">
        <v>533</v>
      </c>
      <c r="F43" s="416" t="s">
        <v>1217</v>
      </c>
      <c r="G43" s="39" t="s">
        <v>64</v>
      </c>
      <c r="H43" s="419" t="s">
        <v>1207</v>
      </c>
      <c r="I43" s="40">
        <v>10212</v>
      </c>
      <c r="J43" s="40"/>
      <c r="K43" s="48" t="s">
        <v>201</v>
      </c>
      <c r="L43" s="266" t="s">
        <v>209</v>
      </c>
      <c r="M43" s="266" t="s">
        <v>209</v>
      </c>
      <c r="N43" s="55" t="s">
        <v>305</v>
      </c>
      <c r="O43" s="23"/>
      <c r="P43" s="50"/>
      <c r="Q43" s="50"/>
    </row>
    <row r="44" spans="1:20" ht="21.6" customHeight="1">
      <c r="B44" s="152" t="str">
        <f t="shared" si="2"/>
        <v>Alma Viva</v>
      </c>
      <c r="C44" s="222">
        <v>46086</v>
      </c>
      <c r="D44" s="42" t="s">
        <v>364</v>
      </c>
      <c r="E44" s="42" t="s">
        <v>1121</v>
      </c>
      <c r="F44" s="416" t="s">
        <v>1221</v>
      </c>
      <c r="G44" s="39" t="s">
        <v>64</v>
      </c>
      <c r="H44" s="419" t="s">
        <v>1222</v>
      </c>
      <c r="I44" s="40">
        <v>3000000</v>
      </c>
      <c r="J44" s="40"/>
      <c r="K44" s="48" t="s">
        <v>201</v>
      </c>
      <c r="L44" s="266" t="s">
        <v>209</v>
      </c>
      <c r="M44" s="284" t="s">
        <v>209</v>
      </c>
      <c r="N44" s="55" t="s">
        <v>305</v>
      </c>
      <c r="O44" s="23"/>
      <c r="P44" s="50"/>
      <c r="Q44" s="50"/>
      <c r="T44" s="447" t="s">
        <v>1223</v>
      </c>
    </row>
    <row r="45" spans="1:20" s="138" customFormat="1" ht="28.9">
      <c r="A45" s="168" t="s">
        <v>218</v>
      </c>
      <c r="B45" s="170"/>
      <c r="C45" s="171">
        <v>46093</v>
      </c>
      <c r="D45" s="171"/>
      <c r="E45" s="130"/>
      <c r="F45" s="465"/>
      <c r="G45" s="131"/>
      <c r="H45" s="465"/>
      <c r="I45" s="132"/>
      <c r="J45" s="132"/>
      <c r="K45" s="133"/>
      <c r="L45" s="134"/>
      <c r="M45" s="134"/>
      <c r="N45" s="135"/>
      <c r="O45" s="136"/>
      <c r="P45" s="137"/>
      <c r="Q45" s="137"/>
    </row>
    <row r="46" spans="1:20" s="138" customFormat="1" ht="28.9">
      <c r="A46" s="168" t="s">
        <v>218</v>
      </c>
      <c r="B46" s="170"/>
      <c r="C46" s="171">
        <v>46107</v>
      </c>
      <c r="D46" s="171"/>
      <c r="E46" s="130"/>
      <c r="F46" s="465"/>
      <c r="G46" s="131"/>
      <c r="H46" s="465"/>
      <c r="I46" s="132"/>
      <c r="J46" s="132"/>
      <c r="K46" s="133"/>
      <c r="L46" s="134"/>
      <c r="M46" s="134"/>
      <c r="N46" s="135"/>
      <c r="O46" s="136"/>
      <c r="P46" s="137"/>
      <c r="Q46" s="137"/>
    </row>
    <row r="47" spans="1:20" s="311" customFormat="1">
      <c r="A47" s="375" t="s">
        <v>257</v>
      </c>
      <c r="B47" s="361" t="str">
        <f t="shared" ref="B47:B48" si="3">+$E$3</f>
        <v>Alma Viva</v>
      </c>
      <c r="C47" s="302">
        <v>46149</v>
      </c>
      <c r="D47" s="303"/>
      <c r="E47" s="362"/>
      <c r="F47" s="467"/>
      <c r="G47" s="304"/>
      <c r="H47" s="467"/>
      <c r="I47" s="305"/>
      <c r="J47" s="305"/>
      <c r="K47" s="363"/>
      <c r="L47" s="364"/>
      <c r="M47" s="308"/>
      <c r="N47" s="308"/>
      <c r="O47" s="365"/>
      <c r="P47" s="366"/>
      <c r="Q47" s="366"/>
      <c r="T47" s="360"/>
    </row>
    <row r="48" spans="1:20" s="311" customFormat="1" ht="18.600000000000001" customHeight="1">
      <c r="A48" s="367" t="s">
        <v>257</v>
      </c>
      <c r="B48" s="361" t="str">
        <f t="shared" si="3"/>
        <v>Alma Viva</v>
      </c>
      <c r="C48" s="302">
        <v>46163</v>
      </c>
      <c r="D48" s="303"/>
      <c r="E48" s="362"/>
      <c r="F48" s="467"/>
      <c r="G48" s="304"/>
      <c r="H48" s="467"/>
      <c r="I48" s="305"/>
      <c r="J48" s="305"/>
      <c r="K48" s="363"/>
      <c r="L48" s="364"/>
      <c r="M48" s="308"/>
      <c r="N48" s="308"/>
      <c r="O48" s="365"/>
      <c r="P48" s="366"/>
      <c r="Q48" s="366"/>
      <c r="T48" s="360"/>
    </row>
    <row r="49" spans="2:17" ht="21.6" customHeight="1">
      <c r="B49" s="152" t="str">
        <f t="shared" si="0"/>
        <v>Alma Viva</v>
      </c>
      <c r="C49" s="27"/>
      <c r="D49" s="42"/>
      <c r="E49" s="42"/>
      <c r="F49" s="416"/>
      <c r="G49" s="39"/>
      <c r="H49" s="419"/>
      <c r="I49" s="40"/>
      <c r="J49" s="40"/>
      <c r="K49" s="4"/>
      <c r="L49" s="2"/>
      <c r="M49" s="56"/>
      <c r="N49" s="56"/>
      <c r="O49" s="2"/>
      <c r="P49" s="50"/>
      <c r="Q49" s="50"/>
    </row>
    <row r="50" spans="2:17" ht="21.6" customHeight="1">
      <c r="B50" s="152" t="str">
        <f t="shared" si="0"/>
        <v>Alma Viva</v>
      </c>
      <c r="C50" s="27"/>
      <c r="D50" s="42"/>
      <c r="E50" s="42"/>
      <c r="F50" s="416"/>
      <c r="G50" s="39"/>
      <c r="H50" s="419"/>
      <c r="I50" s="40"/>
      <c r="J50" s="40"/>
      <c r="K50" s="4"/>
      <c r="L50" s="2"/>
      <c r="M50" s="56"/>
      <c r="N50" s="56"/>
      <c r="O50" s="2"/>
      <c r="P50" s="50"/>
      <c r="Q50" s="50"/>
    </row>
    <row r="51" spans="2:17" ht="21.6" customHeight="1">
      <c r="B51" s="152" t="str">
        <f t="shared" si="0"/>
        <v>Alma Viva</v>
      </c>
      <c r="C51" s="27"/>
      <c r="D51" s="42"/>
      <c r="E51" s="42"/>
      <c r="F51" s="416"/>
      <c r="G51" s="39"/>
      <c r="H51" s="419"/>
      <c r="I51" s="40"/>
      <c r="J51" s="40"/>
      <c r="K51" s="4"/>
      <c r="L51" s="2"/>
      <c r="M51" s="56"/>
      <c r="N51" s="56"/>
      <c r="O51" s="2"/>
      <c r="P51" s="50"/>
      <c r="Q51" s="50"/>
    </row>
    <row r="52" spans="2:17" ht="21.6" customHeight="1">
      <c r="B52" s="152" t="str">
        <f t="shared" si="0"/>
        <v>Alma Viva</v>
      </c>
      <c r="C52" s="27"/>
      <c r="D52" s="42"/>
      <c r="E52" s="42"/>
      <c r="F52" s="416"/>
      <c r="G52" s="39"/>
      <c r="H52" s="419"/>
      <c r="I52" s="40"/>
      <c r="J52" s="40"/>
      <c r="K52" s="4"/>
      <c r="L52" s="2"/>
      <c r="M52" s="56"/>
      <c r="N52" s="56"/>
      <c r="O52" s="2"/>
      <c r="P52" s="50"/>
      <c r="Q52" s="50"/>
    </row>
    <row r="53" spans="2:17" ht="21.6" customHeight="1">
      <c r="B53" s="152" t="str">
        <f t="shared" si="0"/>
        <v>Alma Viva</v>
      </c>
      <c r="C53" s="27"/>
      <c r="D53" s="42"/>
      <c r="E53" s="42"/>
      <c r="F53" s="416"/>
      <c r="G53" s="39"/>
      <c r="H53" s="419"/>
      <c r="I53" s="40"/>
      <c r="J53" s="40"/>
      <c r="K53" s="4"/>
      <c r="L53" s="2"/>
      <c r="M53" s="56"/>
      <c r="N53" s="56"/>
      <c r="O53" s="2"/>
      <c r="P53" s="50"/>
      <c r="Q53" s="50"/>
    </row>
    <row r="54" spans="2:17" ht="21.6" customHeight="1">
      <c r="B54" s="152" t="str">
        <f t="shared" si="0"/>
        <v>Alma Viva</v>
      </c>
      <c r="C54" s="27"/>
      <c r="D54" s="42"/>
      <c r="E54" s="42"/>
      <c r="F54" s="416"/>
      <c r="G54" s="39"/>
      <c r="H54" s="419"/>
      <c r="I54" s="40"/>
      <c r="J54" s="40"/>
      <c r="K54" s="4"/>
      <c r="L54" s="2"/>
      <c r="M54" s="56"/>
      <c r="N54" s="56"/>
      <c r="O54" s="2"/>
      <c r="P54" s="50"/>
      <c r="Q54" s="50"/>
    </row>
    <row r="55" spans="2:17" ht="20.100000000000001" customHeight="1">
      <c r="B55" s="152" t="str">
        <f t="shared" si="0"/>
        <v>Alma Viva</v>
      </c>
      <c r="C55" s="27"/>
      <c r="D55" s="490"/>
      <c r="E55" s="42"/>
      <c r="F55" s="419"/>
      <c r="G55" s="53"/>
      <c r="H55" s="469"/>
      <c r="I55" s="4"/>
      <c r="J55" s="4"/>
      <c r="K55" s="4"/>
      <c r="L55" s="14"/>
      <c r="M55" s="56"/>
      <c r="N55" s="56"/>
      <c r="O55" s="2"/>
      <c r="P55" s="50"/>
      <c r="Q55" s="50"/>
    </row>
    <row r="56" spans="2:17" ht="20.100000000000001" customHeight="1" thickBot="1">
      <c r="B56" s="6"/>
      <c r="G56" s="15"/>
      <c r="H56" s="30"/>
      <c r="I56" s="30"/>
      <c r="J56" s="30"/>
      <c r="N56" s="14"/>
    </row>
    <row r="57" spans="2:17" ht="19.350000000000001" customHeight="1" thickBot="1">
      <c r="B57" s="6"/>
      <c r="H57" s="5" t="s">
        <v>258</v>
      </c>
      <c r="I57" s="32">
        <f>SUM(I10:I55)</f>
        <v>9917994.0800000001</v>
      </c>
      <c r="J57" s="31"/>
    </row>
    <row r="58" spans="2:17" ht="13.35" customHeight="1">
      <c r="B58" s="6"/>
      <c r="G58" s="15"/>
      <c r="H58" s="30"/>
      <c r="I58" s="30"/>
      <c r="J58" s="30"/>
    </row>
    <row r="59" spans="2:17">
      <c r="B59" s="6"/>
      <c r="G59" s="15"/>
      <c r="H59" s="30"/>
      <c r="I59" s="30"/>
      <c r="J59" s="30"/>
    </row>
    <row r="60" spans="2:17">
      <c r="B60" s="6"/>
      <c r="G60" s="15"/>
      <c r="H60" s="30"/>
      <c r="I60" s="30"/>
      <c r="J60" s="30"/>
    </row>
    <row r="61" spans="2:17">
      <c r="B61" s="6"/>
      <c r="H61" s="20"/>
      <c r="I61" s="20"/>
      <c r="J61" s="20"/>
    </row>
    <row r="62" spans="2:17">
      <c r="B62" s="6"/>
      <c r="H62" s="20"/>
      <c r="I62" s="20"/>
      <c r="J62" s="20"/>
    </row>
    <row r="63" spans="2:17">
      <c r="B63" s="6"/>
      <c r="H63" s="20"/>
      <c r="I63" s="20"/>
      <c r="J63" s="20"/>
    </row>
    <row r="64" spans="2:17">
      <c r="B64" s="6"/>
      <c r="H64" s="20"/>
      <c r="I64" s="20"/>
      <c r="J64" s="20"/>
    </row>
    <row r="65" spans="2:10">
      <c r="B65" s="6"/>
      <c r="H65" s="20"/>
      <c r="I65" s="20"/>
      <c r="J65" s="20"/>
    </row>
    <row r="66" spans="2:10">
      <c r="B66" s="6"/>
      <c r="H66" s="20"/>
      <c r="I66" s="20"/>
      <c r="J66" s="20"/>
    </row>
    <row r="67" spans="2:10">
      <c r="B67" s="6"/>
      <c r="H67" s="20"/>
      <c r="I67" s="20"/>
      <c r="J67" s="20"/>
    </row>
    <row r="68" spans="2:10">
      <c r="B68" s="6"/>
      <c r="H68" s="20"/>
      <c r="I68" s="20"/>
      <c r="J68" s="20"/>
    </row>
    <row r="69" spans="2:10">
      <c r="B69" s="6"/>
      <c r="H69" s="20"/>
      <c r="I69" s="20"/>
      <c r="J69" s="20"/>
    </row>
    <row r="70" spans="2:10">
      <c r="B70" s="6"/>
      <c r="H70" s="20"/>
      <c r="I70" s="20"/>
      <c r="J70" s="20"/>
    </row>
    <row r="71" spans="2:10">
      <c r="B71" s="6"/>
      <c r="H71" s="20"/>
      <c r="I71" s="20"/>
      <c r="J71" s="20"/>
    </row>
    <row r="72" spans="2:10">
      <c r="B72" s="6"/>
      <c r="H72" s="20"/>
      <c r="I72" s="20"/>
      <c r="J72" s="20"/>
    </row>
    <row r="73" spans="2:10">
      <c r="B73" s="6"/>
      <c r="H73" s="20"/>
      <c r="I73" s="20"/>
      <c r="J73" s="20"/>
    </row>
    <row r="74" spans="2:10">
      <c r="B74" s="6"/>
      <c r="H74" s="20"/>
      <c r="I74" s="20"/>
      <c r="J74" s="20"/>
    </row>
    <row r="75" spans="2:10">
      <c r="B75" s="6"/>
      <c r="H75" s="20"/>
      <c r="I75" s="20"/>
      <c r="J75" s="20"/>
    </row>
    <row r="76" spans="2:10">
      <c r="B76" s="6"/>
      <c r="H76" s="20"/>
      <c r="I76" s="20"/>
      <c r="J76" s="20"/>
    </row>
    <row r="77" spans="2:10">
      <c r="B77" s="6"/>
      <c r="H77" s="20"/>
      <c r="I77" s="20"/>
      <c r="J77" s="20"/>
    </row>
    <row r="78" spans="2:10">
      <c r="B78" s="6"/>
      <c r="H78" s="20"/>
      <c r="I78" s="20"/>
      <c r="J78" s="20"/>
    </row>
    <row r="79" spans="2:10">
      <c r="B79" s="6"/>
      <c r="H79" s="20"/>
      <c r="I79" s="20"/>
      <c r="J79" s="20"/>
    </row>
    <row r="80" spans="2:10">
      <c r="B80" s="6"/>
      <c r="H80" s="20"/>
      <c r="I80" s="20"/>
      <c r="J80" s="20"/>
    </row>
    <row r="81" spans="2:10">
      <c r="B81" s="6"/>
      <c r="H81" s="20"/>
      <c r="I81" s="20"/>
      <c r="J81" s="20"/>
    </row>
    <row r="82" spans="2:10">
      <c r="B82" s="6"/>
      <c r="H82" s="20"/>
      <c r="I82" s="20"/>
      <c r="J82" s="20"/>
    </row>
    <row r="83" spans="2:10">
      <c r="B83" s="6"/>
      <c r="H83" s="20"/>
      <c r="I83" s="20"/>
      <c r="J83" s="20"/>
    </row>
    <row r="84" spans="2:10">
      <c r="B84" s="6"/>
      <c r="H84" s="20"/>
      <c r="I84" s="20"/>
      <c r="J84" s="20"/>
    </row>
    <row r="85" spans="2:10">
      <c r="B85" s="6"/>
      <c r="H85" s="20"/>
      <c r="I85" s="20"/>
      <c r="J85" s="20"/>
    </row>
    <row r="86" spans="2:10">
      <c r="B86" s="6"/>
      <c r="H86" s="20"/>
      <c r="I86" s="20"/>
      <c r="J86" s="20"/>
    </row>
    <row r="87" spans="2:10">
      <c r="B87" s="6"/>
      <c r="H87" s="20"/>
      <c r="I87" s="20"/>
      <c r="J87" s="20"/>
    </row>
    <row r="88" spans="2:10">
      <c r="B88" s="6"/>
      <c r="H88" s="20"/>
      <c r="I88" s="20"/>
      <c r="J88" s="20"/>
    </row>
    <row r="89" spans="2:10">
      <c r="B89" s="6"/>
      <c r="H89" s="20"/>
      <c r="I89" s="20"/>
      <c r="J89" s="20"/>
    </row>
    <row r="90" spans="2:10">
      <c r="B90" s="6"/>
      <c r="H90" s="20"/>
      <c r="I90" s="20"/>
      <c r="J90" s="20"/>
    </row>
    <row r="91" spans="2:10">
      <c r="B91" s="6"/>
      <c r="H91" s="20"/>
      <c r="I91" s="20"/>
      <c r="J91" s="20"/>
    </row>
    <row r="92" spans="2:10">
      <c r="B92" s="6"/>
      <c r="H92" s="20"/>
      <c r="I92" s="20"/>
      <c r="J92" s="20"/>
    </row>
    <row r="93" spans="2:10">
      <c r="B93" s="6"/>
      <c r="H93" s="20"/>
      <c r="I93" s="20"/>
      <c r="J93" s="20"/>
    </row>
    <row r="94" spans="2:10">
      <c r="B94" s="6"/>
      <c r="H94" s="20"/>
      <c r="I94" s="20"/>
      <c r="J94" s="20"/>
    </row>
    <row r="95" spans="2:10">
      <c r="B95" s="6"/>
      <c r="H95" s="20"/>
      <c r="I95" s="20"/>
      <c r="J95" s="20"/>
    </row>
    <row r="96" spans="2:10">
      <c r="B96" s="6"/>
      <c r="H96" s="20"/>
      <c r="I96" s="20"/>
      <c r="J96" s="20"/>
    </row>
    <row r="97" spans="2:10">
      <c r="B97" s="6"/>
      <c r="H97" s="20"/>
      <c r="I97" s="20"/>
      <c r="J97" s="20"/>
    </row>
    <row r="98" spans="2:10">
      <c r="B98" s="6"/>
      <c r="H98" s="20"/>
      <c r="I98" s="20"/>
      <c r="J98" s="20"/>
    </row>
  </sheetData>
  <mergeCells count="5">
    <mergeCell ref="D2:H2"/>
    <mergeCell ref="F3:G3"/>
    <mergeCell ref="F4:G4"/>
    <mergeCell ref="F5:G5"/>
    <mergeCell ref="F6:G6"/>
  </mergeCells>
  <phoneticPr fontId="5" type="noConversion"/>
  <conditionalFormatting sqref="L33:L43">
    <cfRule type="cellIs" dxfId="494" priority="15" operator="equal">
      <formula>"Cuenta Corriente"</formula>
    </cfRule>
    <cfRule type="cellIs" dxfId="493" priority="16" operator="equal">
      <formula>"No Pagado"</formula>
    </cfRule>
  </conditionalFormatting>
  <conditionalFormatting sqref="L24:M24">
    <cfRule type="containsText" dxfId="492" priority="78" operator="containsText" text="Pendiente">
      <formula>NOT(ISERROR(SEARCH("Pendiente",L24)))</formula>
    </cfRule>
    <cfRule type="containsText" dxfId="491" priority="79" operator="containsText" text="Pagado">
      <formula>NOT(ISERROR(SEARCH("Pagado",L24)))</formula>
    </cfRule>
    <cfRule type="containsText" dxfId="490" priority="80" operator="containsText" text="Para abonar">
      <formula>NOT(ISERROR(SEARCH("Para abonar",L24)))</formula>
    </cfRule>
  </conditionalFormatting>
  <conditionalFormatting sqref="L26:M26">
    <cfRule type="containsText" dxfId="489" priority="73" operator="containsText" text="Pendiente">
      <formula>NOT(ISERROR(SEARCH("Pendiente",L26)))</formula>
    </cfRule>
    <cfRule type="containsText" dxfId="488" priority="74" operator="containsText" text="Pagado">
      <formula>NOT(ISERROR(SEARCH("Pagado",L26)))</formula>
    </cfRule>
    <cfRule type="containsText" dxfId="487" priority="75" operator="containsText" text="Para abonar">
      <formula>NOT(ISERROR(SEARCH("Para abonar",L26)))</formula>
    </cfRule>
  </conditionalFormatting>
  <conditionalFormatting sqref="L29:M30">
    <cfRule type="containsText" dxfId="486" priority="53" operator="containsText" text="Pendiente">
      <formula>NOT(ISERROR(SEARCH("Pendiente",L29)))</formula>
    </cfRule>
    <cfRule type="containsText" dxfId="485" priority="54" operator="containsText" text="Pagado">
      <formula>NOT(ISERROR(SEARCH("Pagado",L29)))</formula>
    </cfRule>
    <cfRule type="containsText" dxfId="484" priority="55" operator="containsText" text="Para abonar">
      <formula>NOT(ISERROR(SEARCH("Para abonar",L29)))</formula>
    </cfRule>
  </conditionalFormatting>
  <conditionalFormatting sqref="L32:M32">
    <cfRule type="containsText" dxfId="483" priority="48" operator="containsText" text="Pendiente">
      <formula>NOT(ISERROR(SEARCH("Pendiente",L32)))</formula>
    </cfRule>
    <cfRule type="containsText" dxfId="482" priority="49" operator="containsText" text="Pagado">
      <formula>NOT(ISERROR(SEARCH("Pagado",L32)))</formula>
    </cfRule>
    <cfRule type="containsText" dxfId="481" priority="50" operator="containsText" text="Para abonar">
      <formula>NOT(ISERROR(SEARCH("Para abonar",L32)))</formula>
    </cfRule>
  </conditionalFormatting>
  <conditionalFormatting sqref="L44:M44">
    <cfRule type="cellIs" dxfId="480" priority="13" operator="equal">
      <formula>"Cuenta Corriente"</formula>
    </cfRule>
    <cfRule type="cellIs" dxfId="479" priority="14" operator="equal">
      <formula>"No Pagado"</formula>
    </cfRule>
  </conditionalFormatting>
  <conditionalFormatting sqref="L45:M46">
    <cfRule type="containsText" dxfId="478" priority="7" operator="containsText" text="Pendiente">
      <formula>NOT(ISERROR(SEARCH("Pendiente",L45)))</formula>
    </cfRule>
    <cfRule type="containsText" dxfId="477" priority="8" operator="containsText" text="Pagado">
      <formula>NOT(ISERROR(SEARCH("Pagado",L45)))</formula>
    </cfRule>
    <cfRule type="containsText" dxfId="476" priority="9" operator="containsText" text="Para abonar">
      <formula>NOT(ISERROR(SEARCH("Para abonar",L45)))</formula>
    </cfRule>
  </conditionalFormatting>
  <conditionalFormatting sqref="L10:N14 L16:N20 L22:N22 O49:O55 N56">
    <cfRule type="cellIs" dxfId="475" priority="97" operator="equal">
      <formula>"Cuenta Corriente"</formula>
    </cfRule>
    <cfRule type="cellIs" dxfId="474" priority="98" operator="equal">
      <formula>"No Pagado"</formula>
    </cfRule>
  </conditionalFormatting>
  <conditionalFormatting sqref="L25:N25 L31:N31 L49:N55">
    <cfRule type="cellIs" dxfId="473" priority="76" operator="equal">
      <formula>"Cuenta Corriente"</formula>
    </cfRule>
    <cfRule type="cellIs" dxfId="472" priority="77" operator="equal">
      <formula>"No Pagado"</formula>
    </cfRule>
  </conditionalFormatting>
  <conditionalFormatting sqref="L27:N28">
    <cfRule type="cellIs" dxfId="471" priority="61" operator="equal">
      <formula>"Cuenta Corriente"</formula>
    </cfRule>
    <cfRule type="cellIs" dxfId="470" priority="62" operator="equal">
      <formula>"No Pagado"</formula>
    </cfRule>
  </conditionalFormatting>
  <conditionalFormatting sqref="L15:O15">
    <cfRule type="cellIs" dxfId="469" priority="90" operator="equal">
      <formula>"Cuenta Corriente"</formula>
    </cfRule>
    <cfRule type="cellIs" dxfId="468" priority="91" operator="equal">
      <formula>"No Pagado"</formula>
    </cfRule>
  </conditionalFormatting>
  <conditionalFormatting sqref="L21:O21">
    <cfRule type="cellIs" dxfId="467" priority="88" operator="equal">
      <formula>"Cuenta Corriente"</formula>
    </cfRule>
    <cfRule type="cellIs" dxfId="466" priority="89" operator="equal">
      <formula>"No Pagado"</formula>
    </cfRule>
  </conditionalFormatting>
  <conditionalFormatting sqref="L23:O23">
    <cfRule type="cellIs" dxfId="465" priority="86" operator="equal">
      <formula>"Cuenta Corriente"</formula>
    </cfRule>
    <cfRule type="cellIs" dxfId="464" priority="87" operator="equal">
      <formula>"No Pagado"</formula>
    </cfRule>
  </conditionalFormatting>
  <conditionalFormatting sqref="L47:O48">
    <cfRule type="cellIs" dxfId="463" priority="1" operator="equal">
      <formula>"Cuenta Corriente"</formula>
    </cfRule>
    <cfRule type="cellIs" dxfId="462" priority="2" operator="equal">
      <formula>"No Pagado"</formula>
    </cfRule>
  </conditionalFormatting>
  <conditionalFormatting sqref="M33:M43">
    <cfRule type="cellIs" dxfId="461" priority="33" operator="equal">
      <formula>"Cuenta Corriente"</formula>
    </cfRule>
    <cfRule type="cellIs" dxfId="460" priority="34" operator="equal">
      <formula>"No Pagado"</formula>
    </cfRule>
  </conditionalFormatting>
  <conditionalFormatting sqref="N24">
    <cfRule type="cellIs" dxfId="459" priority="81" operator="equal">
      <formula>"Cuenta Corriente"</formula>
    </cfRule>
    <cfRule type="cellIs" dxfId="458" priority="82" operator="equal">
      <formula>"No Pagado"</formula>
    </cfRule>
  </conditionalFormatting>
  <conditionalFormatting sqref="N26">
    <cfRule type="cellIs" dxfId="457" priority="71" operator="equal">
      <formula>"Cuenta Corriente"</formula>
    </cfRule>
    <cfRule type="cellIs" dxfId="456" priority="72" operator="equal">
      <formula>"No Pagado"</formula>
    </cfRule>
  </conditionalFormatting>
  <conditionalFormatting sqref="N29:N30">
    <cfRule type="cellIs" dxfId="455" priority="51" operator="equal">
      <formula>"Cuenta Corriente"</formula>
    </cfRule>
    <cfRule type="cellIs" dxfId="454" priority="52" operator="equal">
      <formula>"No Pagado"</formula>
    </cfRule>
  </conditionalFormatting>
  <conditionalFormatting sqref="N32:N46">
    <cfRule type="cellIs" dxfId="453" priority="5" operator="equal">
      <formula>"Cuenta Corriente"</formula>
    </cfRule>
    <cfRule type="cellIs" dxfId="452" priority="6" operator="equal">
      <formula>"No Pagado"</formula>
    </cfRule>
  </conditionalFormatting>
  <conditionalFormatting sqref="O10:O14 O16:O20 O22">
    <cfRule type="containsText" dxfId="451" priority="92" operator="containsText" text="Pendiente">
      <formula>NOT(ISERROR(SEARCH("Pendiente",O10)))</formula>
    </cfRule>
    <cfRule type="containsText" dxfId="450" priority="93" operator="containsText" text="Pagado">
      <formula>NOT(ISERROR(SEARCH("Pagado",O10)))</formula>
    </cfRule>
    <cfRule type="containsText" dxfId="449" priority="94" operator="containsText" text="Para abonar">
      <formula>NOT(ISERROR(SEARCH("Para abonar",O10)))</formula>
    </cfRule>
  </conditionalFormatting>
  <conditionalFormatting sqref="O24:O46">
    <cfRule type="containsText" dxfId="448" priority="10" operator="containsText" text="Pendiente">
      <formula>NOT(ISERROR(SEARCH("Pendiente",O24)))</formula>
    </cfRule>
    <cfRule type="containsText" dxfId="447" priority="11" operator="containsText" text="Pagado">
      <formula>NOT(ISERROR(SEARCH("Pagado",O24)))</formula>
    </cfRule>
    <cfRule type="containsText" dxfId="446" priority="12" operator="containsText" text="Para abonar">
      <formula>NOT(ISERROR(SEARCH("Para abonar",O24)))</formula>
    </cfRule>
  </conditionalFormatting>
  <pageMargins left="0.7" right="0.7" top="0.75" bottom="0.75" header="0.3" footer="0.3"/>
  <pageSetup orientation="portrait" horizontalDpi="300" verticalDpi="3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DA608A4-1803-47C0-A383-189B7123021E}">
          <x14:formula1>
            <xm:f>Consultas!$B$9:$B$11</xm:f>
          </x14:formula1>
          <xm:sqref>N56 O10:O44 L10:M44 N45:N46 K45:K46 O47:O55 L47:M55</xm:sqref>
        </x14:dataValidation>
        <x14:dataValidation type="list" allowBlank="1" showInputMessage="1" showErrorMessage="1" xr:uid="{C8A0231D-5606-436A-AE89-72C10A0DF887}">
          <x14:formula1>
            <xm:f>Consultas!$B$13:$B$15</xm:f>
          </x14:formula1>
          <xm:sqref>N10:N44 L45:M46 N47:N55</xm:sqref>
        </x14:dataValidation>
        <x14:dataValidation type="list" allowBlank="1" showInputMessage="1" showErrorMessage="1" xr:uid="{0BAAD2A6-784F-40A9-839A-EA6D3216E978}">
          <x14:formula1>
            <xm:f>Proveedores!$B$3:$B$111</xm:f>
          </x14:formula1>
          <xm:sqref>G10:G44 F45:F46 G47:G125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24C3-CD41-4CCA-B6CE-54F6EBB2BF8A}">
  <dimension ref="A1:T93"/>
  <sheetViews>
    <sheetView topLeftCell="A14" zoomScale="85" zoomScaleNormal="85" workbookViewId="0">
      <selection activeCell="A28" sqref="A28:XFD28"/>
    </sheetView>
  </sheetViews>
  <sheetFormatPr defaultColWidth="11.42578125" defaultRowHeight="14.45"/>
  <cols>
    <col min="1" max="1" width="12.85546875" customWidth="1"/>
    <col min="2" max="2" width="18.7109375" customWidth="1"/>
    <col min="3" max="3" width="17" customWidth="1"/>
    <col min="4" max="4" width="14.85546875" bestFit="1" customWidth="1"/>
    <col min="5" max="5" width="16" bestFit="1" customWidth="1"/>
    <col min="6" max="6" width="53.7109375" bestFit="1" customWidth="1"/>
    <col min="7" max="7" width="18.42578125" customWidth="1"/>
    <col min="8" max="8" width="18" customWidth="1"/>
    <col min="9" max="9" width="16.42578125" customWidth="1"/>
    <col min="10" max="10" width="17.85546875" customWidth="1"/>
    <col min="11" max="12" width="12.7109375" customWidth="1"/>
    <col min="13" max="13" width="15.28515625" customWidth="1"/>
  </cols>
  <sheetData>
    <row r="1" spans="1:18" ht="15" thickBot="1">
      <c r="B1" s="6"/>
    </row>
    <row r="2" spans="1:18" ht="24" thickBot="1">
      <c r="B2" s="6"/>
      <c r="D2" s="420" t="s">
        <v>176</v>
      </c>
      <c r="E2" s="421"/>
      <c r="F2" s="421"/>
      <c r="G2" s="421"/>
      <c r="H2" s="422"/>
      <c r="I2" s="28"/>
    </row>
    <row r="3" spans="1:18" ht="18" customHeight="1">
      <c r="B3" s="6"/>
      <c r="D3" s="8" t="s">
        <v>177</v>
      </c>
      <c r="E3" s="36" t="s">
        <v>1224</v>
      </c>
      <c r="F3" s="423"/>
      <c r="G3" s="424"/>
      <c r="H3" s="37"/>
      <c r="I3" s="15"/>
    </row>
    <row r="4" spans="1:18">
      <c r="B4" s="6"/>
      <c r="D4" s="9" t="s">
        <v>179</v>
      </c>
      <c r="E4" s="449" t="s">
        <v>1225</v>
      </c>
      <c r="F4" s="450" t="s">
        <v>180</v>
      </c>
      <c r="G4" s="451"/>
      <c r="H4" s="35" t="s">
        <v>261</v>
      </c>
      <c r="I4" s="452"/>
    </row>
    <row r="5" spans="1:18">
      <c r="B5" s="6"/>
      <c r="D5" s="9"/>
      <c r="E5" s="1"/>
      <c r="F5" s="453"/>
      <c r="G5" s="454"/>
      <c r="H5" s="10"/>
      <c r="I5" s="15"/>
    </row>
    <row r="6" spans="1:18" ht="15" thickBot="1">
      <c r="B6" s="6"/>
      <c r="D6" s="11"/>
      <c r="E6" s="12"/>
      <c r="F6" s="455"/>
      <c r="G6" s="456"/>
      <c r="H6" s="13"/>
      <c r="I6" s="15"/>
    </row>
    <row r="7" spans="1:18">
      <c r="B7" s="6"/>
    </row>
    <row r="8" spans="1:18" ht="15" thickBot="1">
      <c r="B8" s="6"/>
    </row>
    <row r="9" spans="1:18" ht="52.5" customHeigh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18" ht="21" customHeight="1">
      <c r="B10" s="152" t="str">
        <f t="shared" ref="B10:B50" si="0">+$E$3</f>
        <v>LOSA HERRERA</v>
      </c>
      <c r="C10" s="27">
        <v>46035</v>
      </c>
      <c r="D10" s="23" t="s">
        <v>867</v>
      </c>
      <c r="E10" s="29" t="s">
        <v>533</v>
      </c>
      <c r="F10" s="220" t="s">
        <v>1226</v>
      </c>
      <c r="G10" s="39" t="s">
        <v>14</v>
      </c>
      <c r="H10" s="88" t="s">
        <v>216</v>
      </c>
      <c r="I10" s="40">
        <v>50000</v>
      </c>
      <c r="J10" s="40"/>
      <c r="K10" s="48" t="s">
        <v>201</v>
      </c>
      <c r="L10" s="266" t="s">
        <v>209</v>
      </c>
      <c r="M10" s="284"/>
      <c r="N10" s="56" t="s">
        <v>305</v>
      </c>
      <c r="O10" s="23"/>
      <c r="P10" s="50"/>
      <c r="Q10" s="50"/>
    </row>
    <row r="11" spans="1:18" s="138" customFormat="1" ht="28.9">
      <c r="A11" s="168" t="s">
        <v>218</v>
      </c>
      <c r="B11" s="169"/>
      <c r="C11" s="170"/>
      <c r="D11" s="171">
        <v>46037</v>
      </c>
      <c r="E11" s="130"/>
      <c r="F11" s="130"/>
      <c r="G11" s="465"/>
      <c r="H11" s="131"/>
      <c r="I11" s="465"/>
      <c r="J11" s="465"/>
      <c r="K11" s="132"/>
      <c r="L11" s="133"/>
      <c r="M11" s="133"/>
      <c r="N11" s="134"/>
      <c r="O11" s="135"/>
      <c r="P11" s="136"/>
      <c r="Q11" s="137"/>
      <c r="R11" s="137"/>
    </row>
    <row r="12" spans="1:18" ht="21" customHeight="1">
      <c r="B12" s="152" t="str">
        <f t="shared" si="0"/>
        <v>LOSA HERRERA</v>
      </c>
      <c r="C12" s="25">
        <v>46038</v>
      </c>
      <c r="D12" s="23" t="s">
        <v>364</v>
      </c>
      <c r="E12" s="29" t="s">
        <v>1227</v>
      </c>
      <c r="F12" s="462" t="s">
        <v>1202</v>
      </c>
      <c r="G12" s="119" t="s">
        <v>77</v>
      </c>
      <c r="H12" s="461" t="s">
        <v>817</v>
      </c>
      <c r="I12" s="44">
        <v>200000</v>
      </c>
      <c r="J12" s="48"/>
      <c r="K12" s="48" t="s">
        <v>201</v>
      </c>
      <c r="L12" s="266" t="s">
        <v>209</v>
      </c>
      <c r="M12" s="284"/>
      <c r="N12" s="56" t="s">
        <v>305</v>
      </c>
      <c r="O12" s="23"/>
      <c r="P12" s="49">
        <v>3220</v>
      </c>
      <c r="Q12" s="49"/>
    </row>
    <row r="13" spans="1:18" ht="27" customHeight="1">
      <c r="B13" s="152" t="str">
        <f t="shared" si="0"/>
        <v>LOSA HERRERA</v>
      </c>
      <c r="C13" s="463">
        <v>46043</v>
      </c>
      <c r="D13" s="23" t="s">
        <v>364</v>
      </c>
      <c r="E13" s="29" t="s">
        <v>1227</v>
      </c>
      <c r="F13" s="462" t="s">
        <v>1228</v>
      </c>
      <c r="G13" s="119" t="s">
        <v>77</v>
      </c>
      <c r="H13" s="464" t="s">
        <v>817</v>
      </c>
      <c r="I13" s="44">
        <v>200000</v>
      </c>
      <c r="J13" s="48"/>
      <c r="K13" s="48" t="s">
        <v>201</v>
      </c>
      <c r="L13" s="266" t="s">
        <v>209</v>
      </c>
      <c r="M13" s="284"/>
      <c r="N13" s="56" t="s">
        <v>305</v>
      </c>
      <c r="O13" s="23"/>
      <c r="P13" s="49">
        <v>3229</v>
      </c>
      <c r="Q13" s="49"/>
    </row>
    <row r="14" spans="1:18" ht="27" customHeight="1">
      <c r="B14" s="152" t="str">
        <f t="shared" si="0"/>
        <v>LOSA HERRERA</v>
      </c>
      <c r="C14" s="463">
        <v>46048</v>
      </c>
      <c r="D14" s="23" t="s">
        <v>364</v>
      </c>
      <c r="E14" s="29" t="s">
        <v>1227</v>
      </c>
      <c r="F14" s="462" t="s">
        <v>1228</v>
      </c>
      <c r="G14" s="119" t="s">
        <v>77</v>
      </c>
      <c r="H14" s="464" t="s">
        <v>817</v>
      </c>
      <c r="I14" s="44">
        <v>200000</v>
      </c>
      <c r="J14" s="48"/>
      <c r="K14" s="48" t="s">
        <v>201</v>
      </c>
      <c r="L14" s="266" t="s">
        <v>209</v>
      </c>
      <c r="M14" s="284"/>
      <c r="N14" s="56" t="s">
        <v>305</v>
      </c>
      <c r="O14" s="23"/>
      <c r="P14" s="49"/>
      <c r="Q14" s="49"/>
    </row>
    <row r="15" spans="1:18" s="138" customFormat="1" ht="28.9">
      <c r="A15" s="168" t="s">
        <v>218</v>
      </c>
      <c r="B15" s="170"/>
      <c r="C15" s="171">
        <v>46051</v>
      </c>
      <c r="D15" s="130"/>
      <c r="E15" s="130"/>
      <c r="F15" s="465"/>
      <c r="G15" s="131"/>
      <c r="H15" s="465"/>
      <c r="I15" s="132"/>
      <c r="J15" s="132"/>
      <c r="K15" s="133"/>
      <c r="L15" s="134"/>
      <c r="M15" s="285"/>
      <c r="N15" s="135"/>
      <c r="O15" s="136"/>
      <c r="P15" s="137"/>
      <c r="Q15" s="137"/>
    </row>
    <row r="16" spans="1:18" s="138" customFormat="1" ht="28.9">
      <c r="A16" s="168" t="s">
        <v>218</v>
      </c>
      <c r="B16" s="170"/>
      <c r="C16" s="171">
        <v>46065</v>
      </c>
      <c r="D16" s="171"/>
      <c r="E16" s="130"/>
      <c r="F16" s="465"/>
      <c r="G16" s="131"/>
      <c r="H16" s="465"/>
      <c r="I16" s="132"/>
      <c r="J16" s="132"/>
      <c r="K16" s="133"/>
      <c r="L16" s="134"/>
      <c r="M16" s="285"/>
      <c r="N16" s="135"/>
      <c r="O16" s="136"/>
      <c r="P16" s="137"/>
      <c r="Q16" s="137"/>
    </row>
    <row r="17" spans="1:20" s="138" customFormat="1" ht="28.9">
      <c r="A17" s="168" t="s">
        <v>218</v>
      </c>
      <c r="B17" s="170"/>
      <c r="C17" s="171">
        <v>46079</v>
      </c>
      <c r="D17" s="171"/>
      <c r="E17" s="130"/>
      <c r="F17" s="465"/>
      <c r="G17" s="131"/>
      <c r="H17" s="465"/>
      <c r="I17" s="132"/>
      <c r="J17" s="132"/>
      <c r="K17" s="133"/>
      <c r="L17" s="134"/>
      <c r="M17" s="285"/>
      <c r="N17" s="135"/>
      <c r="O17" s="136"/>
      <c r="P17" s="137"/>
      <c r="Q17" s="137"/>
    </row>
    <row r="18" spans="1:20" ht="62.25" customHeight="1">
      <c r="B18" s="152" t="str">
        <f t="shared" ref="B18:B23" si="1">+$E$3</f>
        <v>LOSA HERRERA</v>
      </c>
      <c r="C18" s="25"/>
      <c r="D18" s="339" t="s">
        <v>1229</v>
      </c>
      <c r="E18" s="29" t="s">
        <v>808</v>
      </c>
      <c r="F18" s="528" t="s">
        <v>1230</v>
      </c>
      <c r="G18" s="274" t="s">
        <v>1231</v>
      </c>
      <c r="H18" s="461" t="s">
        <v>1232</v>
      </c>
      <c r="I18" s="530">
        <v>82.65</v>
      </c>
      <c r="J18" s="530"/>
      <c r="K18" s="44"/>
      <c r="L18" s="161" t="s">
        <v>732</v>
      </c>
      <c r="M18" s="161" t="s">
        <v>732</v>
      </c>
      <c r="N18" s="56"/>
      <c r="O18" s="23"/>
      <c r="P18" s="49"/>
      <c r="Q18" s="49"/>
    </row>
    <row r="19" spans="1:20" ht="62.25" customHeight="1">
      <c r="B19" s="152" t="str">
        <f t="shared" si="1"/>
        <v>LOSA HERRERA</v>
      </c>
      <c r="C19" s="25">
        <v>46078</v>
      </c>
      <c r="D19" s="339" t="s">
        <v>1233</v>
      </c>
      <c r="E19" s="29" t="s">
        <v>808</v>
      </c>
      <c r="F19" s="528" t="s">
        <v>1230</v>
      </c>
      <c r="G19" s="274" t="s">
        <v>1231</v>
      </c>
      <c r="H19" s="461" t="s">
        <v>1232</v>
      </c>
      <c r="I19" s="530">
        <v>81.17</v>
      </c>
      <c r="J19" s="530"/>
      <c r="K19" s="504" t="s">
        <v>1234</v>
      </c>
      <c r="L19" s="161" t="s">
        <v>209</v>
      </c>
      <c r="M19" s="286"/>
      <c r="N19" s="56"/>
      <c r="O19" s="23"/>
      <c r="P19" s="49"/>
      <c r="Q19" s="49"/>
    </row>
    <row r="20" spans="1:20" ht="62.25" customHeight="1">
      <c r="B20" s="331" t="str">
        <f t="shared" si="1"/>
        <v>LOSA HERRERA</v>
      </c>
      <c r="C20" s="340">
        <v>46078</v>
      </c>
      <c r="D20" s="341" t="s">
        <v>1235</v>
      </c>
      <c r="E20" s="180" t="s">
        <v>808</v>
      </c>
      <c r="F20" s="342" t="s">
        <v>1230</v>
      </c>
      <c r="G20" s="343" t="s">
        <v>1231</v>
      </c>
      <c r="H20" s="112" t="s">
        <v>1232</v>
      </c>
      <c r="I20" s="333">
        <v>-81.17</v>
      </c>
      <c r="J20" s="333"/>
      <c r="K20" s="344" t="s">
        <v>1236</v>
      </c>
      <c r="L20" s="334" t="s">
        <v>209</v>
      </c>
      <c r="M20" s="335"/>
      <c r="N20" s="336"/>
      <c r="O20" s="108"/>
      <c r="P20" s="115"/>
      <c r="Q20" s="115"/>
    </row>
    <row r="21" spans="1:20" ht="62.25" customHeight="1">
      <c r="B21" s="152" t="str">
        <f t="shared" si="1"/>
        <v>LOSA HERRERA</v>
      </c>
      <c r="C21" s="463"/>
      <c r="D21" s="23" t="s">
        <v>808</v>
      </c>
      <c r="E21" s="29" t="s">
        <v>1227</v>
      </c>
      <c r="F21" s="462" t="s">
        <v>1228</v>
      </c>
      <c r="G21" s="119" t="s">
        <v>75</v>
      </c>
      <c r="H21" s="464" t="s">
        <v>817</v>
      </c>
      <c r="I21" s="44">
        <v>145200</v>
      </c>
      <c r="J21" s="48"/>
      <c r="K21" s="48" t="s">
        <v>201</v>
      </c>
      <c r="L21" s="345" t="s">
        <v>209</v>
      </c>
      <c r="M21" s="289"/>
      <c r="N21" s="56" t="s">
        <v>305</v>
      </c>
      <c r="O21" s="108"/>
      <c r="P21" s="337"/>
      <c r="Q21" s="337"/>
    </row>
    <row r="22" spans="1:20" ht="62.25" customHeight="1">
      <c r="B22" s="152" t="str">
        <f t="shared" si="1"/>
        <v>LOSA HERRERA</v>
      </c>
      <c r="C22" s="463"/>
      <c r="D22" s="23" t="s">
        <v>808</v>
      </c>
      <c r="E22" s="29" t="s">
        <v>1227</v>
      </c>
      <c r="F22" s="462" t="s">
        <v>1228</v>
      </c>
      <c r="G22" s="119" t="s">
        <v>75</v>
      </c>
      <c r="H22" s="464" t="s">
        <v>817</v>
      </c>
      <c r="I22" s="44">
        <v>145200</v>
      </c>
      <c r="J22" s="48"/>
      <c r="K22" s="48" t="s">
        <v>201</v>
      </c>
      <c r="L22" s="345" t="s">
        <v>209</v>
      </c>
      <c r="M22" s="289"/>
      <c r="N22" s="56" t="s">
        <v>305</v>
      </c>
      <c r="O22" s="108"/>
      <c r="P22" s="337"/>
      <c r="Q22" s="337"/>
    </row>
    <row r="23" spans="1:20" ht="62.25" customHeight="1">
      <c r="B23" s="152" t="str">
        <f t="shared" si="1"/>
        <v>LOSA HERRERA</v>
      </c>
      <c r="C23" s="463"/>
      <c r="D23" s="23" t="s">
        <v>808</v>
      </c>
      <c r="E23" s="29" t="s">
        <v>1227</v>
      </c>
      <c r="F23" s="462" t="s">
        <v>1237</v>
      </c>
      <c r="G23" s="119" t="s">
        <v>64</v>
      </c>
      <c r="H23" s="464" t="s">
        <v>1238</v>
      </c>
      <c r="I23" s="44">
        <v>2218438.2000000002</v>
      </c>
      <c r="J23" s="48"/>
      <c r="K23" s="48" t="s">
        <v>201</v>
      </c>
      <c r="L23" s="345" t="s">
        <v>209</v>
      </c>
      <c r="M23" s="289"/>
      <c r="N23" s="56" t="s">
        <v>305</v>
      </c>
      <c r="O23" s="108"/>
      <c r="P23" s="337"/>
      <c r="Q23" s="337"/>
    </row>
    <row r="24" spans="1:20" s="138" customFormat="1" ht="28.9">
      <c r="A24" s="168" t="s">
        <v>218</v>
      </c>
      <c r="B24" s="170" t="str">
        <f>+$E$3</f>
        <v>LOSA HERRERA</v>
      </c>
      <c r="C24" s="171">
        <v>46093</v>
      </c>
      <c r="D24" s="171"/>
      <c r="E24" s="130"/>
      <c r="F24" s="465"/>
      <c r="G24" s="131"/>
      <c r="H24" s="465"/>
      <c r="I24" s="132"/>
      <c r="J24" s="132"/>
      <c r="K24" s="133"/>
      <c r="L24" s="134"/>
      <c r="M24" s="134"/>
      <c r="N24" s="135"/>
      <c r="O24" s="136"/>
      <c r="P24" s="137"/>
      <c r="Q24" s="137"/>
    </row>
    <row r="25" spans="1:20" s="263" customFormat="1">
      <c r="A25" s="252" t="s">
        <v>257</v>
      </c>
      <c r="B25" s="253" t="str">
        <f>+$E$3</f>
        <v>LOSA HERRERA</v>
      </c>
      <c r="C25" s="254">
        <v>46107</v>
      </c>
      <c r="D25" s="254"/>
      <c r="E25" s="255"/>
      <c r="F25" s="498"/>
      <c r="G25" s="256"/>
      <c r="H25" s="498"/>
      <c r="I25" s="257"/>
      <c r="J25" s="257"/>
      <c r="K25" s="258"/>
      <c r="L25" s="259"/>
      <c r="M25" s="259"/>
      <c r="N25" s="260"/>
      <c r="O25" s="261"/>
      <c r="P25" s="262"/>
      <c r="Q25" s="262"/>
    </row>
    <row r="26" spans="1:20" s="263" customFormat="1">
      <c r="A26" s="252" t="s">
        <v>257</v>
      </c>
      <c r="B26" s="253" t="str">
        <f t="shared" si="0"/>
        <v>LOSA HERRERA</v>
      </c>
      <c r="C26" s="254">
        <v>46121</v>
      </c>
      <c r="D26" s="254"/>
      <c r="E26" s="255"/>
      <c r="F26" s="372"/>
      <c r="G26" s="256"/>
      <c r="H26" s="372"/>
      <c r="I26" s="257"/>
      <c r="J26" s="257"/>
      <c r="K26" s="258"/>
      <c r="L26" s="259"/>
      <c r="M26" s="259"/>
      <c r="N26" s="260"/>
      <c r="O26" s="261"/>
      <c r="P26" s="262"/>
      <c r="Q26" s="262"/>
    </row>
    <row r="27" spans="1:20" s="311" customFormat="1">
      <c r="A27" s="375" t="s">
        <v>257</v>
      </c>
      <c r="B27" s="361" t="str">
        <f t="shared" si="0"/>
        <v>LOSA HERRERA</v>
      </c>
      <c r="C27" s="302">
        <v>46149</v>
      </c>
      <c r="D27" s="303"/>
      <c r="E27" s="362"/>
      <c r="F27" s="467"/>
      <c r="G27" s="304"/>
      <c r="H27" s="467"/>
      <c r="I27" s="305"/>
      <c r="J27" s="305"/>
      <c r="K27" s="363"/>
      <c r="L27" s="364"/>
      <c r="M27" s="308"/>
      <c r="N27" s="308"/>
      <c r="O27" s="365"/>
      <c r="P27" s="366"/>
      <c r="Q27" s="366"/>
      <c r="T27" s="360"/>
    </row>
    <row r="28" spans="1:20" s="311" customFormat="1" ht="18.600000000000001" customHeight="1">
      <c r="A28" s="367" t="s">
        <v>257</v>
      </c>
      <c r="B28" s="361" t="str">
        <f t="shared" si="0"/>
        <v>LOSA HERRERA</v>
      </c>
      <c r="C28" s="302">
        <v>46163</v>
      </c>
      <c r="D28" s="303"/>
      <c r="E28" s="362"/>
      <c r="F28" s="467"/>
      <c r="G28" s="304"/>
      <c r="H28" s="467"/>
      <c r="I28" s="305"/>
      <c r="J28" s="305"/>
      <c r="K28" s="363"/>
      <c r="L28" s="364"/>
      <c r="M28" s="308"/>
      <c r="N28" s="308"/>
      <c r="O28" s="365"/>
      <c r="P28" s="366"/>
      <c r="Q28" s="366"/>
      <c r="T28" s="360"/>
    </row>
    <row r="29" spans="1:20" ht="21.6" customHeight="1">
      <c r="B29" s="152" t="str">
        <f t="shared" si="0"/>
        <v>LOSA HERRERA</v>
      </c>
      <c r="C29" s="27"/>
      <c r="D29" s="23"/>
      <c r="E29" s="46"/>
      <c r="F29" s="416"/>
      <c r="G29" s="42"/>
      <c r="H29" s="461"/>
      <c r="I29" s="48"/>
      <c r="J29" s="48"/>
      <c r="K29" s="4"/>
      <c r="L29" s="2"/>
      <c r="M29" s="56"/>
      <c r="N29" s="56"/>
      <c r="O29" s="23"/>
      <c r="P29" s="50"/>
      <c r="Q29" s="50"/>
    </row>
    <row r="30" spans="1:20" ht="21.6" customHeight="1">
      <c r="B30" s="152" t="str">
        <f t="shared" si="0"/>
        <v>LOSA HERRERA</v>
      </c>
      <c r="C30" s="27"/>
      <c r="D30" s="23"/>
      <c r="E30" s="29"/>
      <c r="F30" s="416"/>
      <c r="G30" s="42"/>
      <c r="H30" s="461"/>
      <c r="I30" s="48"/>
      <c r="J30" s="48"/>
      <c r="K30" s="4"/>
      <c r="L30" s="2"/>
      <c r="M30" s="56"/>
      <c r="N30" s="56"/>
      <c r="O30" s="23"/>
      <c r="P30" s="50"/>
      <c r="Q30" s="50"/>
    </row>
    <row r="31" spans="1:20" ht="21.6" customHeight="1">
      <c r="B31" s="152" t="str">
        <f t="shared" si="0"/>
        <v>LOSA HERRERA</v>
      </c>
      <c r="C31" s="27"/>
      <c r="D31" s="23"/>
      <c r="E31" s="29"/>
      <c r="F31" s="416"/>
      <c r="G31" s="42"/>
      <c r="H31" s="461"/>
      <c r="I31" s="48"/>
      <c r="J31" s="48"/>
      <c r="K31" s="4"/>
      <c r="L31" s="2"/>
      <c r="M31" s="56"/>
      <c r="N31" s="56"/>
      <c r="O31" s="23"/>
      <c r="P31" s="50"/>
      <c r="Q31" s="50"/>
    </row>
    <row r="32" spans="1:20" ht="21.6" customHeight="1">
      <c r="B32" s="152" t="str">
        <f t="shared" si="0"/>
        <v>LOSA HERRERA</v>
      </c>
      <c r="C32" s="27"/>
      <c r="D32" s="23"/>
      <c r="E32" s="46"/>
      <c r="F32" s="416"/>
      <c r="G32" s="42"/>
      <c r="H32" s="417"/>
      <c r="I32" s="48"/>
      <c r="J32" s="48"/>
      <c r="K32" s="4"/>
      <c r="L32" s="2"/>
      <c r="M32" s="56"/>
      <c r="N32" s="56"/>
      <c r="O32" s="23"/>
      <c r="P32" s="50"/>
      <c r="Q32" s="50"/>
    </row>
    <row r="33" spans="2:17" ht="21.6" customHeight="1">
      <c r="B33" s="152" t="str">
        <f t="shared" si="0"/>
        <v>LOSA HERRERA</v>
      </c>
      <c r="C33" s="27"/>
      <c r="D33" s="23"/>
      <c r="E33" s="29"/>
      <c r="F33" s="462"/>
      <c r="G33" s="23"/>
      <c r="H33" s="461"/>
      <c r="I33" s="44"/>
      <c r="J33" s="44"/>
      <c r="K33" s="19"/>
      <c r="L33" s="2"/>
      <c r="M33" s="56"/>
      <c r="N33" s="56"/>
      <c r="O33" s="23"/>
      <c r="P33" s="50"/>
      <c r="Q33" s="50"/>
    </row>
    <row r="34" spans="2:17" ht="21.6" customHeight="1">
      <c r="B34" s="152" t="str">
        <f t="shared" si="0"/>
        <v>LOSA HERRERA</v>
      </c>
      <c r="C34" s="27"/>
      <c r="D34" s="23"/>
      <c r="E34" s="29"/>
      <c r="F34" s="416"/>
      <c r="G34" s="42"/>
      <c r="H34" s="468"/>
      <c r="I34" s="48"/>
      <c r="J34" s="48"/>
      <c r="K34" s="4"/>
      <c r="L34" s="2"/>
      <c r="M34" s="56"/>
      <c r="N34" s="56"/>
      <c r="O34" s="23"/>
      <c r="P34" s="50"/>
      <c r="Q34" s="50"/>
    </row>
    <row r="35" spans="2:17" ht="21.6" customHeight="1">
      <c r="B35" s="152" t="str">
        <f t="shared" si="0"/>
        <v>LOSA HERRERA</v>
      </c>
      <c r="C35" s="27"/>
      <c r="D35" s="23"/>
      <c r="E35" s="46"/>
      <c r="F35" s="416"/>
      <c r="G35" s="42"/>
      <c r="H35" s="417"/>
      <c r="I35" s="48"/>
      <c r="J35" s="48"/>
      <c r="K35" s="4"/>
      <c r="L35" s="2"/>
      <c r="M35" s="56"/>
      <c r="N35" s="56"/>
      <c r="O35" s="23"/>
      <c r="P35" s="50"/>
      <c r="Q35" s="50"/>
    </row>
    <row r="36" spans="2:17" ht="21.6" customHeight="1">
      <c r="B36" s="152" t="str">
        <f t="shared" si="0"/>
        <v>LOSA HERRERA</v>
      </c>
      <c r="C36" s="27"/>
      <c r="D36" s="23"/>
      <c r="E36" s="46"/>
      <c r="F36" s="416"/>
      <c r="G36" s="42"/>
      <c r="H36" s="417"/>
      <c r="I36" s="48"/>
      <c r="J36" s="48"/>
      <c r="K36" s="4"/>
      <c r="L36" s="2"/>
      <c r="M36" s="56"/>
      <c r="N36" s="56"/>
      <c r="O36" s="23"/>
      <c r="P36" s="50"/>
      <c r="Q36" s="50"/>
    </row>
    <row r="37" spans="2:17" ht="21.6" customHeight="1">
      <c r="B37" s="152" t="str">
        <f t="shared" si="0"/>
        <v>LOSA HERRERA</v>
      </c>
      <c r="C37" s="27"/>
      <c r="D37" s="23"/>
      <c r="E37" s="46"/>
      <c r="F37" s="416"/>
      <c r="G37" s="42"/>
      <c r="H37" s="417"/>
      <c r="I37" s="48"/>
      <c r="J37" s="48"/>
      <c r="K37" s="4"/>
      <c r="L37" s="2"/>
      <c r="M37" s="56"/>
      <c r="N37" s="56"/>
      <c r="O37" s="23"/>
      <c r="P37" s="50"/>
      <c r="Q37" s="50"/>
    </row>
    <row r="38" spans="2:17" ht="21.6" customHeight="1">
      <c r="B38" s="152" t="str">
        <f t="shared" si="0"/>
        <v>LOSA HERRERA</v>
      </c>
      <c r="C38" s="27"/>
      <c r="D38" s="23"/>
      <c r="E38" s="46"/>
      <c r="F38" s="416"/>
      <c r="G38" s="42"/>
      <c r="H38" s="464"/>
      <c r="I38" s="48"/>
      <c r="J38" s="48"/>
      <c r="K38" s="4"/>
      <c r="L38" s="2"/>
      <c r="M38" s="56"/>
      <c r="N38" s="56"/>
      <c r="O38" s="23"/>
      <c r="P38" s="50"/>
      <c r="Q38" s="50"/>
    </row>
    <row r="39" spans="2:17" ht="21.6" customHeight="1">
      <c r="B39" s="152" t="str">
        <f t="shared" si="0"/>
        <v>LOSA HERRERA</v>
      </c>
      <c r="C39" s="27"/>
      <c r="D39" s="23"/>
      <c r="E39" s="29"/>
      <c r="F39" s="462"/>
      <c r="G39" s="23"/>
      <c r="H39" s="461"/>
      <c r="I39" s="44"/>
      <c r="J39" s="48"/>
      <c r="K39" s="4"/>
      <c r="L39" s="2"/>
      <c r="M39" s="56"/>
      <c r="N39" s="56"/>
      <c r="O39" s="23"/>
      <c r="P39" s="50"/>
      <c r="Q39" s="50"/>
    </row>
    <row r="40" spans="2:17" ht="21.6" customHeight="1">
      <c r="B40" s="152" t="str">
        <f t="shared" si="0"/>
        <v>LOSA HERRERA</v>
      </c>
      <c r="C40" s="27"/>
      <c r="D40" s="42"/>
      <c r="E40" s="46"/>
      <c r="F40" s="416"/>
      <c r="G40" s="42"/>
      <c r="H40" s="417"/>
      <c r="I40" s="48"/>
      <c r="J40" s="48"/>
      <c r="K40" s="4"/>
      <c r="L40" s="2"/>
      <c r="M40" s="56"/>
      <c r="N40" s="56"/>
      <c r="O40" s="23"/>
      <c r="P40" s="50"/>
      <c r="Q40" s="50"/>
    </row>
    <row r="41" spans="2:17" ht="21.6" customHeight="1">
      <c r="B41" s="152" t="str">
        <f t="shared" si="0"/>
        <v>LOSA HERRERA</v>
      </c>
      <c r="C41" s="27"/>
      <c r="D41" s="42"/>
      <c r="E41" s="46"/>
      <c r="F41" s="416"/>
      <c r="G41" s="23"/>
      <c r="H41" s="464"/>
      <c r="I41" s="48"/>
      <c r="J41" s="48"/>
      <c r="K41" s="4"/>
      <c r="L41" s="2"/>
      <c r="M41" s="56"/>
      <c r="N41" s="56"/>
      <c r="O41" s="23"/>
      <c r="P41" s="50"/>
      <c r="Q41" s="50"/>
    </row>
    <row r="42" spans="2:17" ht="21.6" customHeight="1">
      <c r="B42" s="152" t="str">
        <f t="shared" si="0"/>
        <v>LOSA HERRERA</v>
      </c>
      <c r="C42" s="27"/>
      <c r="D42" s="38"/>
      <c r="E42" s="38"/>
      <c r="F42" s="416"/>
      <c r="G42" s="39"/>
      <c r="H42" s="419"/>
      <c r="I42" s="40"/>
      <c r="J42" s="40"/>
      <c r="K42" s="4"/>
      <c r="L42" s="2"/>
      <c r="M42" s="56"/>
      <c r="N42" s="56"/>
      <c r="O42" s="2"/>
      <c r="P42" s="50"/>
      <c r="Q42" s="50"/>
    </row>
    <row r="43" spans="2:17" ht="21.6" customHeight="1">
      <c r="B43" s="152" t="str">
        <f t="shared" si="0"/>
        <v>LOSA HERRERA</v>
      </c>
      <c r="C43" s="27"/>
      <c r="D43" s="38"/>
      <c r="E43" s="38"/>
      <c r="F43" s="416"/>
      <c r="G43" s="39"/>
      <c r="H43" s="419"/>
      <c r="I43" s="40"/>
      <c r="J43" s="40"/>
      <c r="K43" s="4"/>
      <c r="L43" s="2"/>
      <c r="M43" s="56"/>
      <c r="N43" s="56"/>
      <c r="O43" s="14"/>
      <c r="P43" s="50"/>
      <c r="Q43" s="50"/>
    </row>
    <row r="44" spans="2:17" ht="21.6" customHeight="1">
      <c r="B44" s="152" t="str">
        <f t="shared" si="0"/>
        <v>LOSA HERRERA</v>
      </c>
      <c r="C44" s="27"/>
      <c r="D44" s="38"/>
      <c r="E44" s="38"/>
      <c r="F44" s="416"/>
      <c r="G44" s="39"/>
      <c r="H44" s="419"/>
      <c r="I44" s="40"/>
      <c r="J44" s="40"/>
      <c r="K44" s="4"/>
      <c r="L44" s="2"/>
      <c r="M44" s="56"/>
      <c r="N44" s="56"/>
      <c r="O44" s="2"/>
      <c r="P44" s="50"/>
      <c r="Q44" s="50"/>
    </row>
    <row r="45" spans="2:17" ht="21.6" customHeight="1">
      <c r="B45" s="152" t="str">
        <f t="shared" si="0"/>
        <v>LOSA HERRERA</v>
      </c>
      <c r="C45" s="27"/>
      <c r="D45" s="38"/>
      <c r="E45" s="38"/>
      <c r="F45" s="416"/>
      <c r="G45" s="39"/>
      <c r="H45" s="419"/>
      <c r="I45" s="40"/>
      <c r="J45" s="40"/>
      <c r="K45" s="4"/>
      <c r="L45" s="2"/>
      <c r="M45" s="56"/>
      <c r="N45" s="56"/>
      <c r="O45" s="2"/>
      <c r="P45" s="50"/>
      <c r="Q45" s="50"/>
    </row>
    <row r="46" spans="2:17" ht="21.6" customHeight="1">
      <c r="B46" s="152" t="str">
        <f t="shared" si="0"/>
        <v>LOSA HERRERA</v>
      </c>
      <c r="C46" s="27"/>
      <c r="D46" s="38"/>
      <c r="E46" s="38"/>
      <c r="F46" s="416"/>
      <c r="G46" s="39"/>
      <c r="H46" s="419"/>
      <c r="I46" s="40"/>
      <c r="J46" s="40"/>
      <c r="K46" s="4"/>
      <c r="L46" s="2"/>
      <c r="M46" s="56"/>
      <c r="N46" s="56"/>
      <c r="O46" s="2"/>
      <c r="P46" s="50"/>
      <c r="Q46" s="50"/>
    </row>
    <row r="47" spans="2:17" ht="21.6" customHeight="1">
      <c r="B47" s="152" t="str">
        <f t="shared" si="0"/>
        <v>LOSA HERRERA</v>
      </c>
      <c r="C47" s="27"/>
      <c r="D47" s="38"/>
      <c r="E47" s="38"/>
      <c r="F47" s="416"/>
      <c r="G47" s="39"/>
      <c r="H47" s="419"/>
      <c r="I47" s="40"/>
      <c r="J47" s="40"/>
      <c r="K47" s="4"/>
      <c r="L47" s="2"/>
      <c r="M47" s="56"/>
      <c r="N47" s="56"/>
      <c r="O47" s="2"/>
      <c r="P47" s="50"/>
      <c r="Q47" s="50"/>
    </row>
    <row r="48" spans="2:17" ht="21.6" customHeight="1">
      <c r="B48" s="152" t="str">
        <f t="shared" si="0"/>
        <v>LOSA HERRERA</v>
      </c>
      <c r="C48" s="27"/>
      <c r="D48" s="38"/>
      <c r="E48" s="38"/>
      <c r="F48" s="416"/>
      <c r="G48" s="39"/>
      <c r="H48" s="419"/>
      <c r="I48" s="40"/>
      <c r="J48" s="40"/>
      <c r="K48" s="4"/>
      <c r="L48" s="2"/>
      <c r="M48" s="56"/>
      <c r="N48" s="56"/>
      <c r="O48" s="2"/>
      <c r="P48" s="50"/>
      <c r="Q48" s="50"/>
    </row>
    <row r="49" spans="2:17" ht="21.6" customHeight="1">
      <c r="B49" s="152" t="str">
        <f t="shared" si="0"/>
        <v>LOSA HERRERA</v>
      </c>
      <c r="C49" s="27"/>
      <c r="D49" s="38"/>
      <c r="E49" s="38"/>
      <c r="F49" s="416"/>
      <c r="G49" s="39"/>
      <c r="H49" s="419"/>
      <c r="I49" s="40"/>
      <c r="J49" s="40"/>
      <c r="K49" s="4"/>
      <c r="L49" s="2"/>
      <c r="M49" s="56"/>
      <c r="N49" s="56"/>
      <c r="O49" s="2"/>
      <c r="P49" s="50"/>
      <c r="Q49" s="50"/>
    </row>
    <row r="50" spans="2:17" ht="20.100000000000001" customHeight="1">
      <c r="B50" s="152" t="str">
        <f t="shared" si="0"/>
        <v>LOSA HERRERA</v>
      </c>
      <c r="C50" s="27"/>
      <c r="D50" s="469"/>
      <c r="E50" s="38"/>
      <c r="F50" s="419"/>
      <c r="G50" s="53"/>
      <c r="H50" s="469"/>
      <c r="I50" s="4"/>
      <c r="J50" s="4"/>
      <c r="K50" s="4"/>
      <c r="L50" s="14"/>
      <c r="M50" s="56"/>
      <c r="N50" s="56"/>
      <c r="O50" s="2"/>
      <c r="P50" s="50"/>
      <c r="Q50" s="50"/>
    </row>
    <row r="51" spans="2:17" ht="20.100000000000001" customHeight="1" thickBot="1">
      <c r="B51" s="6"/>
      <c r="G51" s="15"/>
      <c r="H51" s="30"/>
      <c r="I51" s="30"/>
      <c r="M51" s="14"/>
    </row>
    <row r="52" spans="2:17" ht="19.350000000000001" customHeight="1" thickBot="1">
      <c r="B52" s="6"/>
      <c r="G52" s="5" t="s">
        <v>258</v>
      </c>
      <c r="H52" s="32">
        <f>SUM(I10:I50)</f>
        <v>3158920.85</v>
      </c>
      <c r="I52" s="31"/>
    </row>
    <row r="53" spans="2:17" ht="13.35" customHeight="1">
      <c r="B53" s="6"/>
      <c r="G53" s="15"/>
      <c r="H53" s="30"/>
      <c r="I53" s="30"/>
    </row>
    <row r="54" spans="2:17">
      <c r="B54" s="6"/>
      <c r="G54" s="15"/>
      <c r="H54" s="30"/>
      <c r="I54" s="30"/>
    </row>
    <row r="55" spans="2:17">
      <c r="B55" s="6"/>
      <c r="G55" s="15"/>
      <c r="H55" s="30"/>
      <c r="I55" s="30"/>
    </row>
    <row r="56" spans="2:17">
      <c r="B56" s="6"/>
      <c r="H56" s="20"/>
      <c r="I56" s="20"/>
    </row>
    <row r="57" spans="2:17">
      <c r="B57" s="6"/>
      <c r="H57" s="20"/>
      <c r="I57" s="20"/>
    </row>
    <row r="58" spans="2:17">
      <c r="B58" s="6"/>
      <c r="H58" s="20"/>
      <c r="I58" s="20"/>
    </row>
    <row r="59" spans="2:17">
      <c r="B59" s="6"/>
      <c r="H59" s="20"/>
      <c r="I59" s="20"/>
    </row>
    <row r="60" spans="2:17">
      <c r="B60" s="6"/>
      <c r="H60" s="20"/>
      <c r="I60" s="20"/>
    </row>
    <row r="61" spans="2:17">
      <c r="B61" s="6"/>
      <c r="H61" s="20"/>
      <c r="I61" s="20"/>
    </row>
    <row r="62" spans="2:17">
      <c r="B62" s="6"/>
      <c r="H62" s="20"/>
      <c r="I62" s="20"/>
    </row>
    <row r="63" spans="2:17">
      <c r="B63" s="6"/>
      <c r="H63" s="20"/>
      <c r="I63" s="20"/>
    </row>
    <row r="64" spans="2:17">
      <c r="B64" s="6"/>
      <c r="H64" s="20"/>
      <c r="I64" s="20"/>
    </row>
    <row r="65" spans="2:9">
      <c r="B65" s="6"/>
      <c r="H65" s="20"/>
      <c r="I65" s="20"/>
    </row>
    <row r="66" spans="2:9">
      <c r="B66" s="6"/>
      <c r="H66" s="20"/>
      <c r="I66" s="20"/>
    </row>
    <row r="67" spans="2:9">
      <c r="B67" s="6"/>
      <c r="H67" s="20"/>
      <c r="I67" s="20"/>
    </row>
    <row r="68" spans="2:9">
      <c r="B68" s="6"/>
      <c r="H68" s="20"/>
      <c r="I68" s="20"/>
    </row>
    <row r="69" spans="2:9">
      <c r="B69" s="6"/>
      <c r="H69" s="20"/>
      <c r="I69" s="20"/>
    </row>
    <row r="70" spans="2:9">
      <c r="B70" s="6"/>
      <c r="H70" s="20"/>
      <c r="I70" s="20"/>
    </row>
    <row r="71" spans="2:9">
      <c r="B71" s="6"/>
      <c r="H71" s="20"/>
      <c r="I71" s="20"/>
    </row>
    <row r="72" spans="2:9">
      <c r="B72" s="6"/>
      <c r="H72" s="20"/>
      <c r="I72" s="20"/>
    </row>
    <row r="73" spans="2:9">
      <c r="B73" s="6"/>
      <c r="H73" s="20"/>
      <c r="I73" s="20"/>
    </row>
    <row r="74" spans="2:9">
      <c r="B74" s="6"/>
      <c r="H74" s="20"/>
      <c r="I74" s="20"/>
    </row>
    <row r="75" spans="2:9">
      <c r="B75" s="6"/>
      <c r="H75" s="20"/>
      <c r="I75" s="20"/>
    </row>
    <row r="76" spans="2:9">
      <c r="B76" s="6"/>
      <c r="H76" s="20"/>
      <c r="I76" s="20"/>
    </row>
    <row r="77" spans="2:9">
      <c r="B77" s="6"/>
      <c r="H77" s="20"/>
      <c r="I77" s="20"/>
    </row>
    <row r="78" spans="2:9">
      <c r="B78" s="6"/>
      <c r="H78" s="20"/>
      <c r="I78" s="20"/>
    </row>
    <row r="79" spans="2:9">
      <c r="B79" s="6"/>
      <c r="H79" s="20"/>
      <c r="I79" s="20"/>
    </row>
    <row r="80" spans="2:9">
      <c r="B80" s="6"/>
      <c r="H80" s="20"/>
      <c r="I80" s="20"/>
    </row>
    <row r="81" spans="2:9">
      <c r="B81" s="6"/>
      <c r="H81" s="20"/>
      <c r="I81" s="20"/>
    </row>
    <row r="82" spans="2:9">
      <c r="B82" s="6"/>
      <c r="H82" s="20"/>
      <c r="I82" s="20"/>
    </row>
    <row r="83" spans="2:9">
      <c r="B83" s="6"/>
      <c r="H83" s="20"/>
      <c r="I83" s="20"/>
    </row>
    <row r="84" spans="2:9">
      <c r="B84" s="6"/>
      <c r="H84" s="20"/>
      <c r="I84" s="20"/>
    </row>
    <row r="85" spans="2:9">
      <c r="B85" s="6"/>
      <c r="H85" s="20"/>
      <c r="I85" s="20"/>
    </row>
    <row r="86" spans="2:9">
      <c r="B86" s="6"/>
      <c r="H86" s="20"/>
      <c r="I86" s="20"/>
    </row>
    <row r="87" spans="2:9">
      <c r="B87" s="6"/>
      <c r="H87" s="20"/>
      <c r="I87" s="20"/>
    </row>
    <row r="88" spans="2:9">
      <c r="B88" s="6"/>
      <c r="H88" s="20"/>
      <c r="I88" s="20"/>
    </row>
    <row r="89" spans="2:9">
      <c r="B89" s="6"/>
      <c r="H89" s="20"/>
      <c r="I89" s="20"/>
    </row>
    <row r="90" spans="2:9">
      <c r="B90" s="6"/>
      <c r="H90" s="20"/>
      <c r="I90" s="20"/>
    </row>
    <row r="91" spans="2:9">
      <c r="B91" s="6"/>
      <c r="H91" s="20"/>
      <c r="I91" s="20"/>
    </row>
    <row r="92" spans="2:9">
      <c r="B92" s="6"/>
      <c r="H92" s="20"/>
      <c r="I92" s="20"/>
    </row>
    <row r="93" spans="2:9">
      <c r="B93" s="6"/>
      <c r="H93" s="20"/>
      <c r="I93" s="20"/>
    </row>
  </sheetData>
  <mergeCells count="5">
    <mergeCell ref="D2:H2"/>
    <mergeCell ref="F3:G3"/>
    <mergeCell ref="F4:G4"/>
    <mergeCell ref="F5:G5"/>
    <mergeCell ref="F6:G6"/>
  </mergeCells>
  <conditionalFormatting sqref="L15:M17">
    <cfRule type="containsText" dxfId="426" priority="36" operator="containsText" text="Pendiente">
      <formula>NOT(ISERROR(SEARCH("Pendiente",L15)))</formula>
    </cfRule>
    <cfRule type="containsText" dxfId="425" priority="37" operator="containsText" text="Pagado">
      <formula>NOT(ISERROR(SEARCH("Pagado",L15)))</formula>
    </cfRule>
    <cfRule type="containsText" dxfId="424" priority="38" operator="containsText" text="Para abonar">
      <formula>NOT(ISERROR(SEARCH("Para abonar",L15)))</formula>
    </cfRule>
  </conditionalFormatting>
  <conditionalFormatting sqref="L24:M26">
    <cfRule type="containsText" dxfId="423" priority="5" operator="containsText" text="Pendiente">
      <formula>NOT(ISERROR(SEARCH("Pendiente",L24)))</formula>
    </cfRule>
    <cfRule type="containsText" dxfId="422" priority="6" operator="containsText" text="Pagado">
      <formula>NOT(ISERROR(SEARCH("Pagado",L24)))</formula>
    </cfRule>
    <cfRule type="containsText" dxfId="421" priority="7" operator="containsText" text="Para abonar">
      <formula>NOT(ISERROR(SEARCH("Para abonar",L24)))</formula>
    </cfRule>
  </conditionalFormatting>
  <conditionalFormatting sqref="L10:N10 L12:N14 L29:N50">
    <cfRule type="cellIs" dxfId="420" priority="59" operator="equal">
      <formula>"Cuenta Corriente"</formula>
    </cfRule>
    <cfRule type="cellIs" dxfId="419" priority="60" operator="equal">
      <formula>"No Pagado"</formula>
    </cfRule>
  </conditionalFormatting>
  <conditionalFormatting sqref="L18:N23">
    <cfRule type="cellIs" dxfId="418" priority="16" operator="equal">
      <formula>"Cuenta Corriente"</formula>
    </cfRule>
    <cfRule type="cellIs" dxfId="417" priority="17" operator="equal">
      <formula>"No Pagado"</formula>
    </cfRule>
  </conditionalFormatting>
  <conditionalFormatting sqref="L27:O28">
    <cfRule type="cellIs" dxfId="416" priority="1" operator="equal">
      <formula>"Cuenta Corriente"</formula>
    </cfRule>
    <cfRule type="cellIs" dxfId="415" priority="2" operator="equal">
      <formula>"No Pagado"</formula>
    </cfRule>
  </conditionalFormatting>
  <conditionalFormatting sqref="N11 P11">
    <cfRule type="containsText" dxfId="414" priority="56" operator="containsText" text="Pendiente">
      <formula>NOT(ISERROR(SEARCH("Pendiente",N11)))</formula>
    </cfRule>
    <cfRule type="containsText" dxfId="413" priority="57" operator="containsText" text="Pagado">
      <formula>NOT(ISERROR(SEARCH("Pagado",N11)))</formula>
    </cfRule>
    <cfRule type="containsText" dxfId="412" priority="58" operator="containsText" text="Para abonar">
      <formula>NOT(ISERROR(SEARCH("Para abonar",N11)))</formula>
    </cfRule>
  </conditionalFormatting>
  <conditionalFormatting sqref="N15:N17">
    <cfRule type="cellIs" dxfId="411" priority="34" operator="equal">
      <formula>"Cuenta Corriente"</formula>
    </cfRule>
    <cfRule type="cellIs" dxfId="410" priority="35" operator="equal">
      <formula>"No Pagado"</formula>
    </cfRule>
  </conditionalFormatting>
  <conditionalFormatting sqref="N24:N26">
    <cfRule type="cellIs" dxfId="409" priority="8" operator="equal">
      <formula>"Cuenta Corriente"</formula>
    </cfRule>
    <cfRule type="cellIs" dxfId="408" priority="9" operator="equal">
      <formula>"No Pagado"</formula>
    </cfRule>
  </conditionalFormatting>
  <conditionalFormatting sqref="O10">
    <cfRule type="containsText" dxfId="407" priority="61" operator="containsText" text="Pendiente">
      <formula>NOT(ISERROR(SEARCH("Pendiente",O10)))</formula>
    </cfRule>
    <cfRule type="containsText" dxfId="406" priority="62" operator="containsText" text="Pagado">
      <formula>NOT(ISERROR(SEARCH("Pagado",O10)))</formula>
    </cfRule>
    <cfRule type="containsText" dxfId="405" priority="63" operator="containsText" text="Para abonar">
      <formula>NOT(ISERROR(SEARCH("Para abonar",O10)))</formula>
    </cfRule>
  </conditionalFormatting>
  <conditionalFormatting sqref="O11">
    <cfRule type="cellIs" dxfId="404" priority="54" operator="equal">
      <formula>"Cuenta Corriente"</formula>
    </cfRule>
    <cfRule type="cellIs" dxfId="403" priority="55" operator="equal">
      <formula>"No Pagado"</formula>
    </cfRule>
  </conditionalFormatting>
  <conditionalFormatting sqref="O12:O26 O29:O41">
    <cfRule type="containsText" dxfId="402" priority="13" operator="containsText" text="Pendiente">
      <formula>NOT(ISERROR(SEARCH("Pendiente",O12)))</formula>
    </cfRule>
    <cfRule type="containsText" dxfId="401" priority="14" operator="containsText" text="Pagado">
      <formula>NOT(ISERROR(SEARCH("Pagado",O12)))</formula>
    </cfRule>
    <cfRule type="containsText" dxfId="400" priority="15" operator="containsText" text="Para abonar">
      <formula>NOT(ISERROR(SEARCH("Para abonar",O12)))</formula>
    </cfRule>
  </conditionalFormatting>
  <conditionalFormatting sqref="O42:O50 M51">
    <cfRule type="cellIs" dxfId="399" priority="74" operator="equal">
      <formula>"Cuenta Corriente"</formula>
    </cfRule>
    <cfRule type="cellIs" dxfId="398" priority="75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326FB6A-65E3-4F91-800C-CBE8A6462D02}">
          <x14:formula1>
            <xm:f>Consultas!$B$9:$B$11</xm:f>
          </x14:formula1>
          <xm:sqref>N11 M51 L10:M10 O10 P11 O12:O23 L12:M23 N24:N26 K24:K26 O27:O50 L27:M50</xm:sqref>
        </x14:dataValidation>
        <x14:dataValidation type="list" allowBlank="1" showInputMessage="1" showErrorMessage="1" xr:uid="{CB937843-B991-4F54-A6D5-0FBCF4B85D3C}">
          <x14:formula1>
            <xm:f>Consultas!$B$13:$B$15</xm:f>
          </x14:formula1>
          <xm:sqref>N10 O11 N21:N23 N12:N17 L24:M26 N27:N50</xm:sqref>
        </x14:dataValidation>
        <x14:dataValidation type="list" allowBlank="1" showInputMessage="1" showErrorMessage="1" xr:uid="{D84A9FB2-66E4-4F94-965B-685304C936B6}">
          <x14:formula1>
            <xm:f>Proveedores!$B$3:$B$111</xm:f>
          </x14:formula1>
          <xm:sqref>G10:G23 F24:F26 G27:G121</xm:sqref>
        </x14:dataValidation>
        <x14:dataValidation type="list" allowBlank="1" showInputMessage="1" showErrorMessage="1" xr:uid="{E7076E53-C44D-4F6A-BAB0-FBAD07044874}">
          <x14:formula1>
            <xm:f>Consultas!$B$13:$B$16</xm:f>
          </x14:formula1>
          <xm:sqref>N18:N20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E6A1-07F7-48A9-832F-B96940171416}">
  <dimension ref="A1:T84"/>
  <sheetViews>
    <sheetView topLeftCell="A6" workbookViewId="0">
      <selection activeCell="A23" sqref="A23:XFD23"/>
    </sheetView>
  </sheetViews>
  <sheetFormatPr defaultColWidth="11.42578125" defaultRowHeight="14.45"/>
  <cols>
    <col min="1" max="1" width="12.85546875" customWidth="1"/>
    <col min="2" max="2" width="17" bestFit="1" customWidth="1"/>
    <col min="3" max="3" width="17" customWidth="1"/>
    <col min="4" max="4" width="12.28515625" customWidth="1"/>
    <col min="5" max="5" width="18.42578125" bestFit="1" customWidth="1"/>
    <col min="6" max="6" width="53.7109375" bestFit="1" customWidth="1"/>
    <col min="7" max="7" width="18.42578125" customWidth="1"/>
    <col min="8" max="8" width="18" customWidth="1"/>
    <col min="9" max="9" width="16.42578125" customWidth="1"/>
    <col min="10" max="10" width="14.42578125" customWidth="1"/>
    <col min="11" max="11" width="17.85546875" customWidth="1"/>
    <col min="12" max="13" width="12.7109375" customWidth="1"/>
    <col min="14" max="14" width="12.140625" customWidth="1"/>
  </cols>
  <sheetData>
    <row r="1" spans="1:17" ht="15" thickBot="1">
      <c r="B1" s="6"/>
    </row>
    <row r="2" spans="1:17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17" ht="18" customHeight="1">
      <c r="B3" s="6"/>
      <c r="D3" s="8" t="s">
        <v>177</v>
      </c>
      <c r="E3" s="36" t="s">
        <v>1239</v>
      </c>
      <c r="F3" s="423"/>
      <c r="G3" s="424"/>
      <c r="H3" s="37"/>
      <c r="I3" s="15"/>
      <c r="J3" s="15"/>
    </row>
    <row r="4" spans="1:17">
      <c r="B4" s="6"/>
      <c r="D4" s="9" t="s">
        <v>179</v>
      </c>
      <c r="E4" s="449" t="s">
        <v>1240</v>
      </c>
      <c r="F4" s="450" t="s">
        <v>180</v>
      </c>
      <c r="G4" s="451"/>
      <c r="H4" s="35" t="s">
        <v>1241</v>
      </c>
      <c r="I4" s="452"/>
      <c r="J4" s="452"/>
    </row>
    <row r="5" spans="1:17">
      <c r="B5" s="6"/>
      <c r="D5" s="9"/>
      <c r="E5" s="1"/>
      <c r="F5" s="453"/>
      <c r="G5" s="454"/>
      <c r="H5" s="10"/>
      <c r="I5" s="15"/>
      <c r="J5" s="15"/>
    </row>
    <row r="6" spans="1:17" ht="15" thickBot="1">
      <c r="B6" s="6"/>
      <c r="D6" s="11"/>
      <c r="E6" s="12"/>
      <c r="F6" s="455"/>
      <c r="G6" s="456"/>
      <c r="H6" s="13"/>
      <c r="I6" s="15"/>
      <c r="J6" s="15"/>
    </row>
    <row r="7" spans="1:17">
      <c r="B7" s="6"/>
    </row>
    <row r="8" spans="1:17" ht="15" thickBot="1">
      <c r="B8" s="6"/>
    </row>
    <row r="9" spans="1:17" ht="43.9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17" ht="35.25" customHeight="1">
      <c r="B10" s="152" t="str">
        <f t="shared" ref="B10:B41" si="0">+$E$3</f>
        <v>Colegio Malageño</v>
      </c>
      <c r="C10" s="25">
        <v>46042</v>
      </c>
      <c r="D10" s="23" t="s">
        <v>364</v>
      </c>
      <c r="E10" s="29"/>
      <c r="F10" s="528" t="s">
        <v>1242</v>
      </c>
      <c r="G10" s="41" t="s">
        <v>76</v>
      </c>
      <c r="H10" s="461" t="s">
        <v>817</v>
      </c>
      <c r="I10" s="44">
        <v>58000</v>
      </c>
      <c r="J10" s="44"/>
      <c r="K10" s="44" t="s">
        <v>396</v>
      </c>
      <c r="L10" s="150" t="s">
        <v>209</v>
      </c>
      <c r="M10" s="2"/>
      <c r="N10" s="265" t="s">
        <v>305</v>
      </c>
      <c r="O10" s="23"/>
      <c r="P10" s="49"/>
      <c r="Q10" s="49"/>
    </row>
    <row r="11" spans="1:17" ht="35.25" customHeight="1">
      <c r="B11" s="27" t="str">
        <f>+$E$3</f>
        <v>Colegio Malageño</v>
      </c>
      <c r="C11" s="27">
        <v>46042</v>
      </c>
      <c r="D11" s="38"/>
      <c r="E11" s="38"/>
      <c r="F11" s="466" t="s">
        <v>395</v>
      </c>
      <c r="G11" s="42" t="s">
        <v>89</v>
      </c>
      <c r="H11" s="417" t="s">
        <v>216</v>
      </c>
      <c r="I11" s="48">
        <v>60400</v>
      </c>
      <c r="J11" s="48"/>
      <c r="K11" s="44" t="s">
        <v>396</v>
      </c>
      <c r="L11" s="150" t="s">
        <v>209</v>
      </c>
      <c r="M11" s="2"/>
      <c r="N11" s="265" t="s">
        <v>305</v>
      </c>
      <c r="O11" s="23"/>
      <c r="P11" s="106"/>
      <c r="Q11" s="106"/>
    </row>
    <row r="12" spans="1:17" s="138" customFormat="1" ht="28.9">
      <c r="A12" s="168" t="s">
        <v>218</v>
      </c>
      <c r="B12" s="170"/>
      <c r="C12" s="171">
        <v>46051</v>
      </c>
      <c r="D12" s="130"/>
      <c r="E12" s="130"/>
      <c r="F12" s="465"/>
      <c r="G12" s="131"/>
      <c r="H12" s="465"/>
      <c r="I12" s="132"/>
      <c r="J12" s="132"/>
      <c r="K12" s="133"/>
      <c r="L12" s="134"/>
      <c r="M12" s="285"/>
      <c r="N12" s="135"/>
      <c r="O12" s="136"/>
      <c r="P12" s="137"/>
      <c r="Q12" s="137"/>
    </row>
    <row r="13" spans="1:17" s="138" customFormat="1" ht="28.9">
      <c r="A13" s="168" t="s">
        <v>218</v>
      </c>
      <c r="B13" s="170"/>
      <c r="C13" s="171">
        <v>46065</v>
      </c>
      <c r="D13" s="171"/>
      <c r="E13" s="130"/>
      <c r="F13" s="465"/>
      <c r="G13" s="131"/>
      <c r="H13" s="465"/>
      <c r="I13" s="132"/>
      <c r="J13" s="132"/>
      <c r="K13" s="133"/>
      <c r="L13" s="134"/>
      <c r="M13" s="285"/>
      <c r="N13" s="135"/>
      <c r="O13" s="136"/>
      <c r="P13" s="137"/>
      <c r="Q13" s="137"/>
    </row>
    <row r="14" spans="1:17" ht="35.25" customHeight="1">
      <c r="B14" s="27" t="str">
        <f>+$E$3</f>
        <v>Colegio Malageño</v>
      </c>
      <c r="C14" s="27">
        <v>46073</v>
      </c>
      <c r="D14" s="38"/>
      <c r="E14" s="38"/>
      <c r="F14" s="466" t="s">
        <v>395</v>
      </c>
      <c r="G14" s="42" t="s">
        <v>89</v>
      </c>
      <c r="H14" s="417" t="s">
        <v>216</v>
      </c>
      <c r="I14" s="48">
        <v>60400</v>
      </c>
      <c r="J14" s="48"/>
      <c r="K14" s="44" t="s">
        <v>396</v>
      </c>
      <c r="L14" s="150" t="s">
        <v>209</v>
      </c>
      <c r="M14" s="2"/>
      <c r="N14" s="265" t="s">
        <v>305</v>
      </c>
      <c r="O14" s="23"/>
      <c r="P14" s="106"/>
      <c r="Q14" s="106"/>
    </row>
    <row r="15" spans="1:17" ht="28.9">
      <c r="B15" s="152" t="str">
        <f t="shared" si="0"/>
        <v>Colegio Malageño</v>
      </c>
      <c r="C15" s="25">
        <v>46079</v>
      </c>
      <c r="D15" s="23" t="s">
        <v>364</v>
      </c>
      <c r="E15" s="29"/>
      <c r="F15" s="462" t="s">
        <v>1243</v>
      </c>
      <c r="G15" s="41" t="s">
        <v>76</v>
      </c>
      <c r="H15" s="461" t="s">
        <v>817</v>
      </c>
      <c r="I15" s="44">
        <v>52000</v>
      </c>
      <c r="J15" s="44"/>
      <c r="K15" s="44" t="s">
        <v>396</v>
      </c>
      <c r="L15" s="150" t="s">
        <v>209</v>
      </c>
      <c r="M15" s="2" t="s">
        <v>732</v>
      </c>
      <c r="N15" s="265" t="s">
        <v>305</v>
      </c>
      <c r="O15" s="23"/>
      <c r="P15" s="50"/>
      <c r="Q15" s="50"/>
    </row>
    <row r="16" spans="1:17" s="138" customFormat="1" ht="28.9">
      <c r="A16" s="168" t="s">
        <v>218</v>
      </c>
      <c r="B16" s="170"/>
      <c r="C16" s="171">
        <v>46079</v>
      </c>
      <c r="D16" s="171"/>
      <c r="E16" s="130"/>
      <c r="F16" s="465"/>
      <c r="G16" s="131"/>
      <c r="H16" s="465"/>
      <c r="I16" s="132"/>
      <c r="J16" s="132"/>
      <c r="K16" s="133"/>
      <c r="L16" s="134"/>
      <c r="M16" s="285"/>
      <c r="N16" s="135"/>
      <c r="O16" s="136"/>
      <c r="P16" s="137"/>
      <c r="Q16" s="137"/>
    </row>
    <row r="17" spans="1:20" s="138" customFormat="1" ht="28.9">
      <c r="A17" s="168" t="s">
        <v>218</v>
      </c>
      <c r="B17" s="170"/>
      <c r="C17" s="171">
        <v>46093</v>
      </c>
      <c r="D17" s="171"/>
      <c r="E17" s="130"/>
      <c r="F17" s="465"/>
      <c r="G17" s="131"/>
      <c r="H17" s="465"/>
      <c r="I17" s="132"/>
      <c r="J17" s="132"/>
      <c r="K17" s="133"/>
      <c r="L17" s="134"/>
      <c r="M17" s="134"/>
      <c r="N17" s="135"/>
      <c r="O17" s="136"/>
      <c r="P17" s="137"/>
      <c r="Q17" s="137"/>
    </row>
    <row r="18" spans="1:20" ht="21.6" customHeight="1">
      <c r="B18" s="152" t="str">
        <f t="shared" si="0"/>
        <v>Colegio Malageño</v>
      </c>
      <c r="C18" s="27"/>
      <c r="D18" s="23" t="s">
        <v>364</v>
      </c>
      <c r="E18" s="29" t="s">
        <v>443</v>
      </c>
      <c r="F18" s="466" t="s">
        <v>1244</v>
      </c>
      <c r="G18" s="42" t="s">
        <v>76</v>
      </c>
      <c r="H18" s="88" t="s">
        <v>52</v>
      </c>
      <c r="I18" s="48">
        <v>40000</v>
      </c>
      <c r="J18" s="148"/>
      <c r="K18" s="62" t="s">
        <v>201</v>
      </c>
      <c r="L18" s="161" t="s">
        <v>209</v>
      </c>
      <c r="M18" s="56"/>
      <c r="N18" s="56" t="s">
        <v>305</v>
      </c>
      <c r="O18" s="23"/>
      <c r="P18" s="50"/>
      <c r="Q18" s="50"/>
    </row>
    <row r="19" spans="1:20" ht="21.6" customHeight="1">
      <c r="B19" s="152" t="str">
        <f t="shared" si="0"/>
        <v>Colegio Malageño</v>
      </c>
      <c r="C19" s="27"/>
      <c r="D19" s="23"/>
      <c r="E19" s="46"/>
      <c r="F19" s="416"/>
      <c r="G19" s="23"/>
      <c r="H19" s="464"/>
      <c r="I19" s="48"/>
      <c r="J19" s="48"/>
      <c r="K19" s="4"/>
      <c r="L19" s="2"/>
      <c r="M19" s="56"/>
      <c r="N19" s="56"/>
      <c r="O19" s="23"/>
      <c r="P19" s="50"/>
      <c r="Q19" s="50"/>
    </row>
    <row r="20" spans="1:20" ht="21.6" customHeight="1">
      <c r="B20" s="152" t="str">
        <f t="shared" si="0"/>
        <v>Colegio Malageño</v>
      </c>
      <c r="C20" s="27"/>
      <c r="D20" s="23"/>
      <c r="E20" s="46"/>
      <c r="F20" s="416"/>
      <c r="G20" s="42"/>
      <c r="H20" s="461"/>
      <c r="I20" s="48"/>
      <c r="J20" s="48"/>
      <c r="K20" s="4"/>
      <c r="L20" s="2"/>
      <c r="M20" s="56"/>
      <c r="N20" s="56"/>
      <c r="O20" s="23"/>
      <c r="P20" s="50"/>
      <c r="Q20" s="50"/>
    </row>
    <row r="21" spans="1:20" s="263" customFormat="1">
      <c r="A21" s="252" t="s">
        <v>257</v>
      </c>
      <c r="B21" s="253"/>
      <c r="C21" s="254">
        <v>46107</v>
      </c>
      <c r="D21" s="254"/>
      <c r="E21" s="255"/>
      <c r="F21" s="498"/>
      <c r="G21" s="256"/>
      <c r="H21" s="498"/>
      <c r="I21" s="257"/>
      <c r="J21" s="257"/>
      <c r="K21" s="258"/>
      <c r="L21" s="259"/>
      <c r="M21" s="259"/>
      <c r="N21" s="260"/>
      <c r="O21" s="261"/>
      <c r="P21" s="262"/>
      <c r="Q21" s="262"/>
    </row>
    <row r="22" spans="1:20" s="311" customFormat="1">
      <c r="A22" s="375" t="s">
        <v>257</v>
      </c>
      <c r="B22" s="361" t="str">
        <f t="shared" ref="B22:B23" si="1">+$E$3</f>
        <v>Colegio Malageño</v>
      </c>
      <c r="C22" s="302">
        <v>46149</v>
      </c>
      <c r="D22" s="303"/>
      <c r="E22" s="362"/>
      <c r="F22" s="467"/>
      <c r="G22" s="304"/>
      <c r="H22" s="467"/>
      <c r="I22" s="305"/>
      <c r="J22" s="305"/>
      <c r="K22" s="363"/>
      <c r="L22" s="364"/>
      <c r="M22" s="308"/>
      <c r="N22" s="308"/>
      <c r="O22" s="365"/>
      <c r="P22" s="366"/>
      <c r="Q22" s="366"/>
      <c r="T22" s="360"/>
    </row>
    <row r="23" spans="1:20" s="311" customFormat="1" ht="18.600000000000001" customHeight="1">
      <c r="A23" s="367" t="s">
        <v>257</v>
      </c>
      <c r="B23" s="361" t="str">
        <f t="shared" si="1"/>
        <v>Colegio Malageño</v>
      </c>
      <c r="C23" s="302">
        <v>46163</v>
      </c>
      <c r="D23" s="303"/>
      <c r="E23" s="362"/>
      <c r="F23" s="467"/>
      <c r="G23" s="304"/>
      <c r="H23" s="467"/>
      <c r="I23" s="305"/>
      <c r="J23" s="305"/>
      <c r="K23" s="363"/>
      <c r="L23" s="364"/>
      <c r="M23" s="308"/>
      <c r="N23" s="308"/>
      <c r="O23" s="365"/>
      <c r="P23" s="366"/>
      <c r="Q23" s="366"/>
      <c r="T23" s="360"/>
    </row>
    <row r="24" spans="1:20" ht="21.6" customHeight="1">
      <c r="B24" s="152" t="str">
        <f t="shared" si="0"/>
        <v>Colegio Malageño</v>
      </c>
      <c r="C24" s="27"/>
      <c r="D24" s="23"/>
      <c r="E24" s="29"/>
      <c r="F24" s="462"/>
      <c r="G24" s="23"/>
      <c r="H24" s="461"/>
      <c r="I24" s="44"/>
      <c r="J24" s="44"/>
      <c r="K24" s="19"/>
      <c r="L24" s="2"/>
      <c r="M24" s="56"/>
      <c r="N24" s="56"/>
      <c r="O24" s="23"/>
      <c r="P24" s="50"/>
      <c r="Q24" s="50"/>
    </row>
    <row r="25" spans="1:20" ht="21.6" customHeight="1">
      <c r="B25" s="152" t="str">
        <f t="shared" si="0"/>
        <v>Colegio Malageño</v>
      </c>
      <c r="C25" s="27"/>
      <c r="D25" s="23"/>
      <c r="E25" s="29"/>
      <c r="F25" s="416"/>
      <c r="G25" s="42"/>
      <c r="H25" s="468"/>
      <c r="I25" s="48"/>
      <c r="J25" s="48"/>
      <c r="K25" s="4"/>
      <c r="L25" s="2"/>
      <c r="M25" s="56"/>
      <c r="N25" s="56"/>
      <c r="O25" s="23"/>
      <c r="P25" s="50"/>
      <c r="Q25" s="50"/>
    </row>
    <row r="26" spans="1:20" ht="21.6" customHeight="1">
      <c r="B26" s="152" t="str">
        <f t="shared" si="0"/>
        <v>Colegio Malageño</v>
      </c>
      <c r="C26" s="27"/>
      <c r="D26" s="23"/>
      <c r="E26" s="46"/>
      <c r="F26" s="416"/>
      <c r="G26" s="42"/>
      <c r="H26" s="417"/>
      <c r="I26" s="48"/>
      <c r="J26" s="48"/>
      <c r="K26" s="4"/>
      <c r="L26" s="2"/>
      <c r="M26" s="56"/>
      <c r="N26" s="56"/>
      <c r="O26" s="23"/>
      <c r="P26" s="50"/>
      <c r="Q26" s="50"/>
    </row>
    <row r="27" spans="1:20" ht="21.6" customHeight="1">
      <c r="B27" s="152" t="str">
        <f t="shared" si="0"/>
        <v>Colegio Malageño</v>
      </c>
      <c r="C27" s="27"/>
      <c r="D27" s="23"/>
      <c r="E27" s="46"/>
      <c r="F27" s="416"/>
      <c r="G27" s="42"/>
      <c r="H27" s="417"/>
      <c r="I27" s="48"/>
      <c r="J27" s="48"/>
      <c r="K27" s="4"/>
      <c r="L27" s="2"/>
      <c r="M27" s="56"/>
      <c r="N27" s="56"/>
      <c r="O27" s="23"/>
      <c r="P27" s="50"/>
      <c r="Q27" s="50"/>
    </row>
    <row r="28" spans="1:20" ht="21.6" customHeight="1">
      <c r="B28" s="152" t="str">
        <f t="shared" si="0"/>
        <v>Colegio Malageño</v>
      </c>
      <c r="C28" s="27"/>
      <c r="D28" s="23"/>
      <c r="E28" s="46"/>
      <c r="F28" s="416"/>
      <c r="G28" s="42"/>
      <c r="H28" s="417"/>
      <c r="I28" s="48"/>
      <c r="J28" s="48"/>
      <c r="K28" s="4"/>
      <c r="L28" s="2"/>
      <c r="M28" s="56"/>
      <c r="N28" s="56"/>
      <c r="O28" s="23"/>
      <c r="P28" s="50"/>
      <c r="Q28" s="50"/>
    </row>
    <row r="29" spans="1:20" ht="21.6" customHeight="1">
      <c r="B29" s="152" t="str">
        <f t="shared" si="0"/>
        <v>Colegio Malageño</v>
      </c>
      <c r="C29" s="27"/>
      <c r="D29" s="23"/>
      <c r="E29" s="46"/>
      <c r="F29" s="416"/>
      <c r="G29" s="42"/>
      <c r="H29" s="464"/>
      <c r="I29" s="48"/>
      <c r="J29" s="48"/>
      <c r="K29" s="4"/>
      <c r="L29" s="2"/>
      <c r="M29" s="56"/>
      <c r="N29" s="56"/>
      <c r="O29" s="23"/>
      <c r="P29" s="50"/>
      <c r="Q29" s="50"/>
    </row>
    <row r="30" spans="1:20" ht="21.6" customHeight="1">
      <c r="B30" s="152" t="str">
        <f t="shared" si="0"/>
        <v>Colegio Malageño</v>
      </c>
      <c r="C30" s="27"/>
      <c r="D30" s="23"/>
      <c r="E30" s="29"/>
      <c r="F30" s="462"/>
      <c r="G30" s="23"/>
      <c r="H30" s="461"/>
      <c r="I30" s="44"/>
      <c r="J30" s="48"/>
      <c r="K30" s="4"/>
      <c r="L30" s="2"/>
      <c r="M30" s="56"/>
      <c r="N30" s="56"/>
      <c r="O30" s="23"/>
      <c r="P30" s="50"/>
      <c r="Q30" s="50"/>
    </row>
    <row r="31" spans="1:20" ht="21.6" customHeight="1">
      <c r="B31" s="152" t="str">
        <f t="shared" si="0"/>
        <v>Colegio Malageño</v>
      </c>
      <c r="C31" s="27"/>
      <c r="D31" s="42"/>
      <c r="E31" s="46"/>
      <c r="F31" s="416"/>
      <c r="G31" s="42"/>
      <c r="H31" s="417"/>
      <c r="I31" s="48"/>
      <c r="J31" s="48"/>
      <c r="K31" s="4"/>
      <c r="L31" s="2"/>
      <c r="M31" s="56"/>
      <c r="N31" s="56"/>
      <c r="O31" s="23"/>
      <c r="P31" s="50"/>
      <c r="Q31" s="50"/>
    </row>
    <row r="32" spans="1:20" ht="21.6" customHeight="1">
      <c r="B32" s="152" t="str">
        <f t="shared" si="0"/>
        <v>Colegio Malageño</v>
      </c>
      <c r="C32" s="27"/>
      <c r="D32" s="42"/>
      <c r="E32" s="46"/>
      <c r="F32" s="416"/>
      <c r="G32" s="23"/>
      <c r="H32" s="464"/>
      <c r="I32" s="48"/>
      <c r="J32" s="48"/>
      <c r="K32" s="4"/>
      <c r="L32" s="2"/>
      <c r="M32" s="56"/>
      <c r="N32" s="56"/>
      <c r="O32" s="23"/>
      <c r="P32" s="50"/>
      <c r="Q32" s="50"/>
    </row>
    <row r="33" spans="2:17" ht="21.6" customHeight="1">
      <c r="B33" s="152" t="str">
        <f t="shared" si="0"/>
        <v>Colegio Malageño</v>
      </c>
      <c r="C33" s="27"/>
      <c r="D33" s="38"/>
      <c r="E33" s="38"/>
      <c r="F33" s="416"/>
      <c r="G33" s="39"/>
      <c r="H33" s="419"/>
      <c r="I33" s="40"/>
      <c r="J33" s="40"/>
      <c r="K33" s="4"/>
      <c r="L33" s="2"/>
      <c r="M33" s="56"/>
      <c r="N33" s="56"/>
      <c r="O33" s="2"/>
      <c r="P33" s="50"/>
      <c r="Q33" s="50"/>
    </row>
    <row r="34" spans="2:17" ht="21.6" customHeight="1">
      <c r="B34" s="152" t="str">
        <f t="shared" si="0"/>
        <v>Colegio Malageño</v>
      </c>
      <c r="C34" s="27"/>
      <c r="D34" s="38"/>
      <c r="E34" s="38"/>
      <c r="F34" s="416"/>
      <c r="G34" s="39"/>
      <c r="H34" s="419"/>
      <c r="I34" s="40"/>
      <c r="J34" s="40"/>
      <c r="K34" s="4"/>
      <c r="L34" s="2"/>
      <c r="M34" s="56"/>
      <c r="N34" s="56"/>
      <c r="O34" s="14"/>
      <c r="P34" s="50"/>
      <c r="Q34" s="50"/>
    </row>
    <row r="35" spans="2:17" ht="21.6" customHeight="1">
      <c r="B35" s="152" t="str">
        <f t="shared" si="0"/>
        <v>Colegio Malageño</v>
      </c>
      <c r="C35" s="27"/>
      <c r="D35" s="38"/>
      <c r="E35" s="38"/>
      <c r="F35" s="416"/>
      <c r="G35" s="39"/>
      <c r="H35" s="419"/>
      <c r="I35" s="40"/>
      <c r="J35" s="40"/>
      <c r="K35" s="4"/>
      <c r="L35" s="2"/>
      <c r="M35" s="56"/>
      <c r="N35" s="56"/>
      <c r="O35" s="2"/>
      <c r="P35" s="50"/>
      <c r="Q35" s="50"/>
    </row>
    <row r="36" spans="2:17" ht="21.6" customHeight="1">
      <c r="B36" s="152" t="str">
        <f t="shared" si="0"/>
        <v>Colegio Malageño</v>
      </c>
      <c r="C36" s="27"/>
      <c r="D36" s="38"/>
      <c r="E36" s="38"/>
      <c r="F36" s="416"/>
      <c r="G36" s="39"/>
      <c r="H36" s="419"/>
      <c r="I36" s="40"/>
      <c r="J36" s="40"/>
      <c r="K36" s="4"/>
      <c r="L36" s="2"/>
      <c r="M36" s="56"/>
      <c r="N36" s="56"/>
      <c r="O36" s="2"/>
      <c r="P36" s="50"/>
      <c r="Q36" s="50"/>
    </row>
    <row r="37" spans="2:17" ht="21.6" customHeight="1">
      <c r="B37" s="152" t="str">
        <f t="shared" si="0"/>
        <v>Colegio Malageño</v>
      </c>
      <c r="C37" s="27"/>
      <c r="D37" s="38"/>
      <c r="E37" s="38"/>
      <c r="F37" s="416"/>
      <c r="G37" s="39"/>
      <c r="H37" s="419"/>
      <c r="I37" s="40"/>
      <c r="J37" s="40"/>
      <c r="K37" s="4"/>
      <c r="L37" s="2"/>
      <c r="M37" s="56"/>
      <c r="N37" s="56"/>
      <c r="O37" s="2"/>
      <c r="P37" s="50"/>
      <c r="Q37" s="50"/>
    </row>
    <row r="38" spans="2:17" ht="21.6" customHeight="1">
      <c r="B38" s="152" t="str">
        <f t="shared" si="0"/>
        <v>Colegio Malageño</v>
      </c>
      <c r="C38" s="27"/>
      <c r="D38" s="38"/>
      <c r="E38" s="38"/>
      <c r="F38" s="416"/>
      <c r="G38" s="39"/>
      <c r="H38" s="419"/>
      <c r="I38" s="40"/>
      <c r="J38" s="40"/>
      <c r="K38" s="4"/>
      <c r="L38" s="2"/>
      <c r="M38" s="56"/>
      <c r="N38" s="56"/>
      <c r="O38" s="2"/>
      <c r="P38" s="50"/>
      <c r="Q38" s="50"/>
    </row>
    <row r="39" spans="2:17" ht="21.6" customHeight="1">
      <c r="B39" s="152" t="str">
        <f t="shared" si="0"/>
        <v>Colegio Malageño</v>
      </c>
      <c r="C39" s="27"/>
      <c r="D39" s="38"/>
      <c r="E39" s="38"/>
      <c r="F39" s="416"/>
      <c r="G39" s="39"/>
      <c r="H39" s="419"/>
      <c r="I39" s="40"/>
      <c r="J39" s="40"/>
      <c r="K39" s="4"/>
      <c r="L39" s="2"/>
      <c r="M39" s="56"/>
      <c r="N39" s="56"/>
      <c r="O39" s="2"/>
      <c r="P39" s="50"/>
      <c r="Q39" s="50"/>
    </row>
    <row r="40" spans="2:17" ht="21.6" customHeight="1">
      <c r="B40" s="152" t="str">
        <f t="shared" si="0"/>
        <v>Colegio Malageño</v>
      </c>
      <c r="C40" s="27"/>
      <c r="D40" s="38"/>
      <c r="E40" s="38"/>
      <c r="F40" s="416"/>
      <c r="G40" s="39"/>
      <c r="H40" s="419"/>
      <c r="I40" s="40"/>
      <c r="J40" s="40"/>
      <c r="K40" s="4"/>
      <c r="L40" s="2"/>
      <c r="M40" s="56"/>
      <c r="N40" s="56"/>
      <c r="O40" s="2"/>
      <c r="P40" s="50"/>
      <c r="Q40" s="50"/>
    </row>
    <row r="41" spans="2:17" ht="20.100000000000001" customHeight="1">
      <c r="B41" s="152" t="str">
        <f t="shared" si="0"/>
        <v>Colegio Malageño</v>
      </c>
      <c r="C41" s="27"/>
      <c r="D41" s="469"/>
      <c r="E41" s="38"/>
      <c r="F41" s="419"/>
      <c r="G41" s="53"/>
      <c r="H41" s="469"/>
      <c r="I41" s="4"/>
      <c r="J41" s="4"/>
      <c r="K41" s="4"/>
      <c r="L41" s="14"/>
      <c r="M41" s="56"/>
      <c r="N41" s="56"/>
      <c r="O41" s="2"/>
      <c r="P41" s="50"/>
      <c r="Q41" s="50"/>
    </row>
    <row r="42" spans="2:17" ht="20.100000000000001" customHeight="1" thickBot="1">
      <c r="B42" s="6"/>
      <c r="G42" s="15"/>
      <c r="H42" s="30"/>
      <c r="I42" s="30"/>
      <c r="J42" s="30"/>
      <c r="N42" s="14"/>
    </row>
    <row r="43" spans="2:17" ht="19.350000000000001" customHeight="1" thickBot="1">
      <c r="B43" s="6"/>
      <c r="G43" s="5" t="s">
        <v>258</v>
      </c>
      <c r="H43" s="32">
        <f>SUM(I10:I41)</f>
        <v>270800</v>
      </c>
      <c r="I43" s="31"/>
      <c r="J43" s="31"/>
    </row>
    <row r="44" spans="2:17" ht="13.35" customHeight="1">
      <c r="B44" s="6"/>
      <c r="G44" s="15"/>
      <c r="H44" s="30"/>
      <c r="I44" s="30"/>
      <c r="J44" s="30"/>
    </row>
    <row r="45" spans="2:17">
      <c r="B45" s="6"/>
      <c r="G45" s="15"/>
      <c r="H45" s="30"/>
      <c r="I45" s="30"/>
      <c r="J45" s="30"/>
    </row>
    <row r="46" spans="2:17">
      <c r="B46" s="6"/>
      <c r="G46" s="15"/>
      <c r="H46" s="30"/>
      <c r="I46" s="30"/>
      <c r="J46" s="30"/>
    </row>
    <row r="47" spans="2:17">
      <c r="B47" s="6"/>
      <c r="H47" s="20"/>
      <c r="I47" s="20"/>
      <c r="J47" s="20"/>
    </row>
    <row r="48" spans="2:17">
      <c r="B48" s="6"/>
      <c r="H48" s="20"/>
      <c r="I48" s="20"/>
      <c r="J48" s="20"/>
    </row>
    <row r="49" spans="2:10">
      <c r="B49" s="6"/>
      <c r="H49" s="20"/>
      <c r="I49" s="20"/>
      <c r="J49" s="20"/>
    </row>
    <row r="50" spans="2:10">
      <c r="B50" s="6"/>
      <c r="H50" s="20"/>
      <c r="I50" s="20"/>
      <c r="J50" s="20"/>
    </row>
    <row r="51" spans="2:10">
      <c r="B51" s="6"/>
      <c r="H51" s="20"/>
      <c r="I51" s="20"/>
      <c r="J51" s="20"/>
    </row>
    <row r="52" spans="2:10">
      <c r="B52" s="6"/>
      <c r="H52" s="20"/>
      <c r="I52" s="20"/>
      <c r="J52" s="20"/>
    </row>
    <row r="53" spans="2:10">
      <c r="B53" s="6"/>
      <c r="H53" s="20"/>
      <c r="I53" s="20"/>
      <c r="J53" s="20"/>
    </row>
    <row r="54" spans="2:10">
      <c r="B54" s="6"/>
      <c r="H54" s="20"/>
      <c r="I54" s="20"/>
      <c r="J54" s="20"/>
    </row>
    <row r="55" spans="2:10">
      <c r="B55" s="6"/>
      <c r="H55" s="20"/>
      <c r="I55" s="20"/>
      <c r="J55" s="20"/>
    </row>
    <row r="56" spans="2:10">
      <c r="B56" s="6"/>
      <c r="H56" s="20"/>
      <c r="I56" s="20"/>
      <c r="J56" s="20"/>
    </row>
    <row r="57" spans="2:10">
      <c r="B57" s="6"/>
      <c r="H57" s="20"/>
      <c r="I57" s="20"/>
      <c r="J57" s="20"/>
    </row>
    <row r="58" spans="2:10">
      <c r="B58" s="6"/>
      <c r="H58" s="20"/>
      <c r="I58" s="20"/>
      <c r="J58" s="20"/>
    </row>
    <row r="59" spans="2:10">
      <c r="B59" s="6"/>
      <c r="H59" s="20"/>
      <c r="I59" s="20"/>
      <c r="J59" s="20"/>
    </row>
    <row r="60" spans="2:10">
      <c r="B60" s="6"/>
      <c r="H60" s="20"/>
      <c r="I60" s="20"/>
      <c r="J60" s="20"/>
    </row>
    <row r="61" spans="2:10">
      <c r="B61" s="6"/>
      <c r="H61" s="20"/>
      <c r="I61" s="20"/>
      <c r="J61" s="20"/>
    </row>
    <row r="62" spans="2:10">
      <c r="B62" s="6"/>
      <c r="H62" s="20"/>
      <c r="I62" s="20"/>
      <c r="J62" s="20"/>
    </row>
    <row r="63" spans="2:10">
      <c r="B63" s="6"/>
      <c r="H63" s="20"/>
      <c r="I63" s="20"/>
      <c r="J63" s="20"/>
    </row>
    <row r="64" spans="2:10">
      <c r="B64" s="6"/>
      <c r="H64" s="20"/>
      <c r="I64" s="20"/>
      <c r="J64" s="20"/>
    </row>
    <row r="65" spans="2:10">
      <c r="B65" s="6"/>
      <c r="H65" s="20"/>
      <c r="I65" s="20"/>
      <c r="J65" s="20"/>
    </row>
    <row r="66" spans="2:10">
      <c r="B66" s="6"/>
      <c r="H66" s="20"/>
      <c r="I66" s="20"/>
      <c r="J66" s="20"/>
    </row>
    <row r="67" spans="2:10">
      <c r="B67" s="6"/>
      <c r="H67" s="20"/>
      <c r="I67" s="20"/>
      <c r="J67" s="20"/>
    </row>
    <row r="68" spans="2:10">
      <c r="B68" s="6"/>
      <c r="H68" s="20"/>
      <c r="I68" s="20"/>
      <c r="J68" s="20"/>
    </row>
    <row r="69" spans="2:10">
      <c r="B69" s="6"/>
      <c r="H69" s="20"/>
      <c r="I69" s="20"/>
      <c r="J69" s="20"/>
    </row>
    <row r="70" spans="2:10">
      <c r="B70" s="6"/>
      <c r="H70" s="20"/>
      <c r="I70" s="20"/>
      <c r="J70" s="20"/>
    </row>
    <row r="71" spans="2:10">
      <c r="B71" s="6"/>
      <c r="H71" s="20"/>
      <c r="I71" s="20"/>
      <c r="J71" s="20"/>
    </row>
    <row r="72" spans="2:10">
      <c r="B72" s="6"/>
      <c r="H72" s="20"/>
      <c r="I72" s="20"/>
      <c r="J72" s="20"/>
    </row>
    <row r="73" spans="2:10">
      <c r="B73" s="6"/>
      <c r="H73" s="20"/>
      <c r="I73" s="20"/>
      <c r="J73" s="20"/>
    </row>
    <row r="74" spans="2:10">
      <c r="B74" s="6"/>
      <c r="H74" s="20"/>
      <c r="I74" s="20"/>
      <c r="J74" s="20"/>
    </row>
    <row r="75" spans="2:10">
      <c r="B75" s="6"/>
      <c r="H75" s="20"/>
      <c r="I75" s="20"/>
      <c r="J75" s="20"/>
    </row>
    <row r="76" spans="2:10">
      <c r="B76" s="6"/>
      <c r="H76" s="20"/>
      <c r="I76" s="20"/>
      <c r="J76" s="20"/>
    </row>
    <row r="77" spans="2:10">
      <c r="B77" s="6"/>
      <c r="H77" s="20"/>
      <c r="I77" s="20"/>
      <c r="J77" s="20"/>
    </row>
    <row r="78" spans="2:10">
      <c r="B78" s="6"/>
      <c r="H78" s="20"/>
      <c r="I78" s="20"/>
      <c r="J78" s="20"/>
    </row>
    <row r="79" spans="2:10">
      <c r="B79" s="6"/>
      <c r="H79" s="20"/>
      <c r="I79" s="20"/>
      <c r="J79" s="20"/>
    </row>
    <row r="80" spans="2:10">
      <c r="B80" s="6"/>
      <c r="H80" s="20"/>
      <c r="I80" s="20"/>
      <c r="J80" s="20"/>
    </row>
    <row r="81" spans="2:10">
      <c r="B81" s="6"/>
      <c r="H81" s="20"/>
      <c r="I81" s="20"/>
      <c r="J81" s="20"/>
    </row>
    <row r="82" spans="2:10">
      <c r="B82" s="6"/>
      <c r="H82" s="20"/>
      <c r="I82" s="20"/>
      <c r="J82" s="20"/>
    </row>
    <row r="83" spans="2:10">
      <c r="B83" s="6"/>
      <c r="H83" s="20"/>
      <c r="I83" s="20"/>
      <c r="J83" s="20"/>
    </row>
    <row r="84" spans="2:10">
      <c r="B84" s="6"/>
      <c r="H84" s="20"/>
      <c r="I84" s="20"/>
      <c r="J84" s="20"/>
    </row>
  </sheetData>
  <mergeCells count="5">
    <mergeCell ref="D2:H2"/>
    <mergeCell ref="F3:G3"/>
    <mergeCell ref="F4:G4"/>
    <mergeCell ref="F5:G5"/>
    <mergeCell ref="F6:G6"/>
  </mergeCells>
  <conditionalFormatting sqref="L18">
    <cfRule type="cellIs" dxfId="378" priority="7" operator="equal">
      <formula>"Cuenta Corriente"</formula>
    </cfRule>
    <cfRule type="cellIs" dxfId="377" priority="8" operator="equal">
      <formula>"No Pagado"</formula>
    </cfRule>
  </conditionalFormatting>
  <conditionalFormatting sqref="L16:M17 L21:M21">
    <cfRule type="containsText" dxfId="376" priority="15" operator="containsText" text="Pendiente">
      <formula>NOT(ISERROR(SEARCH("Pendiente",L16)))</formula>
    </cfRule>
    <cfRule type="containsText" dxfId="375" priority="16" operator="containsText" text="Pagado">
      <formula>NOT(ISERROR(SEARCH("Pagado",L16)))</formula>
    </cfRule>
    <cfRule type="containsText" dxfId="374" priority="17" operator="containsText" text="Para abonar">
      <formula>NOT(ISERROR(SEARCH("Para abonar",L16)))</formula>
    </cfRule>
  </conditionalFormatting>
  <conditionalFormatting sqref="L10:N11">
    <cfRule type="cellIs" dxfId="373" priority="37" operator="equal">
      <formula>"Cuenta Corriente"</formula>
    </cfRule>
    <cfRule type="cellIs" dxfId="372" priority="38" operator="equal">
      <formula>"No Pagado"</formula>
    </cfRule>
  </conditionalFormatting>
  <conditionalFormatting sqref="L14:N15">
    <cfRule type="cellIs" dxfId="371" priority="18" operator="equal">
      <formula>"Cuenta Corriente"</formula>
    </cfRule>
    <cfRule type="cellIs" dxfId="370" priority="19" operator="equal">
      <formula>"No Pagado"</formula>
    </cfRule>
  </conditionalFormatting>
  <conditionalFormatting sqref="L19:N20 L24:N41">
    <cfRule type="cellIs" dxfId="369" priority="49" operator="equal">
      <formula>"Cuenta Corriente"</formula>
    </cfRule>
    <cfRule type="cellIs" dxfId="368" priority="50" operator="equal">
      <formula>"No Pagado"</formula>
    </cfRule>
  </conditionalFormatting>
  <conditionalFormatting sqref="L22:O23">
    <cfRule type="cellIs" dxfId="367" priority="1" operator="equal">
      <formula>"Cuenta Corriente"</formula>
    </cfRule>
    <cfRule type="cellIs" dxfId="366" priority="2" operator="equal">
      <formula>"No Pagado"</formula>
    </cfRule>
  </conditionalFormatting>
  <conditionalFormatting sqref="M18">
    <cfRule type="cellIs" dxfId="365" priority="9" operator="equal">
      <formula>"Cuenta Corriente"</formula>
    </cfRule>
    <cfRule type="cellIs" dxfId="364" priority="10" operator="equal">
      <formula>"No Pagado"</formula>
    </cfRule>
  </conditionalFormatting>
  <conditionalFormatting sqref="N12:N13">
    <cfRule type="cellIs" dxfId="363" priority="27" operator="equal">
      <formula>"Cuenta Corriente"</formula>
    </cfRule>
    <cfRule type="cellIs" dxfId="362" priority="28" operator="equal">
      <formula>"No Pagado"</formula>
    </cfRule>
  </conditionalFormatting>
  <conditionalFormatting sqref="N16:N18">
    <cfRule type="cellIs" dxfId="361" priority="5" operator="equal">
      <formula>"Cuenta Corriente"</formula>
    </cfRule>
    <cfRule type="cellIs" dxfId="360" priority="6" operator="equal">
      <formula>"No Pagado"</formula>
    </cfRule>
  </conditionalFormatting>
  <conditionalFormatting sqref="N21">
    <cfRule type="cellIs" dxfId="359" priority="11" operator="equal">
      <formula>"Cuenta Corriente"</formula>
    </cfRule>
    <cfRule type="cellIs" dxfId="358" priority="12" operator="equal">
      <formula>"No Pagado"</formula>
    </cfRule>
  </conditionalFormatting>
  <conditionalFormatting sqref="O10:O21 L12:M13 O24:O32">
    <cfRule type="containsText" dxfId="357" priority="29" operator="containsText" text="Pendiente">
      <formula>NOT(ISERROR(SEARCH("Pendiente",L10)))</formula>
    </cfRule>
    <cfRule type="containsText" dxfId="356" priority="30" operator="containsText" text="Pagado">
      <formula>NOT(ISERROR(SEARCH("Pagado",L10)))</formula>
    </cfRule>
    <cfRule type="containsText" dxfId="355" priority="31" operator="containsText" text="Para abonar">
      <formula>NOT(ISERROR(SEARCH("Para abonar",L10)))</formula>
    </cfRule>
  </conditionalFormatting>
  <conditionalFormatting sqref="O33:O41 N42">
    <cfRule type="cellIs" dxfId="354" priority="54" operator="equal">
      <formula>"Cuenta Corriente"</formula>
    </cfRule>
    <cfRule type="cellIs" dxfId="353" priority="55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D31D40C-77A5-40AF-B594-4E67DB72E1BB}">
          <x14:formula1>
            <xm:f>Consultas!$B$9:$B$11</xm:f>
          </x14:formula1>
          <xm:sqref>N42 O10:O16 L10:M16 K17 N17 N21 O18:O20 L18:M20 K21 L22:M41 O22:O41</xm:sqref>
        </x14:dataValidation>
        <x14:dataValidation type="list" allowBlank="1" showInputMessage="1" showErrorMessage="1" xr:uid="{732CB29A-1B89-4429-91E5-F7575219338D}">
          <x14:formula1>
            <xm:f>Consultas!$B$13:$B$15</xm:f>
          </x14:formula1>
          <xm:sqref>N10:N16 L17:M17 L21:M21 N18:N20 N22:N41</xm:sqref>
        </x14:dataValidation>
        <x14:dataValidation type="list" allowBlank="1" showInputMessage="1" showErrorMessage="1" xr:uid="{B64C6731-1B45-4E9B-BD53-52AE60DB513C}">
          <x14:formula1>
            <xm:f>Proveedores!$B$3:$B$111</xm:f>
          </x14:formula1>
          <xm:sqref>G10:G16 G18:G20 F17 F21 G22:G118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C962-D376-4004-ADF3-661A9E8F1C80}">
  <dimension ref="A1:T82"/>
  <sheetViews>
    <sheetView topLeftCell="A14" zoomScale="70" zoomScaleNormal="70" workbookViewId="0">
      <selection activeCell="N30" sqref="N30"/>
    </sheetView>
  </sheetViews>
  <sheetFormatPr defaultColWidth="11.42578125" defaultRowHeight="14.45"/>
  <cols>
    <col min="1" max="1" width="12.85546875" customWidth="1"/>
    <col min="2" max="2" width="17" bestFit="1" customWidth="1"/>
    <col min="3" max="3" width="17" customWidth="1"/>
    <col min="4" max="4" width="12.28515625" customWidth="1"/>
    <col min="5" max="5" width="18.42578125" bestFit="1" customWidth="1"/>
    <col min="6" max="6" width="53.7109375" bestFit="1" customWidth="1"/>
    <col min="7" max="7" width="18.42578125" customWidth="1"/>
    <col min="8" max="8" width="18" customWidth="1"/>
    <col min="9" max="9" width="16.42578125" customWidth="1"/>
    <col min="10" max="10" width="14.28515625" customWidth="1"/>
    <col min="11" max="11" width="17.85546875" customWidth="1"/>
    <col min="12" max="13" width="12.7109375" customWidth="1"/>
    <col min="14" max="14" width="12.140625" customWidth="1"/>
  </cols>
  <sheetData>
    <row r="1" spans="1:17" ht="15" thickBot="1">
      <c r="B1" s="6"/>
    </row>
    <row r="2" spans="1:17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17" ht="18" customHeight="1">
      <c r="B3" s="6"/>
      <c r="D3" s="8" t="s">
        <v>177</v>
      </c>
      <c r="E3" s="36" t="s">
        <v>1245</v>
      </c>
      <c r="F3" s="423"/>
      <c r="G3" s="424"/>
      <c r="H3" s="37"/>
      <c r="I3" s="15"/>
      <c r="J3" s="15"/>
    </row>
    <row r="4" spans="1:17">
      <c r="B4" s="6"/>
      <c r="D4" s="9" t="s">
        <v>179</v>
      </c>
      <c r="E4" s="449" t="s">
        <v>1246</v>
      </c>
      <c r="F4" s="450" t="s">
        <v>180</v>
      </c>
      <c r="G4" s="451"/>
      <c r="H4" s="35" t="s">
        <v>1241</v>
      </c>
      <c r="I4" s="452"/>
      <c r="J4" s="452"/>
    </row>
    <row r="5" spans="1:17">
      <c r="B5" s="6"/>
      <c r="D5" s="9"/>
      <c r="E5" s="1"/>
      <c r="F5" s="453"/>
      <c r="G5" s="454"/>
      <c r="H5" s="10"/>
      <c r="I5" s="15"/>
      <c r="J5" s="15"/>
    </row>
    <row r="6" spans="1:17" ht="15" thickBot="1">
      <c r="B6" s="6"/>
      <c r="D6" s="11"/>
      <c r="E6" s="12"/>
      <c r="F6" s="455"/>
      <c r="G6" s="456"/>
      <c r="H6" s="13"/>
      <c r="I6" s="15"/>
      <c r="J6" s="15"/>
    </row>
    <row r="7" spans="1:17">
      <c r="B7" s="6"/>
    </row>
    <row r="8" spans="1:17" ht="15" thickBot="1">
      <c r="B8" s="6"/>
    </row>
    <row r="9" spans="1:17" ht="54" customHeight="1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17" ht="35.25" customHeight="1">
      <c r="B10" s="152" t="str">
        <f t="shared" ref="B10:B39" si="0">+$E$3</f>
        <v>Casa siete soles</v>
      </c>
      <c r="C10" s="25">
        <v>46036</v>
      </c>
      <c r="D10" s="23" t="s">
        <v>364</v>
      </c>
      <c r="E10" s="29"/>
      <c r="F10" s="528" t="s">
        <v>1247</v>
      </c>
      <c r="G10" s="41" t="s">
        <v>76</v>
      </c>
      <c r="H10" s="461" t="s">
        <v>817</v>
      </c>
      <c r="I10" s="44">
        <v>60000</v>
      </c>
      <c r="J10" s="44"/>
      <c r="K10" s="44" t="s">
        <v>396</v>
      </c>
      <c r="L10" s="150" t="s">
        <v>209</v>
      </c>
      <c r="M10" s="150"/>
      <c r="N10" s="265" t="s">
        <v>305</v>
      </c>
      <c r="O10" s="23"/>
      <c r="P10" s="49"/>
      <c r="Q10" s="49"/>
    </row>
    <row r="11" spans="1:17" ht="35.25" customHeight="1">
      <c r="B11" s="27" t="str">
        <f>+$E$3</f>
        <v>Casa siete soles</v>
      </c>
      <c r="C11" s="27">
        <v>46036</v>
      </c>
      <c r="D11" s="23" t="s">
        <v>364</v>
      </c>
      <c r="E11" s="29"/>
      <c r="F11" s="528" t="s">
        <v>1248</v>
      </c>
      <c r="G11" s="41" t="s">
        <v>1249</v>
      </c>
      <c r="H11" s="461" t="s">
        <v>216</v>
      </c>
      <c r="I11" s="44">
        <v>0</v>
      </c>
      <c r="J11" s="44"/>
      <c r="K11" s="44" t="s">
        <v>396</v>
      </c>
      <c r="L11" s="150" t="s">
        <v>209</v>
      </c>
      <c r="M11" s="2"/>
      <c r="N11" s="265" t="s">
        <v>305</v>
      </c>
      <c r="O11" s="23"/>
      <c r="P11" s="106"/>
      <c r="Q11" s="106"/>
    </row>
    <row r="12" spans="1:17" s="138" customFormat="1" ht="28.9">
      <c r="A12" s="168" t="s">
        <v>218</v>
      </c>
      <c r="B12" s="170"/>
      <c r="C12" s="171">
        <v>46051</v>
      </c>
      <c r="D12" s="130"/>
      <c r="E12" s="130"/>
      <c r="F12" s="465"/>
      <c r="G12" s="131"/>
      <c r="H12" s="465"/>
      <c r="I12" s="132"/>
      <c r="J12" s="132"/>
      <c r="K12" s="133"/>
      <c r="L12" s="134"/>
      <c r="M12" s="285"/>
      <c r="N12" s="135"/>
      <c r="O12" s="136"/>
      <c r="P12" s="137"/>
      <c r="Q12" s="137"/>
    </row>
    <row r="13" spans="1:17" s="138" customFormat="1" ht="28.9">
      <c r="A13" s="168" t="s">
        <v>218</v>
      </c>
      <c r="B13" s="170"/>
      <c r="C13" s="171">
        <v>46065</v>
      </c>
      <c r="D13" s="171"/>
      <c r="E13" s="130"/>
      <c r="F13" s="465"/>
      <c r="G13" s="131"/>
      <c r="H13" s="465"/>
      <c r="I13" s="132"/>
      <c r="J13" s="132"/>
      <c r="K13" s="133"/>
      <c r="L13" s="134"/>
      <c r="M13" s="285"/>
      <c r="N13" s="135"/>
      <c r="O13" s="136"/>
      <c r="P13" s="137"/>
      <c r="Q13" s="137"/>
    </row>
    <row r="14" spans="1:17" ht="35.25" customHeight="1">
      <c r="B14" s="27" t="str">
        <f>+$E$3</f>
        <v>Casa siete soles</v>
      </c>
      <c r="C14" s="27">
        <v>46074</v>
      </c>
      <c r="D14" s="23" t="s">
        <v>364</v>
      </c>
      <c r="E14" s="29"/>
      <c r="F14" s="528" t="s">
        <v>1248</v>
      </c>
      <c r="G14" s="41" t="s">
        <v>1249</v>
      </c>
      <c r="H14" s="461" t="s">
        <v>216</v>
      </c>
      <c r="I14" s="44">
        <v>0</v>
      </c>
      <c r="J14" s="44"/>
      <c r="K14" s="44" t="s">
        <v>396</v>
      </c>
      <c r="L14" s="150" t="s">
        <v>209</v>
      </c>
      <c r="M14" s="2"/>
      <c r="N14" s="265" t="s">
        <v>305</v>
      </c>
      <c r="O14" s="23"/>
      <c r="P14" s="106"/>
      <c r="Q14" s="106"/>
    </row>
    <row r="15" spans="1:17" s="138" customFormat="1" ht="28.9">
      <c r="A15" s="168" t="s">
        <v>218</v>
      </c>
      <c r="B15" s="170"/>
      <c r="C15" s="171">
        <v>46079</v>
      </c>
      <c r="D15" s="171"/>
      <c r="E15" s="130"/>
      <c r="F15" s="465"/>
      <c r="G15" s="131"/>
      <c r="H15" s="465"/>
      <c r="I15" s="132"/>
      <c r="J15" s="132"/>
      <c r="K15" s="133"/>
      <c r="L15" s="134"/>
      <c r="M15" s="285"/>
      <c r="N15" s="135"/>
      <c r="O15" s="136"/>
      <c r="P15" s="137"/>
      <c r="Q15" s="137"/>
    </row>
    <row r="16" spans="1:17" s="138" customFormat="1" ht="28.9">
      <c r="A16" s="168" t="s">
        <v>218</v>
      </c>
      <c r="B16" s="170"/>
      <c r="C16" s="171">
        <v>46093</v>
      </c>
      <c r="D16" s="171"/>
      <c r="E16" s="130"/>
      <c r="F16" s="465"/>
      <c r="G16" s="131"/>
      <c r="H16" s="465"/>
      <c r="I16" s="132"/>
      <c r="J16" s="132"/>
      <c r="K16" s="133"/>
      <c r="L16" s="134"/>
      <c r="M16" s="134"/>
      <c r="N16" s="135"/>
      <c r="O16" s="136"/>
      <c r="P16" s="137"/>
      <c r="Q16" s="137"/>
    </row>
    <row r="17" spans="1:20" s="138" customFormat="1" ht="28.9">
      <c r="A17" s="168" t="s">
        <v>218</v>
      </c>
      <c r="B17" s="170"/>
      <c r="C17" s="171">
        <v>46107</v>
      </c>
      <c r="D17" s="171"/>
      <c r="E17" s="130"/>
      <c r="F17" s="465"/>
      <c r="G17" s="131"/>
      <c r="H17" s="465"/>
      <c r="I17" s="132"/>
      <c r="J17" s="132"/>
      <c r="K17" s="133"/>
      <c r="L17" s="134"/>
      <c r="M17" s="134"/>
      <c r="N17" s="135"/>
      <c r="O17" s="136"/>
      <c r="P17" s="137"/>
      <c r="Q17" s="137"/>
    </row>
    <row r="18" spans="1:20" ht="35.25" customHeight="1">
      <c r="B18" s="152" t="str">
        <f t="shared" si="0"/>
        <v>Casa siete soles</v>
      </c>
      <c r="C18" s="25">
        <v>46113</v>
      </c>
      <c r="D18" s="23" t="s">
        <v>364</v>
      </c>
      <c r="E18" s="29"/>
      <c r="F18" s="528" t="s">
        <v>1250</v>
      </c>
      <c r="G18" s="41" t="s">
        <v>76</v>
      </c>
      <c r="H18" s="461" t="s">
        <v>817</v>
      </c>
      <c r="I18" s="44">
        <v>47000</v>
      </c>
      <c r="J18" s="44"/>
      <c r="K18" s="44" t="s">
        <v>396</v>
      </c>
      <c r="L18" s="150" t="s">
        <v>209</v>
      </c>
      <c r="M18" s="2"/>
      <c r="N18" s="265" t="s">
        <v>305</v>
      </c>
      <c r="O18" s="23"/>
      <c r="P18" s="49"/>
      <c r="Q18" s="49"/>
    </row>
    <row r="19" spans="1:20" s="138" customFormat="1" ht="28.9">
      <c r="A19" s="168" t="s">
        <v>218</v>
      </c>
      <c r="B19" s="170"/>
      <c r="C19" s="171">
        <v>46121</v>
      </c>
      <c r="D19" s="171"/>
      <c r="E19" s="130"/>
      <c r="F19" s="465"/>
      <c r="G19" s="131"/>
      <c r="H19" s="465"/>
      <c r="I19" s="132"/>
      <c r="J19" s="132"/>
      <c r="K19" s="133"/>
      <c r="L19" s="134"/>
      <c r="M19" s="134"/>
      <c r="N19" s="135"/>
      <c r="O19" s="136"/>
      <c r="P19" s="137"/>
      <c r="Q19" s="137"/>
    </row>
    <row r="20" spans="1:20" ht="35.25" customHeight="1">
      <c r="B20" s="152"/>
      <c r="C20" s="25"/>
      <c r="D20" s="23"/>
      <c r="E20" s="29"/>
      <c r="F20" s="528"/>
      <c r="G20" s="41"/>
      <c r="H20" s="461"/>
      <c r="I20" s="44"/>
      <c r="J20" s="44"/>
      <c r="K20" s="44"/>
      <c r="L20" s="2"/>
      <c r="M20" s="2"/>
      <c r="N20" s="265"/>
      <c r="O20" s="23"/>
      <c r="P20" s="49"/>
      <c r="Q20" s="49"/>
    </row>
    <row r="21" spans="1:20" s="386" customFormat="1" ht="21.6" customHeight="1">
      <c r="A21" s="168" t="s">
        <v>218</v>
      </c>
      <c r="B21" s="156" t="str">
        <f t="shared" si="0"/>
        <v>Casa siete soles</v>
      </c>
      <c r="C21" s="129"/>
      <c r="D21" s="136"/>
      <c r="E21" s="384"/>
      <c r="F21" s="531"/>
      <c r="G21" s="136"/>
      <c r="H21" s="532"/>
      <c r="I21" s="385"/>
      <c r="J21" s="385"/>
      <c r="K21" s="207"/>
      <c r="L21" s="140"/>
      <c r="M21" s="135"/>
      <c r="N21" s="135"/>
      <c r="O21" s="136"/>
      <c r="P21" s="137"/>
      <c r="Q21" s="137"/>
    </row>
    <row r="22" spans="1:20" s="116" customFormat="1" ht="21.6" customHeight="1">
      <c r="A22" s="383"/>
      <c r="B22" s="27" t="str">
        <f>+$E$3</f>
        <v>Casa siete soles</v>
      </c>
      <c r="C22" s="27">
        <v>46140</v>
      </c>
      <c r="D22" s="38" t="s">
        <v>1055</v>
      </c>
      <c r="E22" s="38" t="s">
        <v>808</v>
      </c>
      <c r="F22" s="419" t="s">
        <v>1251</v>
      </c>
      <c r="G22" s="39" t="s">
        <v>89</v>
      </c>
      <c r="H22" s="419"/>
      <c r="I22" s="40">
        <v>120800</v>
      </c>
      <c r="J22" s="40"/>
      <c r="K22" s="40"/>
      <c r="L22" s="150" t="s">
        <v>209</v>
      </c>
      <c r="M22" s="2"/>
      <c r="N22" s="265" t="s">
        <v>305</v>
      </c>
      <c r="O22" s="23"/>
      <c r="P22" s="106"/>
      <c r="Q22" s="106" t="s">
        <v>1252</v>
      </c>
    </row>
    <row r="23" spans="1:20" s="138" customFormat="1" ht="28.9">
      <c r="A23" s="168" t="s">
        <v>218</v>
      </c>
      <c r="B23" s="156" t="str">
        <f t="shared" si="0"/>
        <v>Casa siete soles</v>
      </c>
      <c r="C23" s="171">
        <v>46149</v>
      </c>
      <c r="D23" s="130"/>
      <c r="E23" s="317"/>
      <c r="F23" s="465"/>
      <c r="G23" s="131"/>
      <c r="H23" s="465"/>
      <c r="I23" s="132"/>
      <c r="J23" s="132"/>
      <c r="K23" s="368"/>
      <c r="L23" s="369"/>
      <c r="M23" s="135"/>
      <c r="N23" s="135"/>
      <c r="O23" s="140"/>
      <c r="P23" s="370"/>
      <c r="Q23" s="370"/>
      <c r="T23" s="371"/>
    </row>
    <row r="24" spans="1:20" ht="21.6" customHeight="1">
      <c r="B24" s="152" t="str">
        <f t="shared" si="0"/>
        <v>Casa siete soles</v>
      </c>
      <c r="C24" s="27"/>
      <c r="D24" s="23"/>
      <c r="E24" s="46"/>
      <c r="F24" s="416"/>
      <c r="G24" s="42"/>
      <c r="H24" s="417"/>
      <c r="I24" s="48"/>
      <c r="J24" s="48"/>
      <c r="K24" s="4"/>
      <c r="L24" s="2"/>
      <c r="M24" s="56"/>
      <c r="N24" s="56"/>
      <c r="O24" s="23"/>
      <c r="P24" s="50"/>
      <c r="Q24" s="50"/>
    </row>
    <row r="25" spans="1:20" s="138" customFormat="1" ht="28.9">
      <c r="A25" s="168" t="s">
        <v>218</v>
      </c>
      <c r="B25" s="156" t="str">
        <f t="shared" si="0"/>
        <v>Casa siete soles</v>
      </c>
      <c r="C25" s="171">
        <v>46163</v>
      </c>
      <c r="D25" s="130"/>
      <c r="E25" s="317"/>
      <c r="F25" s="465"/>
      <c r="G25" s="131"/>
      <c r="H25" s="465"/>
      <c r="I25" s="132"/>
      <c r="J25" s="132"/>
      <c r="K25" s="368"/>
      <c r="L25" s="369"/>
      <c r="M25" s="135"/>
      <c r="N25" s="135"/>
      <c r="O25" s="140"/>
      <c r="P25" s="370"/>
      <c r="Q25" s="370"/>
      <c r="T25" s="371"/>
    </row>
    <row r="26" spans="1:20" ht="21.6" customHeight="1">
      <c r="B26" s="152" t="str">
        <f t="shared" si="0"/>
        <v>Casa siete soles</v>
      </c>
      <c r="C26" s="27"/>
      <c r="D26" s="23"/>
      <c r="E26" s="46"/>
      <c r="F26" s="416"/>
      <c r="G26" s="42"/>
      <c r="H26" s="417"/>
      <c r="I26" s="48"/>
      <c r="J26" s="48"/>
      <c r="K26" s="4"/>
      <c r="L26" s="2"/>
      <c r="M26" s="56"/>
      <c r="N26" s="56"/>
      <c r="O26" s="23"/>
      <c r="P26" s="50"/>
      <c r="Q26" s="50"/>
    </row>
    <row r="27" spans="1:20" ht="21.6" customHeight="1">
      <c r="B27" s="152" t="str">
        <f t="shared" si="0"/>
        <v>Casa siete soles</v>
      </c>
      <c r="C27" s="27"/>
      <c r="D27" s="23"/>
      <c r="E27" s="46"/>
      <c r="F27" s="416"/>
      <c r="G27" s="42"/>
      <c r="H27" s="464"/>
      <c r="I27" s="48"/>
      <c r="J27" s="48"/>
      <c r="K27" s="4"/>
      <c r="L27" s="2"/>
      <c r="M27" s="56"/>
      <c r="N27" s="56"/>
      <c r="O27" s="23"/>
      <c r="P27" s="50"/>
      <c r="Q27" s="50"/>
    </row>
    <row r="28" spans="1:20" s="138" customFormat="1" ht="28.9">
      <c r="A28" s="168" t="s">
        <v>218</v>
      </c>
      <c r="B28" s="156" t="str">
        <f t="shared" si="0"/>
        <v>Casa siete soles</v>
      </c>
      <c r="C28" s="171">
        <v>46177</v>
      </c>
      <c r="D28" s="130"/>
      <c r="E28" s="317"/>
      <c r="F28" s="465"/>
      <c r="G28" s="131"/>
      <c r="H28" s="465"/>
      <c r="I28" s="132"/>
      <c r="J28" s="132"/>
      <c r="K28" s="368"/>
      <c r="L28" s="369"/>
      <c r="M28" s="135"/>
      <c r="N28" s="135"/>
      <c r="O28" s="140"/>
      <c r="P28" s="370"/>
      <c r="Q28" s="370"/>
      <c r="T28" s="371"/>
    </row>
    <row r="29" spans="1:20" s="116" customFormat="1" ht="21.6" customHeight="1">
      <c r="A29" s="383"/>
      <c r="B29" s="27" t="str">
        <f>+$E$3</f>
        <v>Casa siete soles</v>
      </c>
      <c r="C29" s="27"/>
      <c r="D29" s="38" t="s">
        <v>1055</v>
      </c>
      <c r="E29" s="38" t="s">
        <v>808</v>
      </c>
      <c r="F29" s="419" t="s">
        <v>1253</v>
      </c>
      <c r="G29" s="39" t="s">
        <v>89</v>
      </c>
      <c r="H29" s="419"/>
      <c r="I29" s="40"/>
      <c r="J29" s="40"/>
      <c r="K29" s="40"/>
      <c r="L29" s="150" t="s">
        <v>732</v>
      </c>
      <c r="M29" s="2"/>
      <c r="N29" s="265" t="s">
        <v>305</v>
      </c>
      <c r="O29" s="23"/>
      <c r="P29" s="106"/>
      <c r="Q29" s="106" t="s">
        <v>1252</v>
      </c>
    </row>
    <row r="30" spans="1:20" ht="21.6" customHeight="1">
      <c r="B30" s="152" t="str">
        <f t="shared" si="0"/>
        <v>Casa siete soles</v>
      </c>
      <c r="C30" s="27"/>
      <c r="D30" s="42"/>
      <c r="E30" s="46"/>
      <c r="F30" s="416"/>
      <c r="G30" s="23"/>
      <c r="H30" s="464"/>
      <c r="I30" s="48"/>
      <c r="J30" s="48"/>
      <c r="K30" s="4"/>
      <c r="L30" s="2"/>
      <c r="M30" s="56"/>
      <c r="N30" s="56"/>
      <c r="O30" s="23"/>
      <c r="P30" s="50"/>
      <c r="Q30" s="50"/>
    </row>
    <row r="31" spans="1:20" s="311" customFormat="1" ht="18.600000000000001" customHeight="1">
      <c r="A31" s="367" t="s">
        <v>257</v>
      </c>
      <c r="B31" s="361" t="str">
        <f t="shared" si="0"/>
        <v>Casa siete soles</v>
      </c>
      <c r="C31" s="302">
        <v>46191</v>
      </c>
      <c r="D31" s="303"/>
      <c r="E31" s="362"/>
      <c r="F31" s="467"/>
      <c r="G31" s="304"/>
      <c r="H31" s="467"/>
      <c r="I31" s="305"/>
      <c r="J31" s="305"/>
      <c r="K31" s="363"/>
      <c r="L31" s="364"/>
      <c r="M31" s="308"/>
      <c r="N31" s="308"/>
      <c r="O31" s="365"/>
      <c r="P31" s="366"/>
      <c r="Q31" s="366"/>
      <c r="T31" s="360"/>
    </row>
    <row r="32" spans="1:20" ht="21.6" customHeight="1">
      <c r="B32" s="152" t="str">
        <f t="shared" si="0"/>
        <v>Casa siete soles</v>
      </c>
      <c r="C32" s="27"/>
      <c r="D32" s="38"/>
      <c r="E32" s="38"/>
      <c r="F32" s="416"/>
      <c r="G32" s="39"/>
      <c r="H32" s="419"/>
      <c r="I32" s="40"/>
      <c r="J32" s="40"/>
      <c r="K32" s="4"/>
      <c r="L32" s="2"/>
      <c r="M32" s="56"/>
      <c r="N32" s="56"/>
      <c r="O32" s="14"/>
      <c r="P32" s="50"/>
      <c r="Q32" s="50"/>
    </row>
    <row r="33" spans="2:17" ht="21.6" customHeight="1">
      <c r="B33" s="152" t="str">
        <f t="shared" si="0"/>
        <v>Casa siete soles</v>
      </c>
      <c r="C33" s="27"/>
      <c r="D33" s="38"/>
      <c r="E33" s="38"/>
      <c r="F33" s="416"/>
      <c r="G33" s="39"/>
      <c r="H33" s="419"/>
      <c r="I33" s="40"/>
      <c r="J33" s="40"/>
      <c r="K33" s="4"/>
      <c r="L33" s="2"/>
      <c r="M33" s="56"/>
      <c r="N33" s="56"/>
      <c r="O33" s="2"/>
      <c r="P33" s="50"/>
      <c r="Q33" s="50"/>
    </row>
    <row r="34" spans="2:17" ht="21.6" customHeight="1">
      <c r="B34" s="152" t="str">
        <f t="shared" si="0"/>
        <v>Casa siete soles</v>
      </c>
      <c r="C34" s="27"/>
      <c r="D34" s="38"/>
      <c r="E34" s="38"/>
      <c r="F34" s="416"/>
      <c r="G34" s="39"/>
      <c r="H34" s="419"/>
      <c r="I34" s="40"/>
      <c r="J34" s="40"/>
      <c r="K34" s="4"/>
      <c r="L34" s="2"/>
      <c r="M34" s="56"/>
      <c r="N34" s="56"/>
      <c r="O34" s="2"/>
      <c r="P34" s="50"/>
      <c r="Q34" s="50"/>
    </row>
    <row r="35" spans="2:17" ht="21.6" customHeight="1">
      <c r="B35" s="152" t="str">
        <f t="shared" si="0"/>
        <v>Casa siete soles</v>
      </c>
      <c r="C35" s="27"/>
      <c r="D35" s="38"/>
      <c r="E35" s="38"/>
      <c r="F35" s="416"/>
      <c r="G35" s="39"/>
      <c r="H35" s="419"/>
      <c r="I35" s="40"/>
      <c r="J35" s="40"/>
      <c r="K35" s="4"/>
      <c r="L35" s="2"/>
      <c r="M35" s="56"/>
      <c r="N35" s="56"/>
      <c r="O35" s="2"/>
      <c r="P35" s="50"/>
      <c r="Q35" s="50"/>
    </row>
    <row r="36" spans="2:17" ht="21.6" customHeight="1">
      <c r="B36" s="152" t="str">
        <f t="shared" si="0"/>
        <v>Casa siete soles</v>
      </c>
      <c r="C36" s="27"/>
      <c r="D36" s="38"/>
      <c r="E36" s="38"/>
      <c r="F36" s="416"/>
      <c r="G36" s="39"/>
      <c r="H36" s="419"/>
      <c r="I36" s="40"/>
      <c r="J36" s="40"/>
      <c r="K36" s="4"/>
      <c r="L36" s="2"/>
      <c r="M36" s="56"/>
      <c r="N36" s="56"/>
      <c r="O36" s="2"/>
      <c r="P36" s="50"/>
      <c r="Q36" s="50"/>
    </row>
    <row r="37" spans="2:17" ht="21.6" customHeight="1">
      <c r="B37" s="152" t="str">
        <f t="shared" si="0"/>
        <v>Casa siete soles</v>
      </c>
      <c r="C37" s="27"/>
      <c r="D37" s="38"/>
      <c r="E37" s="38"/>
      <c r="F37" s="416"/>
      <c r="G37" s="39"/>
      <c r="H37" s="419"/>
      <c r="I37" s="40"/>
      <c r="J37" s="40"/>
      <c r="K37" s="4"/>
      <c r="L37" s="2"/>
      <c r="M37" s="56"/>
      <c r="N37" s="56"/>
      <c r="O37" s="2"/>
      <c r="P37" s="50"/>
      <c r="Q37" s="50"/>
    </row>
    <row r="38" spans="2:17" ht="21.6" customHeight="1">
      <c r="B38" s="152" t="str">
        <f t="shared" si="0"/>
        <v>Casa siete soles</v>
      </c>
      <c r="C38" s="27"/>
      <c r="D38" s="38"/>
      <c r="E38" s="38"/>
      <c r="F38" s="416"/>
      <c r="G38" s="39"/>
      <c r="H38" s="419"/>
      <c r="I38" s="40"/>
      <c r="J38" s="40"/>
      <c r="K38" s="4"/>
      <c r="L38" s="2"/>
      <c r="M38" s="56"/>
      <c r="N38" s="56"/>
      <c r="O38" s="2"/>
      <c r="P38" s="50"/>
      <c r="Q38" s="50"/>
    </row>
    <row r="39" spans="2:17" ht="20.100000000000001" customHeight="1">
      <c r="B39" s="152" t="str">
        <f t="shared" si="0"/>
        <v>Casa siete soles</v>
      </c>
      <c r="C39" s="27"/>
      <c r="D39" s="469"/>
      <c r="E39" s="38"/>
      <c r="F39" s="419"/>
      <c r="G39" s="53"/>
      <c r="H39" s="469"/>
      <c r="I39" s="4"/>
      <c r="J39" s="4"/>
      <c r="K39" s="4"/>
      <c r="L39" s="14"/>
      <c r="M39" s="56"/>
      <c r="N39" s="56"/>
      <c r="O39" s="2"/>
      <c r="P39" s="50"/>
      <c r="Q39" s="50"/>
    </row>
    <row r="40" spans="2:17" ht="20.100000000000001" customHeight="1" thickBot="1">
      <c r="B40" s="6"/>
      <c r="G40" s="15"/>
      <c r="H40" s="30"/>
      <c r="I40" s="30"/>
      <c r="J40" s="30"/>
      <c r="N40" s="14"/>
    </row>
    <row r="41" spans="2:17" ht="19.350000000000001" customHeight="1" thickBot="1">
      <c r="B41" s="6"/>
      <c r="G41" s="5" t="s">
        <v>258</v>
      </c>
      <c r="H41" s="32">
        <f>SUM(I10:I39)</f>
        <v>227800</v>
      </c>
      <c r="I41" s="31"/>
      <c r="J41" s="31"/>
    </row>
    <row r="42" spans="2:17" ht="13.35" customHeight="1">
      <c r="B42" s="6"/>
      <c r="G42" s="15"/>
      <c r="H42" s="30"/>
      <c r="I42" s="30"/>
      <c r="J42" s="30"/>
    </row>
    <row r="43" spans="2:17">
      <c r="B43" s="6"/>
      <c r="G43" s="15"/>
      <c r="H43" s="30"/>
      <c r="I43" s="30"/>
      <c r="J43" s="30"/>
    </row>
    <row r="44" spans="2:17">
      <c r="B44" s="6"/>
      <c r="G44" s="15"/>
      <c r="H44" s="30"/>
      <c r="I44" s="30"/>
      <c r="J44" s="30"/>
    </row>
    <row r="45" spans="2:17">
      <c r="B45" s="6"/>
      <c r="H45" s="20"/>
      <c r="I45" s="20"/>
      <c r="J45" s="20"/>
    </row>
    <row r="46" spans="2:17">
      <c r="B46" s="6"/>
      <c r="H46" s="20"/>
      <c r="I46" s="20"/>
      <c r="J46" s="20"/>
    </row>
    <row r="47" spans="2:17">
      <c r="B47" s="6"/>
      <c r="H47" s="20"/>
      <c r="I47" s="20"/>
      <c r="J47" s="20"/>
    </row>
    <row r="48" spans="2:17">
      <c r="B48" s="6"/>
      <c r="H48" s="20"/>
      <c r="I48" s="20"/>
      <c r="J48" s="20"/>
    </row>
    <row r="49" spans="2:10">
      <c r="B49" s="6"/>
      <c r="H49" s="20"/>
      <c r="I49" s="20"/>
      <c r="J49" s="20"/>
    </row>
    <row r="50" spans="2:10">
      <c r="B50" s="6"/>
      <c r="H50" s="20"/>
      <c r="I50" s="20"/>
      <c r="J50" s="20"/>
    </row>
    <row r="51" spans="2:10">
      <c r="B51" s="6"/>
      <c r="H51" s="20"/>
      <c r="I51" s="20"/>
      <c r="J51" s="20"/>
    </row>
    <row r="52" spans="2:10">
      <c r="B52" s="6"/>
      <c r="H52" s="20"/>
      <c r="I52" s="20"/>
      <c r="J52" s="20"/>
    </row>
    <row r="53" spans="2:10">
      <c r="B53" s="6"/>
      <c r="H53" s="20"/>
      <c r="I53" s="20"/>
      <c r="J53" s="20"/>
    </row>
    <row r="54" spans="2:10">
      <c r="B54" s="6"/>
      <c r="H54" s="20"/>
      <c r="I54" s="20"/>
      <c r="J54" s="20"/>
    </row>
    <row r="55" spans="2:10">
      <c r="B55" s="6"/>
      <c r="H55" s="20"/>
      <c r="I55" s="20"/>
      <c r="J55" s="20"/>
    </row>
    <row r="56" spans="2:10">
      <c r="B56" s="6"/>
      <c r="H56" s="20"/>
      <c r="I56" s="20"/>
      <c r="J56" s="20"/>
    </row>
    <row r="57" spans="2:10">
      <c r="B57" s="6"/>
      <c r="H57" s="20"/>
      <c r="I57" s="20"/>
      <c r="J57" s="20"/>
    </row>
    <row r="58" spans="2:10">
      <c r="B58" s="6"/>
      <c r="H58" s="20"/>
      <c r="I58" s="20"/>
      <c r="J58" s="20"/>
    </row>
    <row r="59" spans="2:10">
      <c r="B59" s="6"/>
      <c r="H59" s="20"/>
      <c r="I59" s="20"/>
      <c r="J59" s="20"/>
    </row>
    <row r="60" spans="2:10">
      <c r="B60" s="6"/>
      <c r="H60" s="20"/>
      <c r="I60" s="20"/>
      <c r="J60" s="20"/>
    </row>
    <row r="61" spans="2:10">
      <c r="B61" s="6"/>
      <c r="H61" s="20"/>
      <c r="I61" s="20"/>
      <c r="J61" s="20"/>
    </row>
    <row r="62" spans="2:10">
      <c r="B62" s="6"/>
      <c r="H62" s="20"/>
      <c r="I62" s="20"/>
      <c r="J62" s="20"/>
    </row>
    <row r="63" spans="2:10">
      <c r="B63" s="6"/>
      <c r="H63" s="20"/>
      <c r="I63" s="20"/>
      <c r="J63" s="20"/>
    </row>
    <row r="64" spans="2:10">
      <c r="B64" s="6"/>
      <c r="H64" s="20"/>
      <c r="I64" s="20"/>
      <c r="J64" s="20"/>
    </row>
    <row r="65" spans="2:10">
      <c r="B65" s="6"/>
      <c r="H65" s="20"/>
      <c r="I65" s="20"/>
      <c r="J65" s="20"/>
    </row>
    <row r="66" spans="2:10">
      <c r="B66" s="6"/>
      <c r="H66" s="20"/>
      <c r="I66" s="20"/>
      <c r="J66" s="20"/>
    </row>
    <row r="67" spans="2:10">
      <c r="B67" s="6"/>
      <c r="H67" s="20"/>
      <c r="I67" s="20"/>
      <c r="J67" s="20"/>
    </row>
    <row r="68" spans="2:10">
      <c r="B68" s="6"/>
      <c r="H68" s="20"/>
      <c r="I68" s="20"/>
      <c r="J68" s="20"/>
    </row>
    <row r="69" spans="2:10">
      <c r="B69" s="6"/>
      <c r="H69" s="20"/>
      <c r="I69" s="20"/>
      <c r="J69" s="20"/>
    </row>
    <row r="70" spans="2:10">
      <c r="B70" s="6"/>
      <c r="H70" s="20"/>
      <c r="I70" s="20"/>
      <c r="J70" s="20"/>
    </row>
    <row r="71" spans="2:10">
      <c r="B71" s="6"/>
      <c r="H71" s="20"/>
      <c r="I71" s="20"/>
      <c r="J71" s="20"/>
    </row>
    <row r="72" spans="2:10">
      <c r="B72" s="6"/>
      <c r="H72" s="20"/>
      <c r="I72" s="20"/>
      <c r="J72" s="20"/>
    </row>
    <row r="73" spans="2:10">
      <c r="B73" s="6"/>
      <c r="H73" s="20"/>
      <c r="I73" s="20"/>
      <c r="J73" s="20"/>
    </row>
    <row r="74" spans="2:10">
      <c r="B74" s="6"/>
      <c r="H74" s="20"/>
      <c r="I74" s="20"/>
      <c r="J74" s="20"/>
    </row>
    <row r="75" spans="2:10">
      <c r="B75" s="6"/>
      <c r="H75" s="20"/>
      <c r="I75" s="20"/>
      <c r="J75" s="20"/>
    </row>
    <row r="76" spans="2:10">
      <c r="B76" s="6"/>
      <c r="H76" s="20"/>
      <c r="I76" s="20"/>
      <c r="J76" s="20"/>
    </row>
    <row r="77" spans="2:10">
      <c r="B77" s="6"/>
      <c r="H77" s="20"/>
      <c r="I77" s="20"/>
      <c r="J77" s="20"/>
    </row>
    <row r="78" spans="2:10">
      <c r="B78" s="6"/>
      <c r="H78" s="20"/>
      <c r="I78" s="20"/>
      <c r="J78" s="20"/>
    </row>
    <row r="79" spans="2:10">
      <c r="B79" s="6"/>
      <c r="H79" s="20"/>
      <c r="I79" s="20"/>
      <c r="J79" s="20"/>
    </row>
    <row r="80" spans="2:10">
      <c r="B80" s="6"/>
      <c r="H80" s="20"/>
      <c r="I80" s="20"/>
      <c r="J80" s="20"/>
    </row>
    <row r="81" spans="2:10">
      <c r="B81" s="6"/>
      <c r="H81" s="20"/>
      <c r="I81" s="20"/>
      <c r="J81" s="20"/>
    </row>
    <row r="82" spans="2:10">
      <c r="B82" s="6"/>
      <c r="H82" s="20"/>
      <c r="I82" s="20"/>
      <c r="J82" s="20"/>
    </row>
  </sheetData>
  <mergeCells count="5">
    <mergeCell ref="D2:H2"/>
    <mergeCell ref="F3:G3"/>
    <mergeCell ref="F4:G4"/>
    <mergeCell ref="F5:G5"/>
    <mergeCell ref="F6:G6"/>
  </mergeCells>
  <conditionalFormatting sqref="L18">
    <cfRule type="cellIs" dxfId="333" priority="23" operator="equal">
      <formula>"Cuenta Corriente"</formula>
    </cfRule>
    <cfRule type="cellIs" dxfId="332" priority="24" operator="equal">
      <formula>"No Pagado"</formula>
    </cfRule>
  </conditionalFormatting>
  <conditionalFormatting sqref="L22">
    <cfRule type="cellIs" dxfId="331" priority="15" operator="equal">
      <formula>"Cuenta Corriente"</formula>
    </cfRule>
    <cfRule type="cellIs" dxfId="330" priority="16" operator="equal">
      <formula>"No Pagado"</formula>
    </cfRule>
  </conditionalFormatting>
  <conditionalFormatting sqref="L29">
    <cfRule type="cellIs" dxfId="329" priority="3" operator="equal">
      <formula>"Cuenta Corriente"</formula>
    </cfRule>
    <cfRule type="cellIs" dxfId="328" priority="4" operator="equal">
      <formula>"No Pagado"</formula>
    </cfRule>
  </conditionalFormatting>
  <conditionalFormatting sqref="L15:M17">
    <cfRule type="containsText" dxfId="327" priority="36" operator="containsText" text="Pendiente">
      <formula>NOT(ISERROR(SEARCH("Pendiente",L15)))</formula>
    </cfRule>
    <cfRule type="containsText" dxfId="326" priority="37" operator="containsText" text="Pagado">
      <formula>NOT(ISERROR(SEARCH("Pagado",L15)))</formula>
    </cfRule>
    <cfRule type="containsText" dxfId="325" priority="38" operator="containsText" text="Para abonar">
      <formula>NOT(ISERROR(SEARCH("Para abonar",L15)))</formula>
    </cfRule>
  </conditionalFormatting>
  <conditionalFormatting sqref="L19:M19">
    <cfRule type="containsText" dxfId="324" priority="31" operator="containsText" text="Pendiente">
      <formula>NOT(ISERROR(SEARCH("Pendiente",L19)))</formula>
    </cfRule>
    <cfRule type="containsText" dxfId="323" priority="32" operator="containsText" text="Pagado">
      <formula>NOT(ISERROR(SEARCH("Pagado",L19)))</formula>
    </cfRule>
    <cfRule type="containsText" dxfId="322" priority="33" operator="containsText" text="Para abonar">
      <formula>NOT(ISERROR(SEARCH("Para abonar",L19)))</formula>
    </cfRule>
  </conditionalFormatting>
  <conditionalFormatting sqref="L10:N11">
    <cfRule type="cellIs" dxfId="321" priority="61" operator="equal">
      <formula>"Cuenta Corriente"</formula>
    </cfRule>
    <cfRule type="cellIs" dxfId="320" priority="62" operator="equal">
      <formula>"No Pagado"</formula>
    </cfRule>
  </conditionalFormatting>
  <conditionalFormatting sqref="L14:N14">
    <cfRule type="cellIs" dxfId="319" priority="49" operator="equal">
      <formula>"Cuenta Corriente"</formula>
    </cfRule>
    <cfRule type="cellIs" dxfId="318" priority="50" operator="equal">
      <formula>"No Pagado"</formula>
    </cfRule>
  </conditionalFormatting>
  <conditionalFormatting sqref="L20:N21 L24:N24 L26:N27 L30:N30 L32:N39">
    <cfRule type="cellIs" dxfId="317" priority="27" operator="equal">
      <formula>"Cuenta Corriente"</formula>
    </cfRule>
    <cfRule type="cellIs" dxfId="316" priority="28" operator="equal">
      <formula>"No Pagado"</formula>
    </cfRule>
  </conditionalFormatting>
  <conditionalFormatting sqref="L23:O23">
    <cfRule type="cellIs" dxfId="315" priority="19" operator="equal">
      <formula>"Cuenta Corriente"</formula>
    </cfRule>
    <cfRule type="cellIs" dxfId="314" priority="20" operator="equal">
      <formula>"No Pagado"</formula>
    </cfRule>
  </conditionalFormatting>
  <conditionalFormatting sqref="L25:O25">
    <cfRule type="cellIs" dxfId="313" priority="11" operator="equal">
      <formula>"Cuenta Corriente"</formula>
    </cfRule>
    <cfRule type="cellIs" dxfId="312" priority="12" operator="equal">
      <formula>"No Pagado"</formula>
    </cfRule>
  </conditionalFormatting>
  <conditionalFormatting sqref="L28:O28">
    <cfRule type="cellIs" dxfId="311" priority="9" operator="equal">
      <formula>"Cuenta Corriente"</formula>
    </cfRule>
    <cfRule type="cellIs" dxfId="310" priority="10" operator="equal">
      <formula>"No Pagado"</formula>
    </cfRule>
  </conditionalFormatting>
  <conditionalFormatting sqref="L31:O31">
    <cfRule type="cellIs" dxfId="309" priority="7" operator="equal">
      <formula>"Cuenta Corriente"</formula>
    </cfRule>
    <cfRule type="cellIs" dxfId="308" priority="8" operator="equal">
      <formula>"No Pagado"</formula>
    </cfRule>
  </conditionalFormatting>
  <conditionalFormatting sqref="M18">
    <cfRule type="cellIs" dxfId="307" priority="21" operator="equal">
      <formula>"Cuenta Corriente"</formula>
    </cfRule>
    <cfRule type="cellIs" dxfId="306" priority="22" operator="equal">
      <formula>"No Pagado"</formula>
    </cfRule>
  </conditionalFormatting>
  <conditionalFormatting sqref="M22">
    <cfRule type="cellIs" dxfId="305" priority="13" operator="equal">
      <formula>"Cuenta Corriente"</formula>
    </cfRule>
    <cfRule type="cellIs" dxfId="304" priority="14" operator="equal">
      <formula>"No Pagado"</formula>
    </cfRule>
  </conditionalFormatting>
  <conditionalFormatting sqref="M29">
    <cfRule type="cellIs" dxfId="303" priority="1" operator="equal">
      <formula>"Cuenta Corriente"</formula>
    </cfRule>
    <cfRule type="cellIs" dxfId="302" priority="2" operator="equal">
      <formula>"No Pagado"</formula>
    </cfRule>
  </conditionalFormatting>
  <conditionalFormatting sqref="N12:N13">
    <cfRule type="cellIs" dxfId="301" priority="51" operator="equal">
      <formula>"Cuenta Corriente"</formula>
    </cfRule>
    <cfRule type="cellIs" dxfId="300" priority="52" operator="equal">
      <formula>"No Pagado"</formula>
    </cfRule>
  </conditionalFormatting>
  <conditionalFormatting sqref="N15:N19">
    <cfRule type="cellIs" dxfId="299" priority="25" operator="equal">
      <formula>"Cuenta Corriente"</formula>
    </cfRule>
    <cfRule type="cellIs" dxfId="298" priority="26" operator="equal">
      <formula>"No Pagado"</formula>
    </cfRule>
  </conditionalFormatting>
  <conditionalFormatting sqref="N22">
    <cfRule type="cellIs" dxfId="297" priority="17" operator="equal">
      <formula>"Cuenta Corriente"</formula>
    </cfRule>
    <cfRule type="cellIs" dxfId="296" priority="18" operator="equal">
      <formula>"No Pagado"</formula>
    </cfRule>
  </conditionalFormatting>
  <conditionalFormatting sqref="N29">
    <cfRule type="cellIs" dxfId="295" priority="5" operator="equal">
      <formula>"Cuenta Corriente"</formula>
    </cfRule>
    <cfRule type="cellIs" dxfId="294" priority="6" operator="equal">
      <formula>"No Pagado"</formula>
    </cfRule>
  </conditionalFormatting>
  <conditionalFormatting sqref="O10:O22 L12:M13 O24 O26:O27 O29:O30">
    <cfRule type="containsText" dxfId="293" priority="53" operator="containsText" text="Pendiente">
      <formula>NOT(ISERROR(SEARCH("Pendiente",L10)))</formula>
    </cfRule>
    <cfRule type="containsText" dxfId="292" priority="54" operator="containsText" text="Pagado">
      <formula>NOT(ISERROR(SEARCH("Pagado",L10)))</formula>
    </cfRule>
    <cfRule type="containsText" dxfId="291" priority="55" operator="containsText" text="Para abonar">
      <formula>NOT(ISERROR(SEARCH("Para abonar",L10)))</formula>
    </cfRule>
  </conditionalFormatting>
  <conditionalFormatting sqref="O32:O39 N40">
    <cfRule type="cellIs" dxfId="290" priority="68" operator="equal">
      <formula>"Cuenta Corriente"</formula>
    </cfRule>
    <cfRule type="cellIs" dxfId="289" priority="69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6AE3EDA-6130-4A82-87CA-4E15A86BC5D1}">
          <x14:formula1>
            <xm:f>Consultas!$B$13:$B$15</xm:f>
          </x14:formula1>
          <xm:sqref>N10:N15 L16:M17 N18 L19:M19 N20:N39</xm:sqref>
        </x14:dataValidation>
        <x14:dataValidation type="list" allowBlank="1" showInputMessage="1" showErrorMessage="1" xr:uid="{9470BC3F-F0B1-40A2-A447-4076E51ADC87}">
          <x14:formula1>
            <xm:f>Consultas!$B$9:$B$11</xm:f>
          </x14:formula1>
          <xm:sqref>N40 O10:O15 L10:M15 N16:N17 K16:K17 N19 L18:M18 K19 O18 O20:O39 L20:M39</xm:sqref>
        </x14:dataValidation>
        <x14:dataValidation type="list" allowBlank="1" showInputMessage="1" showErrorMessage="1" xr:uid="{6F9EFEF6-9570-42D1-BFEE-D282FD14A4CD}">
          <x14:formula1>
            <xm:f>Proveedores!$B$3:$B$111</xm:f>
          </x14:formula1>
          <xm:sqref>G10:G15 F16:F17 G18 F19 G20:G116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A877-3AB5-4297-BA1C-E502788E48CE}">
  <dimension ref="A1:T79"/>
  <sheetViews>
    <sheetView topLeftCell="A8" workbookViewId="0">
      <selection activeCell="A23" sqref="A23:XFD23"/>
    </sheetView>
  </sheetViews>
  <sheetFormatPr defaultColWidth="11.42578125" defaultRowHeight="14.45"/>
  <cols>
    <col min="1" max="1" width="12.85546875" customWidth="1"/>
    <col min="2" max="2" width="19.42578125" bestFit="1" customWidth="1"/>
    <col min="3" max="3" width="17" customWidth="1"/>
    <col min="4" max="4" width="12.28515625" customWidth="1"/>
    <col min="5" max="5" width="18.42578125" bestFit="1" customWidth="1"/>
    <col min="6" max="6" width="53.7109375" bestFit="1" customWidth="1"/>
    <col min="7" max="7" width="14.85546875" bestFit="1" customWidth="1"/>
    <col min="8" max="8" width="18" customWidth="1"/>
    <col min="9" max="9" width="16.42578125" customWidth="1"/>
    <col min="10" max="10" width="14.7109375" customWidth="1"/>
    <col min="11" max="11" width="17.85546875" customWidth="1"/>
    <col min="12" max="13" width="12.7109375" customWidth="1"/>
    <col min="14" max="14" width="15.85546875" bestFit="1" customWidth="1"/>
  </cols>
  <sheetData>
    <row r="1" spans="1:17" ht="15" thickBot="1">
      <c r="B1" s="6"/>
    </row>
    <row r="2" spans="1:17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17" ht="16.149999999999999" thickBot="1">
      <c r="B3" s="6"/>
      <c r="D3" s="8" t="s">
        <v>177</v>
      </c>
      <c r="E3" s="36" t="s">
        <v>1254</v>
      </c>
      <c r="F3" s="423"/>
      <c r="G3" s="424"/>
      <c r="H3" s="37"/>
      <c r="I3" s="15"/>
      <c r="J3" s="15"/>
    </row>
    <row r="4" spans="1:17" ht="15.6">
      <c r="B4" s="6"/>
      <c r="D4" s="9" t="s">
        <v>179</v>
      </c>
      <c r="E4" s="449" t="s">
        <v>1255</v>
      </c>
      <c r="F4" s="450" t="s">
        <v>180</v>
      </c>
      <c r="G4" s="451"/>
      <c r="H4" s="36" t="s">
        <v>1048</v>
      </c>
      <c r="I4" s="452"/>
      <c r="J4" s="452"/>
    </row>
    <row r="5" spans="1:17">
      <c r="B5" s="6"/>
      <c r="D5" s="9"/>
      <c r="E5" s="1"/>
      <c r="F5" s="453"/>
      <c r="G5" s="454"/>
      <c r="H5" s="10"/>
      <c r="I5" s="15"/>
      <c r="J5" s="15"/>
    </row>
    <row r="6" spans="1:17" ht="15" thickBot="1">
      <c r="B6" s="6"/>
      <c r="D6" s="11"/>
      <c r="E6" s="12"/>
      <c r="F6" s="455"/>
      <c r="G6" s="456"/>
      <c r="H6" s="13"/>
      <c r="I6" s="15"/>
      <c r="J6" s="15"/>
    </row>
    <row r="7" spans="1:17">
      <c r="B7" s="6"/>
    </row>
    <row r="8" spans="1:17" ht="15" thickBot="1">
      <c r="B8" s="6"/>
    </row>
    <row r="9" spans="1:17" ht="43.9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17">
      <c r="B10" s="152" t="str">
        <f t="shared" ref="B10:B36" si="0">+$E$3</f>
        <v>Agustin Zampol</v>
      </c>
      <c r="C10" s="25">
        <v>46064</v>
      </c>
      <c r="D10" s="23"/>
      <c r="E10" s="29" t="s">
        <v>1256</v>
      </c>
      <c r="F10" s="528" t="s">
        <v>1257</v>
      </c>
      <c r="G10" s="41" t="s">
        <v>1258</v>
      </c>
      <c r="H10" s="461"/>
      <c r="I10" s="44">
        <v>1936000</v>
      </c>
      <c r="J10" s="44"/>
      <c r="K10" s="44"/>
      <c r="L10" s="150" t="s">
        <v>209</v>
      </c>
      <c r="M10" s="56"/>
      <c r="N10" s="56" t="s">
        <v>305</v>
      </c>
      <c r="O10" s="23"/>
      <c r="P10" s="49"/>
      <c r="Q10" s="49"/>
    </row>
    <row r="11" spans="1:17">
      <c r="B11" s="152" t="str">
        <f t="shared" si="0"/>
        <v>Agustin Zampol</v>
      </c>
      <c r="C11" s="25">
        <v>46064</v>
      </c>
      <c r="D11" s="23"/>
      <c r="E11" s="29"/>
      <c r="F11" s="462" t="s">
        <v>1259</v>
      </c>
      <c r="G11" s="41" t="s">
        <v>1260</v>
      </c>
      <c r="H11" s="461"/>
      <c r="I11" s="44">
        <v>320000</v>
      </c>
      <c r="J11" s="44"/>
      <c r="K11" s="44"/>
      <c r="L11" s="150" t="s">
        <v>209</v>
      </c>
      <c r="M11" s="56"/>
      <c r="N11" s="56" t="s">
        <v>305</v>
      </c>
      <c r="O11" s="23"/>
      <c r="P11" s="106"/>
      <c r="Q11" s="106"/>
    </row>
    <row r="12" spans="1:17">
      <c r="B12" s="152" t="str">
        <f t="shared" si="0"/>
        <v>Agustin Zampol</v>
      </c>
      <c r="C12" s="27">
        <v>46064</v>
      </c>
      <c r="D12" s="42"/>
      <c r="E12" s="38"/>
      <c r="F12" s="462" t="s">
        <v>1261</v>
      </c>
      <c r="G12" s="41" t="s">
        <v>1260</v>
      </c>
      <c r="H12" s="461"/>
      <c r="I12" s="44">
        <v>89000</v>
      </c>
      <c r="J12" s="44"/>
      <c r="K12" s="44"/>
      <c r="L12" s="150" t="s">
        <v>209</v>
      </c>
      <c r="M12" s="56"/>
      <c r="N12" s="56" t="s">
        <v>305</v>
      </c>
      <c r="O12" s="23"/>
      <c r="P12" s="106"/>
      <c r="Q12" s="106"/>
    </row>
    <row r="13" spans="1:17" s="138" customFormat="1" ht="28.9">
      <c r="A13" s="168" t="s">
        <v>218</v>
      </c>
      <c r="B13" s="390"/>
      <c r="C13" s="390">
        <v>46065</v>
      </c>
      <c r="D13" s="390"/>
      <c r="E13" s="384"/>
      <c r="F13" s="465"/>
      <c r="G13" s="131"/>
      <c r="H13" s="465"/>
      <c r="I13" s="132"/>
      <c r="J13" s="132"/>
      <c r="K13" s="133"/>
      <c r="L13" s="134"/>
      <c r="M13" s="285"/>
      <c r="N13" s="135"/>
      <c r="O13" s="136"/>
      <c r="P13" s="137"/>
      <c r="Q13" s="137"/>
    </row>
    <row r="14" spans="1:17" s="138" customFormat="1" ht="28.9">
      <c r="A14" s="168" t="s">
        <v>218</v>
      </c>
      <c r="B14" s="390"/>
      <c r="C14" s="390">
        <v>46079</v>
      </c>
      <c r="D14" s="390"/>
      <c r="E14" s="384"/>
      <c r="F14" s="465"/>
      <c r="G14" s="131"/>
      <c r="H14" s="465"/>
      <c r="I14" s="132"/>
      <c r="J14" s="132"/>
      <c r="K14" s="133"/>
      <c r="L14" s="134"/>
      <c r="M14" s="285"/>
      <c r="N14" s="135"/>
      <c r="O14" s="136"/>
      <c r="P14" s="137"/>
      <c r="Q14" s="137"/>
    </row>
    <row r="15" spans="1:17" s="138" customFormat="1" ht="28.9">
      <c r="A15" s="168" t="s">
        <v>218</v>
      </c>
      <c r="B15" s="390"/>
      <c r="C15" s="390">
        <v>46093</v>
      </c>
      <c r="D15" s="390"/>
      <c r="E15" s="384"/>
      <c r="F15" s="465"/>
      <c r="G15" s="131"/>
      <c r="H15" s="465"/>
      <c r="I15" s="132"/>
      <c r="J15" s="132"/>
      <c r="K15" s="133"/>
      <c r="L15" s="134"/>
      <c r="M15" s="134"/>
      <c r="N15" s="135"/>
      <c r="O15" s="136"/>
      <c r="P15" s="137"/>
      <c r="Q15" s="137"/>
    </row>
    <row r="16" spans="1:17" s="138" customFormat="1" ht="28.9">
      <c r="A16" s="168" t="s">
        <v>218</v>
      </c>
      <c r="B16" s="390"/>
      <c r="C16" s="390">
        <v>46107</v>
      </c>
      <c r="D16" s="390"/>
      <c r="E16" s="384"/>
      <c r="F16" s="465"/>
      <c r="G16" s="131"/>
      <c r="H16" s="465"/>
      <c r="I16" s="132"/>
      <c r="J16" s="132"/>
      <c r="K16" s="133"/>
      <c r="L16" s="134"/>
      <c r="M16" s="134"/>
      <c r="N16" s="135"/>
      <c r="O16" s="136"/>
      <c r="P16" s="137"/>
      <c r="Q16" s="137"/>
    </row>
    <row r="17" spans="1:20" s="138" customFormat="1" ht="28.9">
      <c r="A17" s="168" t="s">
        <v>218</v>
      </c>
      <c r="B17" s="391" t="str">
        <f t="shared" ref="B17" si="1">+$E$3</f>
        <v>Agustin Zampol</v>
      </c>
      <c r="C17" s="390">
        <v>46149</v>
      </c>
      <c r="D17" s="384"/>
      <c r="E17" s="384"/>
      <c r="F17" s="465"/>
      <c r="G17" s="131"/>
      <c r="H17" s="465"/>
      <c r="I17" s="132"/>
      <c r="J17" s="132"/>
      <c r="K17" s="368"/>
      <c r="L17" s="369"/>
      <c r="M17" s="135"/>
      <c r="N17" s="135"/>
      <c r="O17" s="140"/>
      <c r="P17" s="370"/>
      <c r="Q17" s="370"/>
      <c r="T17" s="371"/>
    </row>
    <row r="18" spans="1:20" s="138" customFormat="1" ht="28.9">
      <c r="A18" s="168" t="s">
        <v>218</v>
      </c>
      <c r="B18" s="391" t="str">
        <f t="shared" si="0"/>
        <v>Agustin Zampol</v>
      </c>
      <c r="C18" s="390">
        <v>46163</v>
      </c>
      <c r="D18" s="384"/>
      <c r="E18" s="384"/>
      <c r="F18" s="465"/>
      <c r="G18" s="131"/>
      <c r="H18" s="465"/>
      <c r="I18" s="132"/>
      <c r="J18" s="132"/>
      <c r="K18" s="368"/>
      <c r="L18" s="369"/>
      <c r="M18" s="135"/>
      <c r="N18" s="135"/>
      <c r="O18" s="140"/>
      <c r="P18" s="370"/>
      <c r="Q18" s="370"/>
      <c r="T18" s="371"/>
    </row>
    <row r="19" spans="1:20" s="138" customFormat="1" ht="28.9">
      <c r="A19" s="168" t="s">
        <v>218</v>
      </c>
      <c r="B19" s="391" t="str">
        <f t="shared" si="0"/>
        <v>Agustin Zampol</v>
      </c>
      <c r="C19" s="390">
        <v>46177</v>
      </c>
      <c r="D19" s="384"/>
      <c r="E19" s="384"/>
      <c r="F19" s="465"/>
      <c r="G19" s="131"/>
      <c r="H19" s="465"/>
      <c r="I19" s="132"/>
      <c r="J19" s="132"/>
      <c r="K19" s="368"/>
      <c r="L19" s="369"/>
      <c r="M19" s="135"/>
      <c r="N19" s="135"/>
      <c r="O19" s="140"/>
      <c r="P19" s="370"/>
      <c r="Q19" s="370"/>
      <c r="T19" s="371"/>
    </row>
    <row r="20" spans="1:20">
      <c r="A20" s="387"/>
      <c r="B20" s="152" t="str">
        <f t="shared" si="0"/>
        <v>Agustin Zampol</v>
      </c>
      <c r="C20" s="152"/>
      <c r="D20" s="41"/>
      <c r="E20" s="46"/>
      <c r="F20" s="416"/>
      <c r="G20" s="42"/>
      <c r="H20" s="417"/>
      <c r="I20" s="48"/>
      <c r="J20" s="48"/>
      <c r="K20" s="4"/>
      <c r="L20" s="2"/>
      <c r="M20" s="56"/>
      <c r="N20" s="56"/>
      <c r="O20" s="23"/>
      <c r="P20" s="50"/>
      <c r="Q20" s="50"/>
    </row>
    <row r="21" spans="1:20">
      <c r="A21" s="387"/>
      <c r="B21" s="27" t="str">
        <f>+$E$3</f>
        <v>Agustin Zampol</v>
      </c>
      <c r="C21" s="27"/>
      <c r="D21" s="38"/>
      <c r="E21" s="38"/>
      <c r="F21" s="416"/>
      <c r="G21" s="39"/>
      <c r="H21" s="419"/>
      <c r="I21" s="40"/>
      <c r="J21" s="40"/>
      <c r="K21" s="4"/>
      <c r="L21" s="86"/>
      <c r="M21" s="56"/>
      <c r="N21" s="56"/>
      <c r="O21" s="23"/>
      <c r="P21" s="50"/>
      <c r="Q21" s="50"/>
    </row>
    <row r="22" spans="1:20">
      <c r="A22" s="387"/>
      <c r="B22" s="27" t="str">
        <f>+$E$3</f>
        <v>Agustin Zampol</v>
      </c>
      <c r="C22" s="27"/>
      <c r="D22" s="38"/>
      <c r="E22" s="38"/>
      <c r="F22" s="416"/>
      <c r="G22" s="39"/>
      <c r="H22" s="419"/>
      <c r="I22" s="40"/>
      <c r="J22" s="40"/>
      <c r="K22" s="4"/>
      <c r="L22" s="86"/>
      <c r="M22" s="56"/>
      <c r="N22" s="56"/>
      <c r="O22" s="23"/>
      <c r="P22" s="50"/>
      <c r="Q22" s="50"/>
    </row>
    <row r="23" spans="1:20" s="311" customFormat="1" ht="18.600000000000001" customHeight="1">
      <c r="A23" s="389" t="s">
        <v>257</v>
      </c>
      <c r="B23" s="361" t="str">
        <f t="shared" si="0"/>
        <v>Agustin Zampol</v>
      </c>
      <c r="C23" s="302">
        <v>46191</v>
      </c>
      <c r="D23" s="303"/>
      <c r="E23" s="362"/>
      <c r="F23" s="467"/>
      <c r="G23" s="304"/>
      <c r="H23" s="467"/>
      <c r="I23" s="305"/>
      <c r="J23" s="305"/>
      <c r="K23" s="363"/>
      <c r="L23" s="364"/>
      <c r="M23" s="308"/>
      <c r="N23" s="308"/>
      <c r="O23" s="365"/>
      <c r="P23" s="366"/>
      <c r="Q23" s="366"/>
      <c r="T23" s="360"/>
    </row>
    <row r="24" spans="1:20">
      <c r="B24" s="152" t="str">
        <f t="shared" si="0"/>
        <v>Agustin Zampol</v>
      </c>
      <c r="C24" s="27"/>
      <c r="D24" s="23"/>
      <c r="E24" s="46"/>
      <c r="F24" s="416"/>
      <c r="G24" s="42"/>
      <c r="H24" s="464"/>
      <c r="I24" s="48"/>
      <c r="J24" s="48"/>
      <c r="K24" s="4"/>
      <c r="L24" s="2"/>
      <c r="M24" s="56"/>
      <c r="N24" s="56"/>
      <c r="O24" s="23"/>
      <c r="P24" s="50"/>
      <c r="Q24" s="50"/>
    </row>
    <row r="25" spans="1:20">
      <c r="B25" s="152" t="str">
        <f t="shared" si="0"/>
        <v>Agustin Zampol</v>
      </c>
      <c r="C25" s="27"/>
      <c r="D25" s="23"/>
      <c r="E25" s="29"/>
      <c r="F25" s="462"/>
      <c r="G25" s="23"/>
      <c r="H25" s="461"/>
      <c r="I25" s="44"/>
      <c r="J25" s="48"/>
      <c r="K25" s="4"/>
      <c r="L25" s="2"/>
      <c r="M25" s="56"/>
      <c r="N25" s="56"/>
      <c r="O25" s="23"/>
      <c r="P25" s="50"/>
      <c r="Q25" s="50"/>
    </row>
    <row r="26" spans="1:20">
      <c r="B26" s="152" t="str">
        <f t="shared" si="0"/>
        <v>Agustin Zampol</v>
      </c>
      <c r="C26" s="27"/>
      <c r="D26" s="42"/>
      <c r="E26" s="46"/>
      <c r="F26" s="416"/>
      <c r="G26" s="42"/>
      <c r="H26" s="417"/>
      <c r="I26" s="48"/>
      <c r="J26" s="48"/>
      <c r="K26" s="4"/>
      <c r="L26" s="2"/>
      <c r="M26" s="56"/>
      <c r="N26" s="56"/>
      <c r="O26" s="23"/>
      <c r="P26" s="50"/>
      <c r="Q26" s="50"/>
    </row>
    <row r="27" spans="1:20">
      <c r="B27" s="152" t="str">
        <f t="shared" si="0"/>
        <v>Agustin Zampol</v>
      </c>
      <c r="C27" s="27"/>
      <c r="D27" s="42"/>
      <c r="E27" s="46"/>
      <c r="F27" s="416"/>
      <c r="G27" s="23"/>
      <c r="H27" s="464"/>
      <c r="I27" s="48"/>
      <c r="J27" s="48"/>
      <c r="K27" s="4"/>
      <c r="L27" s="2"/>
      <c r="M27" s="56"/>
      <c r="N27" s="56"/>
      <c r="O27" s="23"/>
      <c r="P27" s="50"/>
      <c r="Q27" s="50"/>
    </row>
    <row r="28" spans="1:20">
      <c r="B28" s="152" t="str">
        <f t="shared" si="0"/>
        <v>Agustin Zampol</v>
      </c>
      <c r="C28" s="27"/>
      <c r="D28" s="38"/>
      <c r="E28" s="38"/>
      <c r="F28" s="416"/>
      <c r="G28" s="39"/>
      <c r="H28" s="419"/>
      <c r="I28" s="40"/>
      <c r="J28" s="40"/>
      <c r="K28" s="4"/>
      <c r="L28" s="2"/>
      <c r="M28" s="56"/>
      <c r="N28" s="56"/>
      <c r="O28" s="2"/>
      <c r="P28" s="50"/>
      <c r="Q28" s="50"/>
    </row>
    <row r="29" spans="1:20">
      <c r="B29" s="152" t="str">
        <f t="shared" si="0"/>
        <v>Agustin Zampol</v>
      </c>
      <c r="C29" s="27"/>
      <c r="D29" s="38"/>
      <c r="E29" s="38"/>
      <c r="F29" s="416"/>
      <c r="G29" s="39"/>
      <c r="H29" s="419"/>
      <c r="I29" s="40"/>
      <c r="J29" s="40"/>
      <c r="K29" s="4"/>
      <c r="L29" s="2"/>
      <c r="M29" s="56"/>
      <c r="N29" s="56"/>
      <c r="O29" s="14"/>
      <c r="P29" s="50"/>
      <c r="Q29" s="50"/>
    </row>
    <row r="30" spans="1:20">
      <c r="B30" s="152" t="str">
        <f t="shared" si="0"/>
        <v>Agustin Zampol</v>
      </c>
      <c r="C30" s="27"/>
      <c r="D30" s="38"/>
      <c r="E30" s="38"/>
      <c r="F30" s="416"/>
      <c r="G30" s="39"/>
      <c r="H30" s="419"/>
      <c r="I30" s="40"/>
      <c r="J30" s="40"/>
      <c r="K30" s="4"/>
      <c r="L30" s="2"/>
      <c r="M30" s="56"/>
      <c r="N30" s="56"/>
      <c r="O30" s="2"/>
      <c r="P30" s="50"/>
      <c r="Q30" s="50"/>
    </row>
    <row r="31" spans="1:20">
      <c r="B31" s="152" t="str">
        <f t="shared" si="0"/>
        <v>Agustin Zampol</v>
      </c>
      <c r="C31" s="27"/>
      <c r="D31" s="38"/>
      <c r="E31" s="38"/>
      <c r="F31" s="416"/>
      <c r="G31" s="39"/>
      <c r="H31" s="419"/>
      <c r="I31" s="40"/>
      <c r="J31" s="40"/>
      <c r="K31" s="4"/>
      <c r="L31" s="2"/>
      <c r="M31" s="56"/>
      <c r="N31" s="56"/>
      <c r="O31" s="2"/>
      <c r="P31" s="50"/>
      <c r="Q31" s="50"/>
    </row>
    <row r="32" spans="1:20">
      <c r="B32" s="152" t="str">
        <f t="shared" si="0"/>
        <v>Agustin Zampol</v>
      </c>
      <c r="C32" s="27"/>
      <c r="D32" s="38"/>
      <c r="E32" s="38"/>
      <c r="F32" s="416"/>
      <c r="G32" s="39"/>
      <c r="H32" s="419"/>
      <c r="I32" s="40"/>
      <c r="J32" s="40"/>
      <c r="K32" s="4"/>
      <c r="L32" s="2"/>
      <c r="M32" s="56"/>
      <c r="N32" s="56"/>
      <c r="O32" s="2"/>
      <c r="P32" s="50"/>
      <c r="Q32" s="50"/>
    </row>
    <row r="33" spans="2:17">
      <c r="B33" s="152" t="str">
        <f t="shared" si="0"/>
        <v>Agustin Zampol</v>
      </c>
      <c r="C33" s="27"/>
      <c r="D33" s="38"/>
      <c r="E33" s="38"/>
      <c r="F33" s="416"/>
      <c r="G33" s="39"/>
      <c r="H33" s="419"/>
      <c r="I33" s="40"/>
      <c r="J33" s="40"/>
      <c r="K33" s="4"/>
      <c r="L33" s="2"/>
      <c r="M33" s="56"/>
      <c r="N33" s="56"/>
      <c r="O33" s="2"/>
      <c r="P33" s="50"/>
      <c r="Q33" s="50"/>
    </row>
    <row r="34" spans="2:17">
      <c r="B34" s="152" t="str">
        <f t="shared" si="0"/>
        <v>Agustin Zampol</v>
      </c>
      <c r="C34" s="27"/>
      <c r="D34" s="38"/>
      <c r="E34" s="38"/>
      <c r="F34" s="416"/>
      <c r="G34" s="39"/>
      <c r="H34" s="419"/>
      <c r="I34" s="40"/>
      <c r="J34" s="40"/>
      <c r="K34" s="4"/>
      <c r="L34" s="2"/>
      <c r="M34" s="56"/>
      <c r="N34" s="56"/>
      <c r="O34" s="2"/>
      <c r="P34" s="50"/>
      <c r="Q34" s="50"/>
    </row>
    <row r="35" spans="2:17">
      <c r="B35" s="152" t="str">
        <f t="shared" si="0"/>
        <v>Agustin Zampol</v>
      </c>
      <c r="C35" s="27"/>
      <c r="D35" s="38"/>
      <c r="E35" s="38"/>
      <c r="F35" s="416"/>
      <c r="G35" s="39"/>
      <c r="H35" s="419"/>
      <c r="I35" s="40"/>
      <c r="J35" s="40"/>
      <c r="K35" s="4"/>
      <c r="L35" s="2"/>
      <c r="M35" s="56"/>
      <c r="N35" s="56"/>
      <c r="O35" s="2"/>
      <c r="P35" s="50"/>
      <c r="Q35" s="50"/>
    </row>
    <row r="36" spans="2:17">
      <c r="B36" s="152" t="str">
        <f t="shared" si="0"/>
        <v>Agustin Zampol</v>
      </c>
      <c r="C36" s="27"/>
      <c r="D36" s="469"/>
      <c r="E36" s="38"/>
      <c r="F36" s="419"/>
      <c r="G36" s="53"/>
      <c r="H36" s="469"/>
      <c r="I36" s="4"/>
      <c r="J36" s="4"/>
      <c r="K36" s="4"/>
      <c r="L36" s="14"/>
      <c r="M36" s="56"/>
      <c r="N36" s="56"/>
      <c r="O36" s="2"/>
      <c r="P36" s="50"/>
      <c r="Q36" s="50"/>
    </row>
    <row r="37" spans="2:17" ht="15" thickBot="1">
      <c r="B37" s="6"/>
      <c r="G37" s="15"/>
      <c r="H37" s="30"/>
      <c r="I37" s="30"/>
      <c r="J37" s="30"/>
      <c r="N37" s="14"/>
    </row>
    <row r="38" spans="2:17" ht="15" thickBot="1">
      <c r="B38" s="6"/>
      <c r="G38" s="5" t="s">
        <v>258</v>
      </c>
      <c r="H38" s="32">
        <f>SUM(I10:I36)</f>
        <v>2345000</v>
      </c>
      <c r="I38" s="31"/>
      <c r="J38" s="31"/>
    </row>
    <row r="39" spans="2:17">
      <c r="B39" s="6"/>
      <c r="G39" s="15"/>
      <c r="H39" s="30"/>
      <c r="I39" s="30"/>
      <c r="J39" s="30"/>
    </row>
    <row r="40" spans="2:17">
      <c r="B40" s="6"/>
      <c r="G40" s="15"/>
      <c r="H40" s="30"/>
      <c r="I40" s="30"/>
      <c r="J40" s="30"/>
    </row>
    <row r="41" spans="2:17">
      <c r="B41" s="6"/>
      <c r="G41" s="15"/>
      <c r="H41" s="30"/>
      <c r="I41" s="30"/>
      <c r="J41" s="30"/>
    </row>
    <row r="42" spans="2:17">
      <c r="B42" s="6"/>
      <c r="H42" s="20"/>
      <c r="I42" s="20"/>
      <c r="J42" s="20"/>
    </row>
    <row r="43" spans="2:17">
      <c r="B43" s="6"/>
      <c r="H43" s="20"/>
      <c r="I43" s="20"/>
      <c r="J43" s="20"/>
    </row>
    <row r="44" spans="2:17">
      <c r="B44" s="6"/>
      <c r="H44" s="20"/>
      <c r="I44" s="20"/>
      <c r="J44" s="20"/>
    </row>
    <row r="45" spans="2:17">
      <c r="B45" s="6"/>
      <c r="H45" s="20"/>
      <c r="I45" s="20"/>
      <c r="J45" s="20"/>
    </row>
    <row r="46" spans="2:17">
      <c r="B46" s="6"/>
      <c r="H46" s="20"/>
      <c r="I46" s="20"/>
      <c r="J46" s="20"/>
    </row>
    <row r="47" spans="2:17">
      <c r="B47" s="6"/>
      <c r="H47" s="20"/>
      <c r="I47" s="20"/>
      <c r="J47" s="20"/>
    </row>
    <row r="48" spans="2:17">
      <c r="B48" s="6"/>
      <c r="H48" s="20"/>
      <c r="I48" s="20"/>
      <c r="J48" s="20"/>
    </row>
    <row r="49" spans="2:10">
      <c r="B49" s="6"/>
      <c r="H49" s="20"/>
      <c r="I49" s="20"/>
      <c r="J49" s="20"/>
    </row>
    <row r="50" spans="2:10">
      <c r="B50" s="6"/>
      <c r="H50" s="20"/>
      <c r="I50" s="20"/>
      <c r="J50" s="20"/>
    </row>
    <row r="51" spans="2:10">
      <c r="B51" s="6"/>
      <c r="H51" s="20"/>
      <c r="I51" s="20"/>
      <c r="J51" s="20"/>
    </row>
    <row r="52" spans="2:10">
      <c r="B52" s="6"/>
      <c r="H52" s="20"/>
      <c r="I52" s="20"/>
      <c r="J52" s="20"/>
    </row>
    <row r="53" spans="2:10">
      <c r="B53" s="6"/>
      <c r="H53" s="20"/>
      <c r="I53" s="20"/>
      <c r="J53" s="20"/>
    </row>
    <row r="54" spans="2:10">
      <c r="B54" s="6"/>
      <c r="H54" s="20"/>
      <c r="I54" s="20"/>
      <c r="J54" s="20"/>
    </row>
    <row r="55" spans="2:10">
      <c r="B55" s="6"/>
      <c r="H55" s="20"/>
      <c r="I55" s="20"/>
      <c r="J55" s="20"/>
    </row>
    <row r="56" spans="2:10">
      <c r="B56" s="6"/>
      <c r="H56" s="20"/>
      <c r="I56" s="20"/>
      <c r="J56" s="20"/>
    </row>
    <row r="57" spans="2:10">
      <c r="B57" s="6"/>
      <c r="H57" s="20"/>
      <c r="I57" s="20"/>
      <c r="J57" s="20"/>
    </row>
    <row r="58" spans="2:10">
      <c r="B58" s="6"/>
      <c r="H58" s="20"/>
      <c r="I58" s="20"/>
      <c r="J58" s="20"/>
    </row>
    <row r="59" spans="2:10">
      <c r="B59" s="6"/>
      <c r="H59" s="20"/>
      <c r="I59" s="20"/>
      <c r="J59" s="20"/>
    </row>
    <row r="60" spans="2:10">
      <c r="B60" s="6"/>
      <c r="H60" s="20"/>
      <c r="I60" s="20"/>
      <c r="J60" s="20"/>
    </row>
    <row r="61" spans="2:10">
      <c r="B61" s="6"/>
      <c r="H61" s="20"/>
      <c r="I61" s="20"/>
      <c r="J61" s="20"/>
    </row>
    <row r="62" spans="2:10">
      <c r="B62" s="6"/>
      <c r="H62" s="20"/>
      <c r="I62" s="20"/>
      <c r="J62" s="20"/>
    </row>
    <row r="63" spans="2:10">
      <c r="B63" s="6"/>
      <c r="H63" s="20"/>
      <c r="I63" s="20"/>
      <c r="J63" s="20"/>
    </row>
    <row r="64" spans="2:10">
      <c r="B64" s="6"/>
      <c r="H64" s="20"/>
      <c r="I64" s="20"/>
      <c r="J64" s="20"/>
    </row>
    <row r="65" spans="2:10">
      <c r="B65" s="6"/>
      <c r="H65" s="20"/>
      <c r="I65" s="20"/>
      <c r="J65" s="20"/>
    </row>
    <row r="66" spans="2:10">
      <c r="B66" s="6"/>
      <c r="H66" s="20"/>
      <c r="I66" s="20"/>
      <c r="J66" s="20"/>
    </row>
    <row r="67" spans="2:10">
      <c r="B67" s="6"/>
      <c r="H67" s="20"/>
      <c r="I67" s="20"/>
      <c r="J67" s="20"/>
    </row>
    <row r="68" spans="2:10">
      <c r="B68" s="6"/>
      <c r="H68" s="20"/>
      <c r="I68" s="20"/>
      <c r="J68" s="20"/>
    </row>
    <row r="69" spans="2:10">
      <c r="B69" s="6"/>
      <c r="H69" s="20"/>
      <c r="I69" s="20"/>
      <c r="J69" s="20"/>
    </row>
    <row r="70" spans="2:10">
      <c r="B70" s="6"/>
      <c r="H70" s="20"/>
      <c r="I70" s="20"/>
      <c r="J70" s="20"/>
    </row>
    <row r="71" spans="2:10">
      <c r="B71" s="6"/>
      <c r="H71" s="20"/>
      <c r="I71" s="20"/>
      <c r="J71" s="20"/>
    </row>
    <row r="72" spans="2:10">
      <c r="B72" s="6"/>
      <c r="H72" s="20"/>
      <c r="I72" s="20"/>
      <c r="J72" s="20"/>
    </row>
    <row r="73" spans="2:10">
      <c r="B73" s="6"/>
      <c r="H73" s="20"/>
      <c r="I73" s="20"/>
      <c r="J73" s="20"/>
    </row>
    <row r="74" spans="2:10">
      <c r="B74" s="6"/>
      <c r="H74" s="20"/>
      <c r="I74" s="20"/>
      <c r="J74" s="20"/>
    </row>
    <row r="75" spans="2:10">
      <c r="B75" s="6"/>
      <c r="H75" s="20"/>
      <c r="I75" s="20"/>
      <c r="J75" s="20"/>
    </row>
    <row r="76" spans="2:10">
      <c r="B76" s="6"/>
      <c r="H76" s="20"/>
      <c r="I76" s="20"/>
      <c r="J76" s="20"/>
    </row>
    <row r="77" spans="2:10">
      <c r="B77" s="6"/>
      <c r="H77" s="20"/>
      <c r="I77" s="20"/>
      <c r="J77" s="20"/>
    </row>
    <row r="78" spans="2:10">
      <c r="B78" s="6"/>
      <c r="H78" s="20"/>
      <c r="I78" s="20"/>
      <c r="J78" s="20"/>
    </row>
    <row r="79" spans="2:10">
      <c r="B79" s="6"/>
      <c r="H79" s="20"/>
      <c r="I79" s="20"/>
      <c r="J79" s="20"/>
    </row>
  </sheetData>
  <mergeCells count="5">
    <mergeCell ref="D2:H2"/>
    <mergeCell ref="F3:G3"/>
    <mergeCell ref="F4:G4"/>
    <mergeCell ref="F5:G5"/>
    <mergeCell ref="F6:G6"/>
  </mergeCells>
  <conditionalFormatting sqref="L10:M12">
    <cfRule type="cellIs" dxfId="269" priority="39" operator="equal">
      <formula>"Cuenta Corriente"</formula>
    </cfRule>
    <cfRule type="cellIs" dxfId="268" priority="40" operator="equal">
      <formula>"No Pagado"</formula>
    </cfRule>
  </conditionalFormatting>
  <conditionalFormatting sqref="L13:M16">
    <cfRule type="containsText" dxfId="267" priority="11" operator="containsText" text="Pendiente">
      <formula>NOT(ISERROR(SEARCH("Pendiente",L13)))</formula>
    </cfRule>
    <cfRule type="containsText" dxfId="266" priority="12" operator="containsText" text="Pagado">
      <formula>NOT(ISERROR(SEARCH("Pagado",L13)))</formula>
    </cfRule>
    <cfRule type="containsText" dxfId="265" priority="13" operator="containsText" text="Para abonar">
      <formula>NOT(ISERROR(SEARCH("Para abonar",L13)))</formula>
    </cfRule>
  </conditionalFormatting>
  <conditionalFormatting sqref="L20:N22 L24:N36">
    <cfRule type="cellIs" dxfId="264" priority="41" operator="equal">
      <formula>"Cuenta Corriente"</formula>
    </cfRule>
    <cfRule type="cellIs" dxfId="263" priority="42" operator="equal">
      <formula>"No Pagado"</formula>
    </cfRule>
  </conditionalFormatting>
  <conditionalFormatting sqref="L17:O19">
    <cfRule type="cellIs" dxfId="262" priority="3" operator="equal">
      <formula>"Cuenta Corriente"</formula>
    </cfRule>
    <cfRule type="cellIs" dxfId="261" priority="4" operator="equal">
      <formula>"No Pagado"</formula>
    </cfRule>
  </conditionalFormatting>
  <conditionalFormatting sqref="L23:O23">
    <cfRule type="cellIs" dxfId="260" priority="1" operator="equal">
      <formula>"Cuenta Corriente"</formula>
    </cfRule>
    <cfRule type="cellIs" dxfId="259" priority="2" operator="equal">
      <formula>"No Pagado"</formula>
    </cfRule>
  </conditionalFormatting>
  <conditionalFormatting sqref="N10:N16">
    <cfRule type="cellIs" dxfId="258" priority="9" operator="equal">
      <formula>"Cuenta Corriente"</formula>
    </cfRule>
    <cfRule type="cellIs" dxfId="257" priority="10" operator="equal">
      <formula>"No Pagado"</formula>
    </cfRule>
  </conditionalFormatting>
  <conditionalFormatting sqref="O10:O16 O20:O22 O24:O27">
    <cfRule type="containsText" dxfId="256" priority="14" operator="containsText" text="Pendiente">
      <formula>NOT(ISERROR(SEARCH("Pendiente",O10)))</formula>
    </cfRule>
    <cfRule type="containsText" dxfId="255" priority="15" operator="containsText" text="Pagado">
      <formula>NOT(ISERROR(SEARCH("Pagado",O10)))</formula>
    </cfRule>
    <cfRule type="containsText" dxfId="254" priority="16" operator="containsText" text="Para abonar">
      <formula>NOT(ISERROR(SEARCH("Para abonar",O10)))</formula>
    </cfRule>
  </conditionalFormatting>
  <conditionalFormatting sqref="O28:O36 N37">
    <cfRule type="cellIs" dxfId="253" priority="43" operator="equal">
      <formula>"Cuenta Corriente"</formula>
    </cfRule>
    <cfRule type="cellIs" dxfId="252" priority="44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242B291-B7C6-46DC-A83C-E8CE4D6ED44E}">
          <x14:formula1>
            <xm:f>Consultas!$B$9:$B$11</xm:f>
          </x14:formula1>
          <xm:sqref>N37 O10:O14 L10:M14 K15:K16 N15:N16 L17:M36 O17:O36</xm:sqref>
        </x14:dataValidation>
        <x14:dataValidation type="list" allowBlank="1" showInputMessage="1" showErrorMessage="1" xr:uid="{478E9FC4-5B46-478A-AECB-3E883233297C}">
          <x14:formula1>
            <xm:f>Consultas!$B$13:$B$16</xm:f>
          </x14:formula1>
          <xm:sqref>N10:N12</xm:sqref>
        </x14:dataValidation>
        <x14:dataValidation type="list" allowBlank="1" showInputMessage="1" showErrorMessage="1" xr:uid="{1B12E761-642D-46BE-B4E3-850EC1DF842A}">
          <x14:formula1>
            <xm:f>Consultas!$B$13:$B$15</xm:f>
          </x14:formula1>
          <xm:sqref>N13:N14 L15:M16 N17:N36</xm:sqref>
        </x14:dataValidation>
        <x14:dataValidation type="list" allowBlank="1" showInputMessage="1" showErrorMessage="1" xr:uid="{4C74A8CA-8A69-4F80-B6D9-E4F2A9F3969D}">
          <x14:formula1>
            <xm:f>Proveedores!$B$3:$B$111</xm:f>
          </x14:formula1>
          <xm:sqref>G10:G14 F15:F16 G17:G112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3332-7CFC-4F4B-A9DC-2B4C50FCD70B}">
  <dimension ref="A1:T112"/>
  <sheetViews>
    <sheetView topLeftCell="A47" zoomScale="85" zoomScaleNormal="85" workbookViewId="0">
      <selection activeCell="M75" sqref="M75"/>
    </sheetView>
  </sheetViews>
  <sheetFormatPr defaultColWidth="11.42578125" defaultRowHeight="14.45"/>
  <cols>
    <col min="1" max="1" width="9.42578125" customWidth="1"/>
    <col min="2" max="2" width="12.7109375" bestFit="1" customWidth="1"/>
    <col min="3" max="3" width="16" bestFit="1" customWidth="1"/>
    <col min="4" max="4" width="16.85546875" customWidth="1"/>
    <col min="5" max="5" width="16.28515625" bestFit="1" customWidth="1"/>
    <col min="6" max="6" width="33.140625" customWidth="1"/>
    <col min="7" max="7" width="25.28515625" customWidth="1"/>
    <col min="8" max="8" width="25.42578125" customWidth="1"/>
    <col min="9" max="9" width="16.42578125" customWidth="1"/>
    <col min="10" max="10" width="14.5703125" customWidth="1"/>
    <col min="11" max="11" width="17.85546875" customWidth="1"/>
    <col min="12" max="13" width="12.7109375" customWidth="1"/>
    <col min="14" max="14" width="19" customWidth="1"/>
  </cols>
  <sheetData>
    <row r="1" spans="2:20" ht="15" thickBot="1">
      <c r="B1" s="6"/>
    </row>
    <row r="2" spans="2:20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2:20" ht="15.6">
      <c r="B3" s="6"/>
      <c r="D3" s="8" t="s">
        <v>177</v>
      </c>
      <c r="E3" s="36" t="s">
        <v>1262</v>
      </c>
      <c r="F3" s="423"/>
      <c r="G3" s="424"/>
      <c r="H3" s="37"/>
      <c r="I3" s="15"/>
      <c r="J3" s="15"/>
    </row>
    <row r="4" spans="2:20">
      <c r="B4" s="6"/>
      <c r="D4" s="9" t="s">
        <v>179</v>
      </c>
      <c r="E4" s="449" t="s">
        <v>1263</v>
      </c>
      <c r="F4" s="450" t="s">
        <v>180</v>
      </c>
      <c r="G4" s="451"/>
      <c r="H4" s="35" t="s">
        <v>1047</v>
      </c>
      <c r="I4" s="452"/>
      <c r="J4" s="452"/>
    </row>
    <row r="5" spans="2:20">
      <c r="B5" s="6"/>
      <c r="D5" s="9"/>
      <c r="E5" s="1"/>
      <c r="F5" s="453"/>
      <c r="G5" s="454"/>
      <c r="H5" s="10"/>
      <c r="I5" s="15"/>
      <c r="J5" s="15"/>
    </row>
    <row r="6" spans="2:20" ht="15" thickBot="1">
      <c r="B6" s="6"/>
      <c r="D6" s="11"/>
      <c r="E6" s="12"/>
      <c r="F6" s="455"/>
      <c r="G6" s="456"/>
      <c r="H6" s="13"/>
      <c r="I6" s="15"/>
      <c r="J6" s="15"/>
    </row>
    <row r="7" spans="2:20">
      <c r="B7" s="6"/>
    </row>
    <row r="8" spans="2:20" ht="15" thickBot="1">
      <c r="B8" s="6"/>
    </row>
    <row r="9" spans="2:20" ht="43.9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2:20" ht="39.75" customHeight="1">
      <c r="B10" s="152" t="str">
        <f t="shared" ref="B10:B69" si="0">+$E$3</f>
        <v>Losa Mogetta</v>
      </c>
      <c r="C10" s="25"/>
      <c r="D10" s="23"/>
      <c r="E10" s="29" t="s">
        <v>808</v>
      </c>
      <c r="F10" s="528" t="s">
        <v>1230</v>
      </c>
      <c r="G10" s="274" t="s">
        <v>1231</v>
      </c>
      <c r="H10" s="461" t="s">
        <v>1232</v>
      </c>
      <c r="I10" s="530"/>
      <c r="J10" s="530">
        <v>74</v>
      </c>
      <c r="K10" s="44"/>
      <c r="L10" s="161" t="s">
        <v>209</v>
      </c>
      <c r="M10" s="286"/>
      <c r="N10" s="56"/>
      <c r="O10" s="23"/>
      <c r="P10" s="49"/>
      <c r="Q10" s="49"/>
    </row>
    <row r="11" spans="2:20">
      <c r="B11" s="152" t="str">
        <f t="shared" si="0"/>
        <v>Losa Mogetta</v>
      </c>
      <c r="C11" s="27">
        <v>46063</v>
      </c>
      <c r="D11" s="23" t="s">
        <v>867</v>
      </c>
      <c r="E11" s="29" t="s">
        <v>808</v>
      </c>
      <c r="F11" s="462" t="s">
        <v>1264</v>
      </c>
      <c r="G11" s="41" t="s">
        <v>144</v>
      </c>
      <c r="H11" s="461" t="s">
        <v>1265</v>
      </c>
      <c r="I11" s="530"/>
      <c r="J11" s="530">
        <v>1497.06</v>
      </c>
      <c r="K11" s="44" t="s">
        <v>1266</v>
      </c>
      <c r="L11" s="161" t="s">
        <v>209</v>
      </c>
      <c r="M11" s="286"/>
      <c r="N11" s="56"/>
      <c r="O11" s="23"/>
      <c r="P11" s="106"/>
      <c r="Q11" s="106"/>
      <c r="R11" s="447" t="s">
        <v>1267</v>
      </c>
      <c r="S11" s="533"/>
    </row>
    <row r="12" spans="2:20">
      <c r="B12" s="152" t="str">
        <f t="shared" si="0"/>
        <v>Losa Mogetta</v>
      </c>
      <c r="C12" s="27">
        <v>46063</v>
      </c>
      <c r="D12" s="23" t="s">
        <v>867</v>
      </c>
      <c r="E12" s="29" t="s">
        <v>808</v>
      </c>
      <c r="F12" s="462" t="s">
        <v>1268</v>
      </c>
      <c r="G12" s="41" t="s">
        <v>144</v>
      </c>
      <c r="H12" s="461" t="s">
        <v>1265</v>
      </c>
      <c r="I12" s="530"/>
      <c r="J12" s="530">
        <v>1839.3</v>
      </c>
      <c r="K12" s="44" t="s">
        <v>1266</v>
      </c>
      <c r="L12" s="161" t="s">
        <v>209</v>
      </c>
      <c r="M12" s="286"/>
      <c r="N12" s="56"/>
      <c r="O12" s="23"/>
      <c r="P12" s="106"/>
      <c r="Q12" s="106"/>
      <c r="R12" s="447" t="s">
        <v>1267</v>
      </c>
      <c r="S12" s="533"/>
      <c r="T12" s="447"/>
    </row>
    <row r="13" spans="2:20">
      <c r="B13" s="152" t="str">
        <f t="shared" si="0"/>
        <v>Losa Mogetta</v>
      </c>
      <c r="C13" s="27">
        <v>46072</v>
      </c>
      <c r="D13" s="23" t="s">
        <v>867</v>
      </c>
      <c r="E13" s="29" t="s">
        <v>808</v>
      </c>
      <c r="F13" s="462" t="s">
        <v>1268</v>
      </c>
      <c r="G13" s="41" t="s">
        <v>144</v>
      </c>
      <c r="H13" s="461" t="s">
        <v>1265</v>
      </c>
      <c r="I13" s="530"/>
      <c r="J13" s="530">
        <v>332.02</v>
      </c>
      <c r="K13" s="44" t="s">
        <v>1266</v>
      </c>
      <c r="L13" s="161" t="s">
        <v>209</v>
      </c>
      <c r="M13" s="286"/>
      <c r="N13" s="56"/>
      <c r="O13" s="23"/>
      <c r="P13" s="106"/>
      <c r="Q13" s="106"/>
      <c r="R13" s="447" t="s">
        <v>1267</v>
      </c>
      <c r="S13" s="533"/>
      <c r="T13" s="447"/>
    </row>
    <row r="14" spans="2:20" s="330" customFormat="1">
      <c r="B14" s="331" t="str">
        <f t="shared" si="0"/>
        <v>Losa Mogetta</v>
      </c>
      <c r="C14" s="332">
        <v>46072</v>
      </c>
      <c r="D14" s="108" t="s">
        <v>1269</v>
      </c>
      <c r="E14" s="180" t="s">
        <v>808</v>
      </c>
      <c r="F14" s="269" t="s">
        <v>1268</v>
      </c>
      <c r="G14" s="111" t="s">
        <v>144</v>
      </c>
      <c r="H14" s="112" t="s">
        <v>1265</v>
      </c>
      <c r="I14" s="333"/>
      <c r="J14" s="333">
        <v>-474.32</v>
      </c>
      <c r="K14" s="117" t="s">
        <v>1266</v>
      </c>
      <c r="L14" s="334" t="s">
        <v>209</v>
      </c>
      <c r="M14" s="335"/>
      <c r="N14" s="336"/>
      <c r="O14" s="108"/>
      <c r="P14" s="337"/>
      <c r="Q14" s="337"/>
      <c r="R14" s="330" t="s">
        <v>1267</v>
      </c>
      <c r="S14" s="338"/>
    </row>
    <row r="15" spans="2:20" s="330" customFormat="1">
      <c r="B15" s="331" t="str">
        <f t="shared" si="0"/>
        <v>Losa Mogetta</v>
      </c>
      <c r="C15" s="332">
        <v>46072</v>
      </c>
      <c r="D15" s="108" t="s">
        <v>1269</v>
      </c>
      <c r="E15" s="180" t="s">
        <v>808</v>
      </c>
      <c r="F15" s="269" t="s">
        <v>1268</v>
      </c>
      <c r="G15" s="111" t="s">
        <v>144</v>
      </c>
      <c r="H15" s="112" t="s">
        <v>1265</v>
      </c>
      <c r="I15" s="333"/>
      <c r="J15" s="333">
        <v>-155.85</v>
      </c>
      <c r="K15" s="117" t="s">
        <v>1266</v>
      </c>
      <c r="L15" s="334" t="s">
        <v>209</v>
      </c>
      <c r="M15" s="335"/>
      <c r="N15" s="336"/>
      <c r="O15" s="108"/>
      <c r="P15" s="337"/>
      <c r="Q15" s="337"/>
      <c r="R15" s="330" t="s">
        <v>1267</v>
      </c>
      <c r="S15" s="338"/>
    </row>
    <row r="16" spans="2:20">
      <c r="B16" s="27" t="str">
        <f>+$E$3</f>
        <v>Losa Mogetta</v>
      </c>
      <c r="C16" s="27">
        <v>46065</v>
      </c>
      <c r="D16" s="23" t="s">
        <v>364</v>
      </c>
      <c r="E16" s="29" t="s">
        <v>443</v>
      </c>
      <c r="F16" s="85" t="s">
        <v>1270</v>
      </c>
      <c r="G16" s="23" t="s">
        <v>887</v>
      </c>
      <c r="H16" s="88" t="s">
        <v>52</v>
      </c>
      <c r="I16" s="40">
        <v>200000</v>
      </c>
      <c r="J16" s="67"/>
      <c r="K16" s="62" t="s">
        <v>201</v>
      </c>
      <c r="L16" s="161" t="s">
        <v>209</v>
      </c>
      <c r="M16" s="286"/>
      <c r="N16" s="56" t="s">
        <v>305</v>
      </c>
      <c r="O16" s="23"/>
      <c r="P16" s="106"/>
      <c r="Q16" s="106"/>
      <c r="R16" s="447"/>
      <c r="S16" s="452"/>
    </row>
    <row r="17" spans="1:19">
      <c r="B17" s="27" t="str">
        <f t="shared" ref="B17" si="1">+$E$3</f>
        <v>Losa Mogetta</v>
      </c>
      <c r="C17" s="27">
        <v>46065</v>
      </c>
      <c r="D17" s="23" t="s">
        <v>364</v>
      </c>
      <c r="E17" s="29" t="s">
        <v>443</v>
      </c>
      <c r="F17" s="85" t="s">
        <v>1270</v>
      </c>
      <c r="G17" s="23" t="s">
        <v>887</v>
      </c>
      <c r="H17" s="88" t="s">
        <v>52</v>
      </c>
      <c r="I17" s="40">
        <v>200000</v>
      </c>
      <c r="J17" s="67"/>
      <c r="K17" s="62" t="s">
        <v>201</v>
      </c>
      <c r="L17" s="161" t="s">
        <v>209</v>
      </c>
      <c r="M17" s="286"/>
      <c r="N17" s="56" t="s">
        <v>305</v>
      </c>
      <c r="O17" s="23"/>
      <c r="P17" s="106"/>
      <c r="Q17" s="106"/>
      <c r="R17" s="447"/>
      <c r="S17" s="452"/>
    </row>
    <row r="18" spans="1:19">
      <c r="B18" s="27" t="str">
        <f t="shared" ref="B18:B19" si="2">+$E$3</f>
        <v>Losa Mogetta</v>
      </c>
      <c r="C18" s="27">
        <v>46071</v>
      </c>
      <c r="D18" s="23" t="s">
        <v>364</v>
      </c>
      <c r="E18" s="29" t="s">
        <v>443</v>
      </c>
      <c r="F18" s="85" t="s">
        <v>1270</v>
      </c>
      <c r="G18" s="23" t="s">
        <v>887</v>
      </c>
      <c r="H18" s="88" t="s">
        <v>52</v>
      </c>
      <c r="I18" s="40">
        <v>200000</v>
      </c>
      <c r="J18" s="67"/>
      <c r="K18" s="62" t="s">
        <v>201</v>
      </c>
      <c r="L18" s="161" t="s">
        <v>209</v>
      </c>
      <c r="M18" s="286"/>
      <c r="N18" s="56" t="s">
        <v>305</v>
      </c>
      <c r="O18" s="23"/>
      <c r="P18" s="106"/>
      <c r="Q18" s="106"/>
      <c r="R18" s="447"/>
      <c r="S18" s="452"/>
    </row>
    <row r="19" spans="1:19">
      <c r="B19" s="152" t="str">
        <f t="shared" si="2"/>
        <v>Losa Mogetta</v>
      </c>
      <c r="C19" s="27">
        <v>46071</v>
      </c>
      <c r="D19" s="23" t="s">
        <v>364</v>
      </c>
      <c r="E19" s="29" t="s">
        <v>443</v>
      </c>
      <c r="F19" s="85" t="s">
        <v>1270</v>
      </c>
      <c r="G19" s="23" t="s">
        <v>887</v>
      </c>
      <c r="H19" s="88" t="s">
        <v>52</v>
      </c>
      <c r="I19" s="40">
        <v>200000</v>
      </c>
      <c r="J19" s="67"/>
      <c r="K19" s="62" t="s">
        <v>201</v>
      </c>
      <c r="L19" s="161" t="s">
        <v>209</v>
      </c>
      <c r="M19" s="286"/>
      <c r="N19" s="56" t="s">
        <v>305</v>
      </c>
      <c r="O19" s="23"/>
      <c r="P19" s="106"/>
      <c r="Q19" s="106"/>
      <c r="R19" s="447"/>
      <c r="S19" s="452"/>
    </row>
    <row r="20" spans="1:19" s="138" customFormat="1" ht="28.5" customHeight="1">
      <c r="A20" s="168" t="s">
        <v>218</v>
      </c>
      <c r="B20" s="170"/>
      <c r="C20" s="171">
        <v>46065</v>
      </c>
      <c r="D20" s="171"/>
      <c r="E20" s="130"/>
      <c r="F20" s="465"/>
      <c r="G20" s="131"/>
      <c r="H20" s="465"/>
      <c r="I20" s="132"/>
      <c r="J20" s="132"/>
      <c r="K20" s="133"/>
      <c r="L20" s="134"/>
      <c r="M20" s="285"/>
      <c r="N20" s="135"/>
      <c r="O20" s="136"/>
      <c r="P20" s="137"/>
      <c r="Q20" s="137"/>
    </row>
    <row r="21" spans="1:19">
      <c r="B21" s="152" t="str">
        <f t="shared" si="0"/>
        <v>Losa Mogetta</v>
      </c>
      <c r="C21" s="25"/>
      <c r="D21" s="23"/>
      <c r="E21" s="29"/>
      <c r="F21" s="462"/>
      <c r="G21" s="23"/>
      <c r="H21" s="464"/>
      <c r="I21" s="44"/>
      <c r="J21" s="44"/>
      <c r="K21" s="19"/>
      <c r="L21" s="2"/>
      <c r="M21" s="55"/>
      <c r="N21" s="55"/>
      <c r="O21" s="23"/>
      <c r="P21" s="3"/>
      <c r="Q21" s="3"/>
    </row>
    <row r="22" spans="1:19" s="138" customFormat="1" ht="28.9">
      <c r="A22" s="168" t="s">
        <v>218</v>
      </c>
      <c r="B22" s="170"/>
      <c r="C22" s="171">
        <v>46079</v>
      </c>
      <c r="D22" s="171"/>
      <c r="E22" s="130"/>
      <c r="F22" s="465"/>
      <c r="G22" s="131"/>
      <c r="H22" s="465"/>
      <c r="I22" s="132"/>
      <c r="J22" s="132"/>
      <c r="K22" s="133"/>
      <c r="L22" s="134"/>
      <c r="M22" s="285"/>
      <c r="N22" s="135"/>
      <c r="O22" s="136"/>
      <c r="P22" s="137"/>
      <c r="Q22" s="137"/>
    </row>
    <row r="23" spans="1:19">
      <c r="B23" s="152" t="str">
        <f t="shared" si="0"/>
        <v>Losa Mogetta</v>
      </c>
      <c r="C23" s="27">
        <v>46083</v>
      </c>
      <c r="D23" s="23" t="s">
        <v>867</v>
      </c>
      <c r="E23" s="46" t="s">
        <v>808</v>
      </c>
      <c r="F23" s="416" t="s">
        <v>36</v>
      </c>
      <c r="G23" s="23" t="s">
        <v>35</v>
      </c>
      <c r="H23" s="464"/>
      <c r="I23" s="48">
        <v>1558994.98</v>
      </c>
      <c r="J23" s="48"/>
      <c r="K23" s="534" t="s">
        <v>208</v>
      </c>
      <c r="L23" s="161" t="s">
        <v>209</v>
      </c>
      <c r="M23" s="56"/>
      <c r="N23" s="56" t="s">
        <v>305</v>
      </c>
      <c r="O23" s="23"/>
      <c r="P23" s="50"/>
      <c r="Q23" s="50"/>
    </row>
    <row r="24" spans="1:19">
      <c r="B24" s="152" t="str">
        <f t="shared" si="0"/>
        <v>Losa Mogetta</v>
      </c>
      <c r="C24" s="27">
        <v>46084</v>
      </c>
      <c r="D24" s="23" t="s">
        <v>364</v>
      </c>
      <c r="E24" s="29" t="s">
        <v>443</v>
      </c>
      <c r="F24" s="416"/>
      <c r="G24" s="41" t="s">
        <v>119</v>
      </c>
      <c r="H24" s="461"/>
      <c r="I24" s="48">
        <v>125946.8</v>
      </c>
      <c r="J24" s="48"/>
      <c r="K24" s="534" t="s">
        <v>208</v>
      </c>
      <c r="L24" s="161" t="s">
        <v>209</v>
      </c>
      <c r="M24" s="56"/>
      <c r="N24" s="56" t="s">
        <v>305</v>
      </c>
      <c r="O24" s="23"/>
      <c r="P24" s="50"/>
      <c r="Q24" s="50"/>
    </row>
    <row r="25" spans="1:19">
      <c r="B25" s="152" t="str">
        <f t="shared" si="0"/>
        <v>Losa Mogetta</v>
      </c>
      <c r="C25" s="27">
        <v>46084</v>
      </c>
      <c r="D25" s="23" t="s">
        <v>867</v>
      </c>
      <c r="E25" s="46" t="s">
        <v>808</v>
      </c>
      <c r="F25" s="416" t="s">
        <v>1271</v>
      </c>
      <c r="G25" s="41" t="s">
        <v>144</v>
      </c>
      <c r="H25" s="461"/>
      <c r="I25" s="530"/>
      <c r="J25" s="530">
        <v>263.49</v>
      </c>
      <c r="K25" s="534" t="s">
        <v>208</v>
      </c>
      <c r="L25" s="161" t="s">
        <v>209</v>
      </c>
      <c r="M25" s="56"/>
      <c r="N25" s="56" t="s">
        <v>305</v>
      </c>
      <c r="O25" s="23"/>
      <c r="P25" s="50"/>
      <c r="Q25" s="50"/>
      <c r="R25" s="447" t="s">
        <v>1267</v>
      </c>
    </row>
    <row r="26" spans="1:19">
      <c r="B26" s="152" t="str">
        <f t="shared" si="0"/>
        <v>Losa Mogetta</v>
      </c>
      <c r="C26" s="27">
        <v>46084</v>
      </c>
      <c r="D26" s="23" t="s">
        <v>364</v>
      </c>
      <c r="E26" s="29" t="s">
        <v>443</v>
      </c>
      <c r="F26" s="416"/>
      <c r="G26" s="41" t="s">
        <v>119</v>
      </c>
      <c r="H26" s="461"/>
      <c r="I26" s="48">
        <v>125946.8</v>
      </c>
      <c r="J26" s="48"/>
      <c r="K26" s="534" t="s">
        <v>208</v>
      </c>
      <c r="L26" s="161" t="s">
        <v>209</v>
      </c>
      <c r="M26" s="56"/>
      <c r="N26" s="56" t="s">
        <v>305</v>
      </c>
      <c r="O26" s="23"/>
      <c r="P26" s="50"/>
      <c r="Q26" s="50"/>
    </row>
    <row r="27" spans="1:19">
      <c r="B27" s="27" t="str">
        <f>+$E$3</f>
        <v>Losa Mogetta</v>
      </c>
      <c r="C27" s="27">
        <v>46090</v>
      </c>
      <c r="D27" s="23" t="s">
        <v>364</v>
      </c>
      <c r="E27" s="29" t="s">
        <v>443</v>
      </c>
      <c r="F27" s="85" t="s">
        <v>1270</v>
      </c>
      <c r="G27" s="23" t="s">
        <v>887</v>
      </c>
      <c r="H27" s="88" t="s">
        <v>52</v>
      </c>
      <c r="I27" s="40">
        <v>200000</v>
      </c>
      <c r="J27" s="67"/>
      <c r="K27" s="62" t="s">
        <v>201</v>
      </c>
      <c r="L27" s="161" t="s">
        <v>209</v>
      </c>
      <c r="M27" s="286"/>
      <c r="N27" s="56" t="s">
        <v>305</v>
      </c>
      <c r="O27" s="23"/>
      <c r="P27" s="50"/>
      <c r="Q27" s="50"/>
    </row>
    <row r="28" spans="1:19" s="138" customFormat="1" ht="28.9">
      <c r="A28" s="168" t="s">
        <v>218</v>
      </c>
      <c r="B28" s="170"/>
      <c r="C28" s="171">
        <v>46093</v>
      </c>
      <c r="D28" s="171"/>
      <c r="E28" s="130"/>
      <c r="F28" s="465"/>
      <c r="G28" s="131"/>
      <c r="H28" s="465"/>
      <c r="I28" s="132"/>
      <c r="J28" s="132"/>
      <c r="K28" s="133"/>
      <c r="L28" s="134"/>
      <c r="M28" s="134"/>
      <c r="N28" s="135"/>
      <c r="O28" s="136"/>
      <c r="P28" s="137"/>
      <c r="Q28" s="137"/>
    </row>
    <row r="29" spans="1:19">
      <c r="B29" s="152" t="str">
        <f t="shared" si="0"/>
        <v>Losa Mogetta</v>
      </c>
      <c r="C29" s="27">
        <v>46093</v>
      </c>
      <c r="D29" s="23" t="s">
        <v>867</v>
      </c>
      <c r="E29" s="46" t="s">
        <v>808</v>
      </c>
      <c r="F29" s="416" t="s">
        <v>1272</v>
      </c>
      <c r="G29" s="23" t="s">
        <v>144</v>
      </c>
      <c r="H29" s="464"/>
      <c r="I29" s="48"/>
      <c r="J29" s="530">
        <v>1497.06</v>
      </c>
      <c r="K29" s="534" t="s">
        <v>208</v>
      </c>
      <c r="L29" s="161" t="s">
        <v>209</v>
      </c>
      <c r="M29" s="56"/>
      <c r="N29" s="56" t="s">
        <v>305</v>
      </c>
      <c r="O29" s="23"/>
      <c r="P29" s="50"/>
      <c r="Q29" s="50"/>
    </row>
    <row r="30" spans="1:19">
      <c r="B30" s="152" t="str">
        <f t="shared" si="0"/>
        <v>Losa Mogetta</v>
      </c>
      <c r="C30" s="27">
        <v>46094</v>
      </c>
      <c r="D30" s="23" t="s">
        <v>867</v>
      </c>
      <c r="E30" s="46" t="s">
        <v>808</v>
      </c>
      <c r="F30" s="416" t="s">
        <v>36</v>
      </c>
      <c r="G30" s="23" t="s">
        <v>35</v>
      </c>
      <c r="H30" s="464"/>
      <c r="I30" s="48">
        <v>423646.93</v>
      </c>
      <c r="J30" s="48"/>
      <c r="K30" s="534" t="s">
        <v>208</v>
      </c>
      <c r="L30" s="161" t="s">
        <v>209</v>
      </c>
      <c r="M30" s="56"/>
      <c r="N30" s="56" t="s">
        <v>305</v>
      </c>
      <c r="O30" s="23"/>
      <c r="P30" s="50"/>
      <c r="Q30" s="50"/>
    </row>
    <row r="31" spans="1:19">
      <c r="B31" s="152" t="str">
        <f t="shared" si="0"/>
        <v>Losa Mogetta</v>
      </c>
      <c r="C31" s="27">
        <v>46097</v>
      </c>
      <c r="D31" s="23" t="s">
        <v>364</v>
      </c>
      <c r="E31" s="29" t="s">
        <v>443</v>
      </c>
      <c r="F31" s="466" t="s">
        <v>1273</v>
      </c>
      <c r="G31" s="42" t="s">
        <v>76</v>
      </c>
      <c r="H31" s="88" t="s">
        <v>52</v>
      </c>
      <c r="I31" s="48">
        <v>56000</v>
      </c>
      <c r="J31" s="148"/>
      <c r="K31" s="62" t="s">
        <v>201</v>
      </c>
      <c r="L31" s="161" t="s">
        <v>209</v>
      </c>
      <c r="M31" s="56"/>
      <c r="N31" s="56" t="s">
        <v>305</v>
      </c>
      <c r="O31" s="23"/>
      <c r="P31" s="50"/>
      <c r="Q31" s="50"/>
    </row>
    <row r="32" spans="1:19">
      <c r="B32" s="152" t="str">
        <f t="shared" si="0"/>
        <v>Losa Mogetta</v>
      </c>
      <c r="C32" s="27">
        <v>46101</v>
      </c>
      <c r="D32" s="23" t="s">
        <v>867</v>
      </c>
      <c r="E32" s="46" t="s">
        <v>808</v>
      </c>
      <c r="F32" s="416" t="s">
        <v>1274</v>
      </c>
      <c r="G32" s="23" t="s">
        <v>144</v>
      </c>
      <c r="H32" s="464"/>
      <c r="I32" s="48"/>
      <c r="J32" s="530">
        <v>1541.15</v>
      </c>
      <c r="K32" s="534" t="s">
        <v>208</v>
      </c>
      <c r="L32" s="161" t="s">
        <v>209</v>
      </c>
      <c r="M32" s="56"/>
      <c r="N32" s="56" t="s">
        <v>305</v>
      </c>
      <c r="O32" s="23"/>
      <c r="P32" s="50"/>
      <c r="Q32" s="50"/>
    </row>
    <row r="33" spans="1:20" s="138" customFormat="1" ht="28.9">
      <c r="A33" s="168" t="s">
        <v>218</v>
      </c>
      <c r="B33" s="170"/>
      <c r="C33" s="171">
        <v>46107</v>
      </c>
      <c r="D33" s="171"/>
      <c r="E33" s="130"/>
      <c r="F33" s="465"/>
      <c r="G33" s="131"/>
      <c r="H33" s="465"/>
      <c r="I33" s="132"/>
      <c r="J33" s="132"/>
      <c r="K33" s="133"/>
      <c r="L33" s="134"/>
      <c r="M33" s="134"/>
      <c r="N33" s="135"/>
      <c r="O33" s="136"/>
      <c r="P33" s="137"/>
      <c r="Q33" s="137"/>
    </row>
    <row r="34" spans="1:20">
      <c r="B34" s="152" t="str">
        <f t="shared" si="0"/>
        <v>Losa Mogetta</v>
      </c>
      <c r="C34" s="27">
        <v>46119</v>
      </c>
      <c r="D34" s="23" t="s">
        <v>867</v>
      </c>
      <c r="E34" s="46" t="s">
        <v>808</v>
      </c>
      <c r="F34" s="416" t="s">
        <v>1274</v>
      </c>
      <c r="G34" s="23" t="s">
        <v>144</v>
      </c>
      <c r="H34" s="464"/>
      <c r="I34" s="48"/>
      <c r="J34" s="530">
        <v>263.49</v>
      </c>
      <c r="K34" s="534" t="s">
        <v>208</v>
      </c>
      <c r="L34" s="161" t="s">
        <v>209</v>
      </c>
      <c r="M34" s="56"/>
      <c r="N34" s="56" t="s">
        <v>305</v>
      </c>
      <c r="O34" s="23"/>
      <c r="P34" s="50"/>
      <c r="Q34" s="50"/>
    </row>
    <row r="35" spans="1:20">
      <c r="B35" s="152" t="str">
        <f t="shared" si="0"/>
        <v>Losa Mogetta</v>
      </c>
      <c r="C35" s="27">
        <v>46122</v>
      </c>
      <c r="D35" s="23" t="s">
        <v>867</v>
      </c>
      <c r="E35" s="46" t="s">
        <v>808</v>
      </c>
      <c r="F35" s="416" t="s">
        <v>1275</v>
      </c>
      <c r="G35" s="23" t="s">
        <v>144</v>
      </c>
      <c r="H35" s="464"/>
      <c r="I35" s="48"/>
      <c r="J35" s="530">
        <v>1497.06</v>
      </c>
      <c r="K35" s="534" t="s">
        <v>208</v>
      </c>
      <c r="L35" s="161" t="s">
        <v>209</v>
      </c>
      <c r="M35" s="56"/>
      <c r="N35" s="56" t="s">
        <v>305</v>
      </c>
      <c r="O35" s="23"/>
      <c r="P35" s="50"/>
      <c r="Q35" s="50"/>
    </row>
    <row r="36" spans="1:20">
      <c r="B36" s="152" t="str">
        <f t="shared" si="0"/>
        <v>Losa Mogetta</v>
      </c>
      <c r="C36" s="27">
        <v>46129</v>
      </c>
      <c r="D36" s="23" t="s">
        <v>867</v>
      </c>
      <c r="E36" s="46" t="s">
        <v>808</v>
      </c>
      <c r="F36" s="416" t="s">
        <v>1274</v>
      </c>
      <c r="G36" s="23" t="s">
        <v>144</v>
      </c>
      <c r="H36" s="464"/>
      <c r="I36" s="48"/>
      <c r="J36" s="530">
        <v>1541.15</v>
      </c>
      <c r="K36" s="534" t="s">
        <v>208</v>
      </c>
      <c r="L36" s="161" t="s">
        <v>209</v>
      </c>
      <c r="M36" s="56"/>
      <c r="N36" s="56" t="s">
        <v>305</v>
      </c>
      <c r="O36" s="23"/>
      <c r="P36" s="50"/>
      <c r="Q36" s="50"/>
    </row>
    <row r="37" spans="1:20" s="138" customFormat="1" ht="28.9">
      <c r="A37" s="168" t="s">
        <v>218</v>
      </c>
      <c r="B37" s="170"/>
      <c r="C37" s="171">
        <v>46141</v>
      </c>
      <c r="D37" s="171"/>
      <c r="E37" s="130"/>
      <c r="F37" s="465"/>
      <c r="G37" s="131"/>
      <c r="H37" s="465"/>
      <c r="I37" s="132"/>
      <c r="J37" s="132"/>
      <c r="K37" s="133"/>
      <c r="L37" s="134"/>
      <c r="M37" s="134"/>
      <c r="N37" s="135"/>
      <c r="O37" s="136"/>
      <c r="P37" s="137"/>
      <c r="Q37" s="137"/>
    </row>
    <row r="38" spans="1:20">
      <c r="B38" s="27" t="str">
        <f>+$E$3</f>
        <v>Losa Mogetta</v>
      </c>
      <c r="C38" s="27"/>
      <c r="D38" s="38"/>
      <c r="E38" s="38"/>
      <c r="F38" s="416"/>
      <c r="G38" s="39"/>
      <c r="H38" s="419"/>
      <c r="I38" s="40"/>
      <c r="J38" s="535"/>
      <c r="K38" s="534"/>
      <c r="L38" s="345"/>
      <c r="M38" s="56"/>
      <c r="N38" s="56"/>
      <c r="O38" s="23"/>
      <c r="P38" s="50"/>
      <c r="Q38" s="50"/>
    </row>
    <row r="39" spans="1:20">
      <c r="B39" s="27" t="str">
        <f>+$E$3</f>
        <v>Losa Mogetta</v>
      </c>
      <c r="C39" s="27"/>
      <c r="D39" s="38"/>
      <c r="E39" s="38"/>
      <c r="F39" s="416"/>
      <c r="G39" s="39"/>
      <c r="H39" s="419"/>
      <c r="I39" s="40"/>
      <c r="J39" s="535"/>
      <c r="K39" s="534"/>
      <c r="L39" s="345"/>
      <c r="M39" s="56"/>
      <c r="N39" s="56"/>
      <c r="O39" s="23"/>
      <c r="P39" s="50"/>
      <c r="Q39" s="50"/>
    </row>
    <row r="40" spans="1:20" s="138" customFormat="1" ht="28.9">
      <c r="A40" s="168" t="s">
        <v>218</v>
      </c>
      <c r="B40" s="156" t="str">
        <f t="shared" ref="B40" si="3">+$E$3</f>
        <v>Losa Mogetta</v>
      </c>
      <c r="C40" s="171">
        <v>46149</v>
      </c>
      <c r="D40" s="130"/>
      <c r="E40" s="317"/>
      <c r="F40" s="465"/>
      <c r="G40" s="131"/>
      <c r="H40" s="465"/>
      <c r="I40" s="132"/>
      <c r="J40" s="132"/>
      <c r="K40" s="368"/>
      <c r="L40" s="369"/>
      <c r="M40" s="135"/>
      <c r="N40" s="135"/>
      <c r="O40" s="140"/>
      <c r="P40" s="370"/>
      <c r="Q40" s="370"/>
      <c r="T40" s="371"/>
    </row>
    <row r="41" spans="1:20">
      <c r="B41" s="152" t="str">
        <f t="shared" si="0"/>
        <v>Losa Mogetta</v>
      </c>
      <c r="C41" s="27"/>
      <c r="D41" s="23"/>
      <c r="E41" s="46"/>
      <c r="F41" s="416"/>
      <c r="G41" s="42"/>
      <c r="H41" s="417"/>
      <c r="I41" s="48"/>
      <c r="J41" s="48"/>
      <c r="K41" s="4"/>
      <c r="L41" s="2"/>
      <c r="M41" s="56"/>
      <c r="N41" s="56"/>
      <c r="O41" s="23"/>
      <c r="P41" s="50"/>
      <c r="Q41" s="50"/>
    </row>
    <row r="42" spans="1:20">
      <c r="B42" s="152" t="str">
        <f t="shared" si="0"/>
        <v>Losa Mogetta</v>
      </c>
      <c r="C42" s="27"/>
      <c r="D42" s="23"/>
      <c r="E42" s="29"/>
      <c r="F42" s="416"/>
      <c r="G42" s="42"/>
      <c r="H42" s="468"/>
      <c r="I42" s="48"/>
      <c r="J42" s="48"/>
      <c r="K42" s="4"/>
      <c r="L42" s="2"/>
      <c r="M42" s="56"/>
      <c r="N42" s="56"/>
      <c r="O42" s="23"/>
      <c r="P42" s="50"/>
      <c r="Q42" s="50"/>
    </row>
    <row r="43" spans="1:20" s="138" customFormat="1" ht="28.9">
      <c r="A43" s="168" t="s">
        <v>218</v>
      </c>
      <c r="B43" s="156" t="str">
        <f t="shared" si="0"/>
        <v>Losa Mogetta</v>
      </c>
      <c r="C43" s="171">
        <v>46163</v>
      </c>
      <c r="D43" s="130"/>
      <c r="E43" s="317"/>
      <c r="F43" s="465"/>
      <c r="G43" s="131"/>
      <c r="H43" s="465"/>
      <c r="I43" s="132"/>
      <c r="J43" s="132"/>
      <c r="K43" s="368"/>
      <c r="L43" s="369"/>
      <c r="M43" s="135"/>
      <c r="N43" s="135"/>
      <c r="O43" s="140"/>
      <c r="P43" s="370"/>
      <c r="Q43" s="370"/>
      <c r="T43" s="371"/>
    </row>
    <row r="44" spans="1:20">
      <c r="B44" s="152" t="str">
        <f t="shared" si="0"/>
        <v>Losa Mogetta</v>
      </c>
      <c r="C44" s="27">
        <v>46168</v>
      </c>
      <c r="D44" s="23" t="s">
        <v>1276</v>
      </c>
      <c r="E44" s="46" t="s">
        <v>1074</v>
      </c>
      <c r="F44" s="416" t="s">
        <v>1277</v>
      </c>
      <c r="G44" s="42" t="s">
        <v>144</v>
      </c>
      <c r="H44" s="417"/>
      <c r="I44" s="48"/>
      <c r="J44" s="530">
        <v>653.64</v>
      </c>
      <c r="K44" s="534" t="s">
        <v>208</v>
      </c>
      <c r="L44" s="161" t="s">
        <v>209</v>
      </c>
      <c r="M44" s="56"/>
      <c r="N44" s="56" t="s">
        <v>305</v>
      </c>
      <c r="O44" s="23"/>
      <c r="P44" s="50"/>
      <c r="Q44" s="50"/>
    </row>
    <row r="45" spans="1:20">
      <c r="B45" s="152" t="str">
        <f t="shared" si="0"/>
        <v>Losa Mogetta</v>
      </c>
      <c r="C45" s="27"/>
      <c r="D45" s="23"/>
      <c r="E45" s="46"/>
      <c r="F45" s="416"/>
      <c r="G45" s="42"/>
      <c r="H45" s="417"/>
      <c r="I45" s="48"/>
      <c r="J45" s="48"/>
      <c r="K45" s="4"/>
      <c r="L45" s="2"/>
      <c r="M45" s="56"/>
      <c r="N45" s="56"/>
      <c r="O45" s="23"/>
      <c r="P45" s="50"/>
      <c r="Q45" s="50"/>
    </row>
    <row r="46" spans="1:20" s="138" customFormat="1" ht="28.9">
      <c r="A46" s="168" t="s">
        <v>218</v>
      </c>
      <c r="B46" s="156" t="str">
        <f t="shared" si="0"/>
        <v>Losa Mogetta</v>
      </c>
      <c r="C46" s="171">
        <v>46177</v>
      </c>
      <c r="D46" s="130"/>
      <c r="E46" s="317"/>
      <c r="F46" s="465"/>
      <c r="G46" s="131"/>
      <c r="H46" s="465"/>
      <c r="I46" s="132"/>
      <c r="J46" s="132"/>
      <c r="K46" s="368"/>
      <c r="L46" s="369"/>
      <c r="M46" s="135"/>
      <c r="N46" s="135"/>
      <c r="O46" s="140"/>
      <c r="P46" s="370"/>
      <c r="Q46" s="370"/>
      <c r="T46" s="371"/>
    </row>
    <row r="47" spans="1:20">
      <c r="B47" s="152" t="str">
        <f t="shared" si="0"/>
        <v>Losa Mogetta</v>
      </c>
      <c r="C47" s="27"/>
      <c r="D47" s="23"/>
      <c r="E47" s="29"/>
      <c r="F47" s="462"/>
      <c r="G47" s="23"/>
      <c r="H47" s="461"/>
      <c r="I47" s="44"/>
      <c r="J47" s="48"/>
      <c r="K47" s="4"/>
      <c r="L47" s="2"/>
      <c r="M47" s="56"/>
      <c r="N47" s="56"/>
      <c r="O47" s="23"/>
      <c r="P47" s="50"/>
      <c r="Q47" s="50"/>
    </row>
    <row r="48" spans="1:20">
      <c r="B48" s="152" t="str">
        <f t="shared" si="0"/>
        <v>Losa Mogetta</v>
      </c>
      <c r="C48" s="27"/>
      <c r="D48" s="42"/>
      <c r="E48" s="46"/>
      <c r="F48" s="416"/>
      <c r="G48" s="42"/>
      <c r="H48" s="417"/>
      <c r="I48" s="48"/>
      <c r="J48" s="48"/>
      <c r="K48" s="4"/>
      <c r="L48" s="2"/>
      <c r="M48" s="56"/>
      <c r="N48" s="56"/>
      <c r="O48" s="23"/>
      <c r="P48" s="50"/>
      <c r="Q48" s="50"/>
    </row>
    <row r="49" spans="1:20" s="138" customFormat="1" ht="28.9">
      <c r="A49" s="168" t="s">
        <v>218</v>
      </c>
      <c r="B49" s="156" t="str">
        <f t="shared" si="0"/>
        <v>Losa Mogetta</v>
      </c>
      <c r="C49" s="171">
        <v>46191</v>
      </c>
      <c r="D49" s="130"/>
      <c r="E49" s="317"/>
      <c r="F49" s="465"/>
      <c r="G49" s="131"/>
      <c r="H49" s="465"/>
      <c r="I49" s="132"/>
      <c r="J49" s="132"/>
      <c r="K49" s="368"/>
      <c r="L49" s="369"/>
      <c r="M49" s="135"/>
      <c r="N49" s="135"/>
      <c r="O49" s="140"/>
      <c r="P49" s="370"/>
      <c r="Q49" s="370"/>
      <c r="T49" s="371"/>
    </row>
    <row r="50" spans="1:20" ht="28.9">
      <c r="B50" s="152" t="str">
        <f t="shared" si="0"/>
        <v>Losa Mogetta</v>
      </c>
      <c r="C50" s="27">
        <v>46191</v>
      </c>
      <c r="D50" s="23" t="s">
        <v>364</v>
      </c>
      <c r="E50" s="29" t="s">
        <v>443</v>
      </c>
      <c r="F50" s="466" t="s">
        <v>1278</v>
      </c>
      <c r="G50" s="42" t="s">
        <v>76</v>
      </c>
      <c r="H50" s="514" t="s">
        <v>1279</v>
      </c>
      <c r="I50" s="40">
        <v>80000</v>
      </c>
      <c r="J50" s="40"/>
      <c r="K50" s="62" t="s">
        <v>201</v>
      </c>
      <c r="L50" s="2" t="s">
        <v>732</v>
      </c>
      <c r="M50" s="56"/>
      <c r="N50" s="56" t="s">
        <v>305</v>
      </c>
      <c r="O50" s="2"/>
      <c r="P50" s="50"/>
      <c r="Q50" s="50"/>
    </row>
    <row r="51" spans="1:20" ht="28.9">
      <c r="B51" s="152" t="str">
        <f t="shared" si="0"/>
        <v>Losa Mogetta</v>
      </c>
      <c r="C51" s="27">
        <v>46191</v>
      </c>
      <c r="D51" s="23" t="s">
        <v>364</v>
      </c>
      <c r="E51" s="29" t="s">
        <v>443</v>
      </c>
      <c r="F51" s="466" t="s">
        <v>1280</v>
      </c>
      <c r="G51" s="42" t="s">
        <v>76</v>
      </c>
      <c r="H51" s="514" t="s">
        <v>1279</v>
      </c>
      <c r="I51" s="40">
        <v>80000</v>
      </c>
      <c r="J51" s="40"/>
      <c r="K51" s="62" t="s">
        <v>201</v>
      </c>
      <c r="L51" s="2" t="s">
        <v>732</v>
      </c>
      <c r="M51" s="56"/>
      <c r="N51" s="56" t="s">
        <v>305</v>
      </c>
      <c r="O51" s="2"/>
      <c r="P51" s="50"/>
      <c r="Q51" s="50"/>
    </row>
    <row r="52" spans="1:20">
      <c r="B52" s="152" t="str">
        <f t="shared" si="0"/>
        <v>Losa Mogetta</v>
      </c>
      <c r="C52" s="27"/>
      <c r="D52" s="38"/>
      <c r="E52" s="38"/>
      <c r="F52" s="416"/>
      <c r="G52" s="39"/>
      <c r="H52" s="419"/>
      <c r="I52" s="40"/>
      <c r="J52" s="40"/>
      <c r="K52" s="4"/>
      <c r="L52" s="2"/>
      <c r="M52" s="56"/>
      <c r="N52" s="56"/>
      <c r="O52" s="2"/>
      <c r="P52" s="50"/>
      <c r="Q52" s="50"/>
    </row>
    <row r="53" spans="1:20" s="138" customFormat="1" ht="28.9">
      <c r="A53" s="168" t="s">
        <v>218</v>
      </c>
      <c r="B53" s="156" t="str">
        <f t="shared" si="0"/>
        <v>Losa Mogetta</v>
      </c>
      <c r="C53" s="171">
        <v>46205</v>
      </c>
      <c r="D53" s="130"/>
      <c r="E53" s="317"/>
      <c r="F53" s="465"/>
      <c r="G53" s="131"/>
      <c r="H53" s="465"/>
      <c r="I53" s="132"/>
      <c r="J53" s="132"/>
      <c r="K53" s="368"/>
      <c r="L53" s="369"/>
      <c r="M53" s="135"/>
      <c r="N53" s="135"/>
      <c r="O53" s="140"/>
      <c r="P53" s="370"/>
      <c r="Q53" s="370"/>
      <c r="T53" s="371"/>
    </row>
    <row r="54" spans="1:20">
      <c r="B54" s="152" t="str">
        <f t="shared" si="0"/>
        <v>Losa Mogetta</v>
      </c>
      <c r="C54" s="27"/>
      <c r="D54" s="38"/>
      <c r="E54" s="38"/>
      <c r="F54" s="416"/>
      <c r="G54" s="39"/>
      <c r="H54" s="419"/>
      <c r="I54" s="40"/>
      <c r="J54" s="40"/>
      <c r="K54" s="4"/>
      <c r="L54" s="2"/>
      <c r="M54" s="56"/>
      <c r="N54" s="56"/>
      <c r="O54" s="2"/>
      <c r="P54" s="50"/>
      <c r="Q54" s="50"/>
    </row>
    <row r="55" spans="1:20" s="138" customFormat="1" ht="28.9">
      <c r="A55" s="168" t="s">
        <v>218</v>
      </c>
      <c r="B55" s="156" t="str">
        <f t="shared" si="0"/>
        <v>Losa Mogetta</v>
      </c>
      <c r="C55" s="171">
        <v>46219</v>
      </c>
      <c r="D55" s="130"/>
      <c r="E55" s="317"/>
      <c r="F55" s="465"/>
      <c r="G55" s="131"/>
      <c r="H55" s="487"/>
      <c r="I55" s="132"/>
      <c r="J55" s="132"/>
      <c r="K55" s="368"/>
      <c r="L55" s="369"/>
      <c r="M55" s="135"/>
      <c r="N55" s="135"/>
      <c r="O55" s="140"/>
      <c r="P55" s="370"/>
      <c r="Q55" s="370"/>
      <c r="T55" s="371"/>
    </row>
    <row r="56" spans="1:20">
      <c r="B56" s="27" t="str">
        <f t="shared" ref="B56:B66" si="4">+$E$3</f>
        <v>Losa Mogetta</v>
      </c>
      <c r="C56" s="27"/>
      <c r="D56" s="38"/>
      <c r="E56" s="38"/>
      <c r="F56" s="416"/>
      <c r="G56" s="39"/>
      <c r="H56" s="419"/>
      <c r="I56" s="40"/>
      <c r="J56" s="40"/>
      <c r="K56" s="4"/>
      <c r="L56" s="2"/>
      <c r="M56" s="56"/>
      <c r="N56" s="56"/>
      <c r="O56" s="2"/>
      <c r="P56" s="50"/>
      <c r="Q56" s="50"/>
    </row>
    <row r="57" spans="1:20" s="138" customFormat="1" ht="28.9">
      <c r="A57" s="168" t="s">
        <v>218</v>
      </c>
      <c r="B57" s="156" t="str">
        <f t="shared" si="4"/>
        <v>Losa Mogetta</v>
      </c>
      <c r="C57" s="171">
        <v>46233</v>
      </c>
      <c r="D57" s="130"/>
      <c r="E57" s="317"/>
      <c r="F57" s="465"/>
      <c r="G57" s="131"/>
      <c r="H57" s="487"/>
      <c r="I57" s="132"/>
      <c r="J57" s="132"/>
      <c r="K57" s="368"/>
      <c r="L57" s="369"/>
      <c r="M57" s="135"/>
      <c r="N57" s="135"/>
      <c r="O57" s="140"/>
      <c r="P57" s="370"/>
      <c r="Q57" s="370"/>
      <c r="T57" s="371"/>
    </row>
    <row r="58" spans="1:20">
      <c r="B58" s="152" t="str">
        <f t="shared" si="4"/>
        <v>Losa Mogetta</v>
      </c>
      <c r="C58" s="27">
        <v>46245</v>
      </c>
      <c r="D58" s="23" t="s">
        <v>364</v>
      </c>
      <c r="E58" s="29" t="s">
        <v>443</v>
      </c>
      <c r="F58" s="85" t="s">
        <v>1270</v>
      </c>
      <c r="G58" s="23" t="s">
        <v>887</v>
      </c>
      <c r="H58" s="88" t="s">
        <v>52</v>
      </c>
      <c r="I58" s="40">
        <v>230000</v>
      </c>
      <c r="J58" s="67"/>
      <c r="K58" s="62" t="s">
        <v>201</v>
      </c>
      <c r="L58" s="161" t="s">
        <v>209</v>
      </c>
      <c r="M58" s="286"/>
      <c r="N58" s="56" t="s">
        <v>305</v>
      </c>
      <c r="O58" s="2"/>
      <c r="P58" s="50"/>
      <c r="Q58" s="50"/>
    </row>
    <row r="59" spans="1:20">
      <c r="B59" s="152" t="str">
        <f t="shared" si="4"/>
        <v>Losa Mogetta</v>
      </c>
      <c r="C59" s="27">
        <v>46246</v>
      </c>
      <c r="D59" s="23" t="s">
        <v>364</v>
      </c>
      <c r="E59" s="29" t="s">
        <v>443</v>
      </c>
      <c r="F59" s="85" t="s">
        <v>1270</v>
      </c>
      <c r="G59" s="23" t="s">
        <v>887</v>
      </c>
      <c r="H59" s="88" t="s">
        <v>52</v>
      </c>
      <c r="I59" s="40">
        <v>230000</v>
      </c>
      <c r="J59" s="67"/>
      <c r="K59" s="62" t="s">
        <v>201</v>
      </c>
      <c r="L59" s="161" t="s">
        <v>209</v>
      </c>
      <c r="M59" s="286"/>
      <c r="N59" s="56" t="s">
        <v>305</v>
      </c>
      <c r="O59" s="2"/>
      <c r="P59" s="50"/>
      <c r="Q59" s="50"/>
    </row>
    <row r="60" spans="1:20">
      <c r="B60" s="27" t="str">
        <f>+$E$3</f>
        <v>Losa Mogetta</v>
      </c>
      <c r="C60" s="27">
        <v>46246</v>
      </c>
      <c r="D60" s="23" t="s">
        <v>364</v>
      </c>
      <c r="E60" s="29" t="s">
        <v>443</v>
      </c>
      <c r="F60" s="85" t="s">
        <v>1270</v>
      </c>
      <c r="G60" s="23" t="s">
        <v>887</v>
      </c>
      <c r="H60" s="88" t="s">
        <v>52</v>
      </c>
      <c r="I60" s="40">
        <v>230000</v>
      </c>
      <c r="J60" s="67"/>
      <c r="K60" s="62" t="s">
        <v>201</v>
      </c>
      <c r="L60" s="161" t="s">
        <v>209</v>
      </c>
      <c r="M60" s="286"/>
      <c r="N60" s="56" t="s">
        <v>305</v>
      </c>
      <c r="O60" s="2"/>
      <c r="P60" s="50"/>
      <c r="Q60" s="50"/>
    </row>
    <row r="61" spans="1:20">
      <c r="B61" s="152" t="str">
        <f t="shared" si="4"/>
        <v>Losa Mogetta</v>
      </c>
      <c r="C61" s="27">
        <v>46247</v>
      </c>
      <c r="D61" s="23" t="s">
        <v>364</v>
      </c>
      <c r="E61" s="29" t="s">
        <v>443</v>
      </c>
      <c r="F61" s="85" t="s">
        <v>1270</v>
      </c>
      <c r="G61" s="23" t="s">
        <v>887</v>
      </c>
      <c r="H61" s="88" t="s">
        <v>52</v>
      </c>
      <c r="I61" s="40">
        <v>230000</v>
      </c>
      <c r="J61" s="67"/>
      <c r="K61" s="62" t="s">
        <v>201</v>
      </c>
      <c r="L61" s="161" t="s">
        <v>209</v>
      </c>
      <c r="M61" s="286"/>
      <c r="N61" s="56" t="s">
        <v>305</v>
      </c>
      <c r="O61" s="2"/>
      <c r="P61" s="50"/>
      <c r="Q61" s="50"/>
    </row>
    <row r="62" spans="1:20">
      <c r="B62" s="152" t="str">
        <f>+$E$3</f>
        <v>Losa Mogetta</v>
      </c>
      <c r="C62" s="27">
        <v>46247</v>
      </c>
      <c r="D62" s="23" t="s">
        <v>364</v>
      </c>
      <c r="E62" s="29" t="s">
        <v>443</v>
      </c>
      <c r="F62" s="85" t="s">
        <v>1270</v>
      </c>
      <c r="G62" s="23" t="s">
        <v>887</v>
      </c>
      <c r="H62" s="88" t="s">
        <v>52</v>
      </c>
      <c r="I62" s="40">
        <v>230000</v>
      </c>
      <c r="J62" s="67"/>
      <c r="K62" s="62" t="s">
        <v>201</v>
      </c>
      <c r="L62" s="161" t="s">
        <v>209</v>
      </c>
      <c r="M62" s="286"/>
      <c r="N62" s="56" t="s">
        <v>305</v>
      </c>
      <c r="O62" s="2"/>
      <c r="P62" s="50"/>
      <c r="Q62" s="50"/>
    </row>
    <row r="63" spans="1:20" ht="18.600000000000001" customHeight="1">
      <c r="A63" s="374"/>
      <c r="B63" s="152" t="str">
        <f t="shared" ref="B63" si="5">+$E$3</f>
        <v>Losa Mogetta</v>
      </c>
      <c r="C63" s="475">
        <v>46253</v>
      </c>
      <c r="D63" s="38"/>
      <c r="E63" s="209" t="s">
        <v>808</v>
      </c>
      <c r="F63" s="419" t="s">
        <v>1281</v>
      </c>
      <c r="G63" s="42" t="s">
        <v>132</v>
      </c>
      <c r="H63" s="417" t="s">
        <v>1091</v>
      </c>
      <c r="I63" s="48"/>
      <c r="J63" s="40"/>
      <c r="K63" s="48" t="s">
        <v>629</v>
      </c>
      <c r="L63" s="56" t="s">
        <v>732</v>
      </c>
      <c r="M63" s="56" t="s">
        <v>732</v>
      </c>
      <c r="N63" s="56"/>
      <c r="O63" s="2"/>
      <c r="P63" s="50"/>
      <c r="Q63" s="50"/>
      <c r="T63" s="15"/>
    </row>
    <row r="64" spans="1:20" ht="18.600000000000001" customHeight="1">
      <c r="A64" s="374"/>
      <c r="B64" s="27" t="str">
        <f>+$E$3</f>
        <v>Losa Mogetta</v>
      </c>
      <c r="C64" s="475"/>
      <c r="D64" s="38"/>
      <c r="E64" s="38"/>
      <c r="F64" s="416"/>
      <c r="G64" s="39"/>
      <c r="H64" s="419"/>
      <c r="I64" s="40"/>
      <c r="J64" s="40"/>
      <c r="K64" s="48"/>
      <c r="L64" s="86"/>
      <c r="M64" s="56"/>
      <c r="N64" s="56"/>
      <c r="O64" s="2"/>
      <c r="P64" s="50"/>
      <c r="Q64" s="50"/>
      <c r="T64" s="15"/>
    </row>
    <row r="65" spans="1:20" s="138" customFormat="1" ht="28.9">
      <c r="A65" s="168" t="s">
        <v>218</v>
      </c>
      <c r="B65" s="156" t="str">
        <f t="shared" si="0"/>
        <v>Losa Mogetta</v>
      </c>
      <c r="C65" s="171">
        <v>46247</v>
      </c>
      <c r="D65" s="130"/>
      <c r="E65" s="317"/>
      <c r="F65" s="465"/>
      <c r="G65" s="131"/>
      <c r="H65" s="465"/>
      <c r="I65" s="132"/>
      <c r="J65" s="132"/>
      <c r="K65" s="368"/>
      <c r="L65" s="369"/>
      <c r="M65" s="135"/>
      <c r="N65" s="135"/>
      <c r="O65" s="140"/>
      <c r="P65" s="370"/>
      <c r="Q65" s="370"/>
      <c r="T65" s="371"/>
    </row>
    <row r="66" spans="1:20">
      <c r="B66" s="152" t="str">
        <f t="shared" si="4"/>
        <v>Losa Mogetta</v>
      </c>
      <c r="C66" s="27"/>
      <c r="D66" s="38"/>
      <c r="E66" s="38"/>
      <c r="F66" s="416"/>
      <c r="G66" s="39"/>
      <c r="H66" s="419"/>
      <c r="I66" s="40"/>
      <c r="J66" s="40"/>
      <c r="K66" s="4"/>
      <c r="L66" s="86"/>
      <c r="M66" s="56"/>
      <c r="N66" s="56"/>
      <c r="O66" s="2"/>
      <c r="P66" s="50"/>
      <c r="Q66" s="50"/>
    </row>
    <row r="67" spans="1:20">
      <c r="B67" s="152" t="str">
        <f t="shared" si="0"/>
        <v>Losa Mogetta</v>
      </c>
      <c r="C67" s="27"/>
      <c r="D67" s="38"/>
      <c r="E67" s="38"/>
      <c r="F67" s="416"/>
      <c r="G67" s="39"/>
      <c r="H67" s="419"/>
      <c r="I67" s="40"/>
      <c r="J67" s="40"/>
      <c r="K67" s="4"/>
      <c r="L67" s="2"/>
      <c r="M67" s="56"/>
      <c r="N67" s="56"/>
      <c r="O67" s="2"/>
      <c r="P67" s="50"/>
      <c r="Q67" s="50"/>
    </row>
    <row r="68" spans="1:20">
      <c r="B68" s="152" t="str">
        <f t="shared" si="0"/>
        <v>Losa Mogetta</v>
      </c>
      <c r="C68" s="27"/>
      <c r="D68" s="38"/>
      <c r="E68" s="38"/>
      <c r="F68" s="416"/>
      <c r="G68" s="39"/>
      <c r="H68" s="419"/>
      <c r="I68" s="40"/>
      <c r="J68" s="40"/>
      <c r="K68" s="4"/>
      <c r="L68" s="2"/>
      <c r="M68" s="56"/>
      <c r="N68" s="56"/>
      <c r="O68" s="2"/>
      <c r="P68" s="50"/>
      <c r="Q68" s="50"/>
    </row>
    <row r="69" spans="1:20">
      <c r="B69" s="152" t="str">
        <f t="shared" si="0"/>
        <v>Losa Mogetta</v>
      </c>
      <c r="C69" s="27"/>
      <c r="D69" s="469"/>
      <c r="E69" s="38"/>
      <c r="F69" s="419"/>
      <c r="G69" s="53"/>
      <c r="H69" s="469"/>
      <c r="I69" s="4"/>
      <c r="J69" s="4"/>
      <c r="K69" s="4"/>
      <c r="L69" s="14"/>
      <c r="M69" s="56"/>
      <c r="N69" s="56"/>
      <c r="O69" s="2"/>
      <c r="P69" s="50"/>
      <c r="Q69" s="50"/>
    </row>
    <row r="70" spans="1:20" ht="15" thickBot="1">
      <c r="B70" s="6"/>
      <c r="G70" s="15"/>
      <c r="H70" s="30"/>
      <c r="I70" s="30"/>
      <c r="J70" s="30"/>
      <c r="N70" s="14"/>
    </row>
    <row r="71" spans="1:20" ht="15" thickBot="1">
      <c r="B71" s="6"/>
      <c r="H71" s="5" t="s">
        <v>258</v>
      </c>
      <c r="I71" s="32">
        <f>SUM(I10:I69)</f>
        <v>4600535.51</v>
      </c>
      <c r="J71" s="31"/>
    </row>
    <row r="72" spans="1:20">
      <c r="B72" s="6"/>
      <c r="G72" s="15"/>
      <c r="H72" s="30"/>
      <c r="I72" s="30"/>
      <c r="J72" s="30"/>
    </row>
    <row r="73" spans="1:20">
      <c r="B73" s="6"/>
      <c r="G73" s="15"/>
      <c r="H73" s="30"/>
      <c r="I73" s="30"/>
      <c r="J73" s="30"/>
    </row>
    <row r="74" spans="1:20">
      <c r="B74" s="6"/>
      <c r="G74" s="15"/>
      <c r="H74" s="30"/>
      <c r="I74" s="30"/>
      <c r="J74" s="30"/>
    </row>
    <row r="75" spans="1:20">
      <c r="B75" s="6"/>
      <c r="H75" s="20"/>
      <c r="I75" s="20"/>
      <c r="J75" s="20"/>
    </row>
    <row r="76" spans="1:20">
      <c r="B76" s="6"/>
      <c r="H76" s="20"/>
      <c r="I76" s="20"/>
      <c r="J76" s="20"/>
    </row>
    <row r="77" spans="1:20">
      <c r="B77" s="6"/>
      <c r="H77" s="20"/>
      <c r="I77" s="20"/>
      <c r="J77" s="20"/>
    </row>
    <row r="78" spans="1:20">
      <c r="B78" s="6"/>
      <c r="H78" s="20"/>
      <c r="I78" s="20"/>
      <c r="J78" s="20"/>
    </row>
    <row r="79" spans="1:20">
      <c r="B79" s="6"/>
      <c r="H79" s="20"/>
      <c r="I79" s="20"/>
      <c r="J79" s="20"/>
    </row>
    <row r="80" spans="1:20">
      <c r="B80" s="6"/>
      <c r="H80" s="20"/>
      <c r="I80" s="20"/>
      <c r="J80" s="20"/>
    </row>
    <row r="81" spans="2:10">
      <c r="B81" s="6"/>
      <c r="H81" s="20"/>
      <c r="I81" s="20"/>
      <c r="J81" s="20"/>
    </row>
    <row r="82" spans="2:10">
      <c r="B82" s="6"/>
      <c r="H82" s="20"/>
      <c r="I82" s="20"/>
      <c r="J82" s="20"/>
    </row>
    <row r="83" spans="2:10">
      <c r="B83" s="6"/>
      <c r="H83" s="20"/>
      <c r="I83" s="20"/>
      <c r="J83" s="20"/>
    </row>
    <row r="84" spans="2:10">
      <c r="B84" s="6"/>
      <c r="H84" s="20"/>
      <c r="I84" s="20"/>
      <c r="J84" s="20"/>
    </row>
    <row r="85" spans="2:10">
      <c r="B85" s="6"/>
      <c r="H85" s="20"/>
      <c r="I85" s="20"/>
      <c r="J85" s="20"/>
    </row>
    <row r="86" spans="2:10">
      <c r="B86" s="6"/>
      <c r="H86" s="20"/>
      <c r="I86" s="20"/>
      <c r="J86" s="20"/>
    </row>
    <row r="87" spans="2:10">
      <c r="B87" s="6"/>
      <c r="H87" s="20"/>
      <c r="I87" s="20"/>
      <c r="J87" s="20"/>
    </row>
    <row r="88" spans="2:10">
      <c r="B88" s="6"/>
      <c r="H88" s="20"/>
      <c r="I88" s="20"/>
      <c r="J88" s="20"/>
    </row>
    <row r="89" spans="2:10">
      <c r="B89" s="6"/>
      <c r="H89" s="20"/>
      <c r="I89" s="20"/>
      <c r="J89" s="20"/>
    </row>
    <row r="90" spans="2:10">
      <c r="B90" s="6"/>
      <c r="H90" s="20"/>
      <c r="I90" s="20"/>
      <c r="J90" s="20"/>
    </row>
    <row r="91" spans="2:10">
      <c r="B91" s="6"/>
      <c r="H91" s="20"/>
      <c r="I91" s="20"/>
      <c r="J91" s="20"/>
    </row>
    <row r="92" spans="2:10">
      <c r="B92" s="6"/>
      <c r="H92" s="20"/>
      <c r="I92" s="20"/>
      <c r="J92" s="20"/>
    </row>
    <row r="93" spans="2:10">
      <c r="B93" s="6"/>
      <c r="H93" s="20"/>
      <c r="I93" s="20"/>
      <c r="J93" s="20"/>
    </row>
    <row r="94" spans="2:10">
      <c r="B94" s="6"/>
      <c r="H94" s="20"/>
      <c r="I94" s="20"/>
      <c r="J94" s="20"/>
    </row>
    <row r="95" spans="2:10">
      <c r="B95" s="6"/>
      <c r="H95" s="20"/>
      <c r="I95" s="20"/>
      <c r="J95" s="20"/>
    </row>
    <row r="96" spans="2:10">
      <c r="B96" s="6"/>
      <c r="H96" s="20"/>
      <c r="I96" s="20"/>
      <c r="J96" s="20"/>
    </row>
    <row r="97" spans="2:10">
      <c r="B97" s="6"/>
      <c r="H97" s="20"/>
      <c r="I97" s="20"/>
      <c r="J97" s="20"/>
    </row>
    <row r="98" spans="2:10">
      <c r="B98" s="6"/>
      <c r="H98" s="20"/>
      <c r="I98" s="20"/>
      <c r="J98" s="20"/>
    </row>
    <row r="99" spans="2:10">
      <c r="B99" s="6"/>
      <c r="H99" s="20"/>
      <c r="I99" s="20"/>
      <c r="J99" s="20"/>
    </row>
    <row r="100" spans="2:10">
      <c r="B100" s="6"/>
      <c r="H100" s="20"/>
      <c r="I100" s="20"/>
      <c r="J100" s="20"/>
    </row>
    <row r="101" spans="2:10">
      <c r="B101" s="6"/>
      <c r="H101" s="20"/>
      <c r="I101" s="20"/>
      <c r="J101" s="20"/>
    </row>
    <row r="102" spans="2:10">
      <c r="B102" s="6"/>
      <c r="H102" s="20"/>
      <c r="I102" s="20"/>
      <c r="J102" s="20"/>
    </row>
    <row r="103" spans="2:10">
      <c r="B103" s="6"/>
      <c r="H103" s="20"/>
      <c r="I103" s="20"/>
      <c r="J103" s="20"/>
    </row>
    <row r="104" spans="2:10">
      <c r="B104" s="6"/>
      <c r="H104" s="20"/>
      <c r="I104" s="20"/>
      <c r="J104" s="20"/>
    </row>
    <row r="105" spans="2:10">
      <c r="B105" s="6"/>
      <c r="H105" s="20"/>
      <c r="I105" s="20"/>
      <c r="J105" s="20"/>
    </row>
    <row r="106" spans="2:10">
      <c r="B106" s="6"/>
      <c r="H106" s="20"/>
      <c r="I106" s="20"/>
      <c r="J106" s="20"/>
    </row>
    <row r="107" spans="2:10">
      <c r="B107" s="6"/>
      <c r="H107" s="20"/>
      <c r="I107" s="20"/>
      <c r="J107" s="20"/>
    </row>
    <row r="108" spans="2:10">
      <c r="B108" s="6"/>
      <c r="H108" s="20"/>
      <c r="I108" s="20"/>
      <c r="J108" s="20"/>
    </row>
    <row r="109" spans="2:10">
      <c r="B109" s="6"/>
      <c r="H109" s="20"/>
      <c r="I109" s="20"/>
      <c r="J109" s="20"/>
    </row>
    <row r="110" spans="2:10">
      <c r="B110" s="6"/>
      <c r="H110" s="20"/>
      <c r="I110" s="20"/>
      <c r="J110" s="20"/>
    </row>
    <row r="111" spans="2:10">
      <c r="B111" s="6"/>
      <c r="H111" s="20"/>
      <c r="I111" s="20"/>
      <c r="J111" s="20"/>
    </row>
    <row r="112" spans="2:10">
      <c r="B112" s="6"/>
      <c r="H112" s="20"/>
      <c r="I112" s="20"/>
      <c r="J112" s="20"/>
    </row>
  </sheetData>
  <mergeCells count="5">
    <mergeCell ref="D2:H2"/>
    <mergeCell ref="F3:G3"/>
    <mergeCell ref="F4:G4"/>
    <mergeCell ref="F5:G5"/>
    <mergeCell ref="F6:G6"/>
  </mergeCells>
  <phoneticPr fontId="5" type="noConversion"/>
  <conditionalFormatting sqref="L29">
    <cfRule type="cellIs" dxfId="232" priority="25" operator="equal">
      <formula>"Cuenta Corriente"</formula>
    </cfRule>
    <cfRule type="cellIs" dxfId="231" priority="26" operator="equal">
      <formula>"No Pagado"</formula>
    </cfRule>
  </conditionalFormatting>
  <conditionalFormatting sqref="L31:L32 L41:N42">
    <cfRule type="cellIs" dxfId="230" priority="54" operator="equal">
      <formula>"Cuenta Corriente"</formula>
    </cfRule>
    <cfRule type="cellIs" dxfId="229" priority="55" operator="equal">
      <formula>"No Pagado"</formula>
    </cfRule>
  </conditionalFormatting>
  <conditionalFormatting sqref="L34:L36">
    <cfRule type="cellIs" dxfId="228" priority="27" operator="equal">
      <formula>"Cuenta Corriente"</formula>
    </cfRule>
    <cfRule type="cellIs" dxfId="227" priority="28" operator="equal">
      <formula>"No Pagado"</formula>
    </cfRule>
  </conditionalFormatting>
  <conditionalFormatting sqref="L44">
    <cfRule type="cellIs" dxfId="226" priority="29" operator="equal">
      <formula>"Cuenta Corriente"</formula>
    </cfRule>
    <cfRule type="cellIs" dxfId="225" priority="30" operator="equal">
      <formula>"No Pagado"</formula>
    </cfRule>
  </conditionalFormatting>
  <conditionalFormatting sqref="L63:L64">
    <cfRule type="cellIs" dxfId="224" priority="3" operator="equal">
      <formula>"Cuenta Corriente"</formula>
    </cfRule>
    <cfRule type="cellIs" dxfId="223" priority="4" operator="equal">
      <formula>"No Pagado"</formula>
    </cfRule>
  </conditionalFormatting>
  <conditionalFormatting sqref="L22:M22 O41:O42">
    <cfRule type="containsText" dxfId="222" priority="75" operator="containsText" text="Pendiente">
      <formula>NOT(ISERROR(SEARCH("Pendiente",L22)))</formula>
    </cfRule>
    <cfRule type="containsText" dxfId="221" priority="76" operator="containsText" text="Pagado">
      <formula>NOT(ISERROR(SEARCH("Pagado",L22)))</formula>
    </cfRule>
    <cfRule type="containsText" dxfId="220" priority="77" operator="containsText" text="Para abonar">
      <formula>NOT(ISERROR(SEARCH("Para abonar",L22)))</formula>
    </cfRule>
  </conditionalFormatting>
  <conditionalFormatting sqref="L28:M28">
    <cfRule type="containsText" dxfId="219" priority="70" operator="containsText" text="Pendiente">
      <formula>NOT(ISERROR(SEARCH("Pendiente",L28)))</formula>
    </cfRule>
    <cfRule type="containsText" dxfId="218" priority="71" operator="containsText" text="Pagado">
      <formula>NOT(ISERROR(SEARCH("Pagado",L28)))</formula>
    </cfRule>
    <cfRule type="containsText" dxfId="217" priority="72" operator="containsText" text="Para abonar">
      <formula>NOT(ISERROR(SEARCH("Para abonar",L28)))</formula>
    </cfRule>
  </conditionalFormatting>
  <conditionalFormatting sqref="L33:M33">
    <cfRule type="containsText" dxfId="216" priority="60" operator="containsText" text="Pendiente">
      <formula>NOT(ISERROR(SEARCH("Pendiente",L33)))</formula>
    </cfRule>
    <cfRule type="containsText" dxfId="215" priority="61" operator="containsText" text="Pagado">
      <formula>NOT(ISERROR(SEARCH("Pagado",L33)))</formula>
    </cfRule>
    <cfRule type="containsText" dxfId="214" priority="62" operator="containsText" text="Para abonar">
      <formula>NOT(ISERROR(SEARCH("Para abonar",L33)))</formula>
    </cfRule>
  </conditionalFormatting>
  <conditionalFormatting sqref="L37:M37">
    <cfRule type="containsText" dxfId="213" priority="39" operator="containsText" text="Pendiente">
      <formula>NOT(ISERROR(SEARCH("Pendiente",L37)))</formula>
    </cfRule>
    <cfRule type="containsText" dxfId="212" priority="40" operator="containsText" text="Pagado">
      <formula>NOT(ISERROR(SEARCH("Pagado",L37)))</formula>
    </cfRule>
    <cfRule type="containsText" dxfId="211" priority="41" operator="containsText" text="Para abonar">
      <formula>NOT(ISERROR(SEARCH("Para abonar",L37)))</formula>
    </cfRule>
  </conditionalFormatting>
  <conditionalFormatting sqref="L10:N15 L16:M19 N16:N20">
    <cfRule type="cellIs" dxfId="210" priority="78" operator="equal">
      <formula>"Cuenta Corriente"</formula>
    </cfRule>
    <cfRule type="cellIs" dxfId="209" priority="79" operator="equal">
      <formula>"No Pagado"</formula>
    </cfRule>
  </conditionalFormatting>
  <conditionalFormatting sqref="L21:N21 M31 M44 L45:N45 L47:N48 L50:M51 L52:N52 L54:N54 L56:N56 L66:N69">
    <cfRule type="cellIs" dxfId="208" priority="92" operator="equal">
      <formula>"Cuenta Corriente"</formula>
    </cfRule>
    <cfRule type="cellIs" dxfId="207" priority="93" operator="equal">
      <formula>"No Pagado"</formula>
    </cfRule>
  </conditionalFormatting>
  <conditionalFormatting sqref="L23:N27">
    <cfRule type="cellIs" dxfId="206" priority="66" operator="equal">
      <formula>"Cuenta Corriente"</formula>
    </cfRule>
    <cfRule type="cellIs" dxfId="205" priority="67" operator="equal">
      <formula>"No Pagado"</formula>
    </cfRule>
  </conditionalFormatting>
  <conditionalFormatting sqref="L58:N62">
    <cfRule type="cellIs" dxfId="204" priority="7" operator="equal">
      <formula>"Cuenta Corriente"</formula>
    </cfRule>
    <cfRule type="cellIs" dxfId="203" priority="8" operator="equal">
      <formula>"No Pagado"</formula>
    </cfRule>
  </conditionalFormatting>
  <conditionalFormatting sqref="L40:O40">
    <cfRule type="cellIs" dxfId="202" priority="50" operator="equal">
      <formula>"Cuenta Corriente"</formula>
    </cfRule>
    <cfRule type="cellIs" dxfId="201" priority="51" operator="equal">
      <formula>"No Pagado"</formula>
    </cfRule>
  </conditionalFormatting>
  <conditionalFormatting sqref="L43:O43">
    <cfRule type="cellIs" dxfId="200" priority="35" operator="equal">
      <formula>"Cuenta Corriente"</formula>
    </cfRule>
    <cfRule type="cellIs" dxfId="199" priority="36" operator="equal">
      <formula>"No Pagado"</formula>
    </cfRule>
  </conditionalFormatting>
  <conditionalFormatting sqref="L46:O46">
    <cfRule type="cellIs" dxfId="198" priority="33" operator="equal">
      <formula>"Cuenta Corriente"</formula>
    </cfRule>
    <cfRule type="cellIs" dxfId="197" priority="34" operator="equal">
      <formula>"No Pagado"</formula>
    </cfRule>
  </conditionalFormatting>
  <conditionalFormatting sqref="L49:O49">
    <cfRule type="cellIs" dxfId="196" priority="31" operator="equal">
      <formula>"Cuenta Corriente"</formula>
    </cfRule>
    <cfRule type="cellIs" dxfId="195" priority="32" operator="equal">
      <formula>"No Pagado"</formula>
    </cfRule>
  </conditionalFormatting>
  <conditionalFormatting sqref="L53:O53">
    <cfRule type="cellIs" dxfId="194" priority="19" operator="equal">
      <formula>"Cuenta Corriente"</formula>
    </cfRule>
    <cfRule type="cellIs" dxfId="193" priority="20" operator="equal">
      <formula>"No Pagado"</formula>
    </cfRule>
  </conditionalFormatting>
  <conditionalFormatting sqref="L55:O55">
    <cfRule type="cellIs" dxfId="192" priority="15" operator="equal">
      <formula>"Cuenta Corriente"</formula>
    </cfRule>
    <cfRule type="cellIs" dxfId="191" priority="16" operator="equal">
      <formula>"No Pagado"</formula>
    </cfRule>
  </conditionalFormatting>
  <conditionalFormatting sqref="L57:O57">
    <cfRule type="cellIs" dxfId="190" priority="13" operator="equal">
      <formula>"Cuenta Corriente"</formula>
    </cfRule>
    <cfRule type="cellIs" dxfId="189" priority="14" operator="equal">
      <formula>"No Pagado"</formula>
    </cfRule>
  </conditionalFormatting>
  <conditionalFormatting sqref="L65:O65">
    <cfRule type="cellIs" dxfId="188" priority="17" operator="equal">
      <formula>"Cuenta Corriente"</formula>
    </cfRule>
    <cfRule type="cellIs" dxfId="187" priority="18" operator="equal">
      <formula>"No Pagado"</formula>
    </cfRule>
  </conditionalFormatting>
  <conditionalFormatting sqref="M63:M64">
    <cfRule type="cellIs" dxfId="186" priority="1" operator="equal">
      <formula>"Cuenta Corriente"</formula>
    </cfRule>
    <cfRule type="cellIs" dxfId="185" priority="2" operator="equal">
      <formula>"No Pagado"</formula>
    </cfRule>
  </conditionalFormatting>
  <conditionalFormatting sqref="M29:N29 L30:N30">
    <cfRule type="cellIs" dxfId="184" priority="48" operator="equal">
      <formula>"Cuenta Corriente"</formula>
    </cfRule>
    <cfRule type="cellIs" dxfId="183" priority="49" operator="equal">
      <formula>"No Pagado"</formula>
    </cfRule>
  </conditionalFormatting>
  <conditionalFormatting sqref="M32:N32">
    <cfRule type="cellIs" dxfId="182" priority="46" operator="equal">
      <formula>"Cuenta Corriente"</formula>
    </cfRule>
    <cfRule type="cellIs" dxfId="181" priority="47" operator="equal">
      <formula>"No Pagado"</formula>
    </cfRule>
  </conditionalFormatting>
  <conditionalFormatting sqref="M34:N36 L38:N39">
    <cfRule type="cellIs" dxfId="180" priority="42" operator="equal">
      <formula>"Cuenta Corriente"</formula>
    </cfRule>
    <cfRule type="cellIs" dxfId="179" priority="43" operator="equal">
      <formula>"No Pagado"</formula>
    </cfRule>
  </conditionalFormatting>
  <conditionalFormatting sqref="N22">
    <cfRule type="cellIs" dxfId="178" priority="73" operator="equal">
      <formula>"Cuenta Corriente"</formula>
    </cfRule>
    <cfRule type="cellIs" dxfId="177" priority="74" operator="equal">
      <formula>"No Pagado"</formula>
    </cfRule>
  </conditionalFormatting>
  <conditionalFormatting sqref="N28">
    <cfRule type="cellIs" dxfId="176" priority="68" operator="equal">
      <formula>"Cuenta Corriente"</formula>
    </cfRule>
    <cfRule type="cellIs" dxfId="175" priority="69" operator="equal">
      <formula>"No Pagado"</formula>
    </cfRule>
  </conditionalFormatting>
  <conditionalFormatting sqref="N31 N33">
    <cfRule type="cellIs" dxfId="174" priority="52" operator="equal">
      <formula>"Cuenta Corriente"</formula>
    </cfRule>
    <cfRule type="cellIs" dxfId="173" priority="53" operator="equal">
      <formula>"No Pagado"</formula>
    </cfRule>
  </conditionalFormatting>
  <conditionalFormatting sqref="N37">
    <cfRule type="cellIs" dxfId="172" priority="37" operator="equal">
      <formula>"Cuenta Corriente"</formula>
    </cfRule>
    <cfRule type="cellIs" dxfId="171" priority="38" operator="equal">
      <formula>"No Pagado"</formula>
    </cfRule>
  </conditionalFormatting>
  <conditionalFormatting sqref="N44">
    <cfRule type="cellIs" dxfId="170" priority="23" operator="equal">
      <formula>"Cuenta Corriente"</formula>
    </cfRule>
    <cfRule type="cellIs" dxfId="169" priority="24" operator="equal">
      <formula>"No Pagado"</formula>
    </cfRule>
  </conditionalFormatting>
  <conditionalFormatting sqref="N50:N51">
    <cfRule type="cellIs" dxfId="168" priority="21" operator="equal">
      <formula>"Cuenta Corriente"</formula>
    </cfRule>
    <cfRule type="cellIs" dxfId="167" priority="22" operator="equal">
      <formula>"No Pagado"</formula>
    </cfRule>
  </conditionalFormatting>
  <conditionalFormatting sqref="N63:O64">
    <cfRule type="cellIs" dxfId="166" priority="5" operator="equal">
      <formula>"Cuenta Corriente"</formula>
    </cfRule>
    <cfRule type="cellIs" dxfId="165" priority="6" operator="equal">
      <formula>"No Pagado"</formula>
    </cfRule>
  </conditionalFormatting>
  <conditionalFormatting sqref="O10:O39 L20:M20 O44:O45 O47:O48">
    <cfRule type="containsText" dxfId="164" priority="82" operator="containsText" text="Pendiente">
      <formula>NOT(ISERROR(SEARCH("Pendiente",L10)))</formula>
    </cfRule>
    <cfRule type="containsText" dxfId="163" priority="83" operator="containsText" text="Pagado">
      <formula>NOT(ISERROR(SEARCH("Pagado",L10)))</formula>
    </cfRule>
    <cfRule type="containsText" dxfId="162" priority="84" operator="containsText" text="Para abonar">
      <formula>NOT(ISERROR(SEARCH("Para abonar",L10)))</formula>
    </cfRule>
  </conditionalFormatting>
  <conditionalFormatting sqref="O50:O52 O54 O56 O58:O62 O66:O69 N70">
    <cfRule type="cellIs" dxfId="161" priority="94" operator="equal">
      <formula>"Cuenta Corriente"</formula>
    </cfRule>
    <cfRule type="cellIs" dxfId="160" priority="95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62D5CA-670B-4411-A816-D5C246A4F3D8}">
          <x14:formula1>
            <xm:f>Consultas!$B$13:$B$15</xm:f>
          </x14:formula1>
          <xm:sqref>N20:N26 N29:N32 L28:M28 L33:M33 N34:N36 L37:M37 N38:N57 N63:N69</xm:sqref>
        </x14:dataValidation>
        <x14:dataValidation type="list" allowBlank="1" showInputMessage="1" showErrorMessage="1" xr:uid="{69298DA8-47BB-43C9-A0B5-BA3FD9DC0A53}">
          <x14:formula1>
            <xm:f>Consultas!$B$9:$B$11</xm:f>
          </x14:formula1>
          <xm:sqref>N70 L10:M27 K28 O10:O27 L34:M36 N28 O29:O32 K33 N33 O34:O36 N37 K37 L29:M32 L38:M69 O38:O69</xm:sqref>
        </x14:dataValidation>
        <x14:dataValidation type="list" allowBlank="1" showInputMessage="1" showErrorMessage="1" xr:uid="{EAFA4ED1-1A81-4F66-81E2-A6B9647FC277}">
          <x14:formula1>
            <xm:f>Proveedores!$B$3:$B$111</xm:f>
          </x14:formula1>
          <xm:sqref>G10:G27 F28 G29:G32 F33 G34:G36 F37 G38:G140</xm:sqref>
        </x14:dataValidation>
        <x14:dataValidation type="list" allowBlank="1" showInputMessage="1" showErrorMessage="1" xr:uid="{F7ECEB2C-35C8-4D37-AC02-A254603E86EB}">
          <x14:formula1>
            <xm:f>Consultas!$B$13:$B$16</xm:f>
          </x14:formula1>
          <xm:sqref>N10:N19 N27 N58:N62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AF4A-13E0-406D-8706-7802C653D564}">
  <dimension ref="A1:T48"/>
  <sheetViews>
    <sheetView topLeftCell="A24" workbookViewId="0">
      <selection activeCell="D37" sqref="D37"/>
    </sheetView>
  </sheetViews>
  <sheetFormatPr defaultColWidth="11.42578125" defaultRowHeight="14.45"/>
  <cols>
    <col min="2" max="2" width="17.5703125" customWidth="1"/>
    <col min="4" max="4" width="12.5703125" customWidth="1"/>
    <col min="5" max="5" width="19.42578125" bestFit="1" customWidth="1"/>
    <col min="6" max="6" width="49.7109375" bestFit="1" customWidth="1"/>
    <col min="7" max="7" width="17" bestFit="1" customWidth="1"/>
    <col min="9" max="9" width="15.140625" bestFit="1" customWidth="1"/>
    <col min="11" max="11" width="15.42578125" bestFit="1" customWidth="1"/>
    <col min="14" max="14" width="15.85546875" bestFit="1" customWidth="1"/>
    <col min="18" max="18" width="14.42578125" bestFit="1" customWidth="1"/>
  </cols>
  <sheetData>
    <row r="1" spans="1:20" ht="15" thickBot="1">
      <c r="B1" s="6"/>
      <c r="I1" s="6"/>
    </row>
    <row r="2" spans="1:20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20" ht="15.6">
      <c r="B3" s="6"/>
      <c r="D3" s="8" t="s">
        <v>177</v>
      </c>
      <c r="E3" s="36" t="s">
        <v>1282</v>
      </c>
      <c r="F3" s="423"/>
      <c r="G3" s="424"/>
      <c r="H3" s="37"/>
      <c r="I3" s="380"/>
      <c r="J3" s="15"/>
    </row>
    <row r="4" spans="1:20">
      <c r="B4" s="6"/>
      <c r="D4" s="9" t="s">
        <v>179</v>
      </c>
      <c r="E4" s="449" t="s">
        <v>1283</v>
      </c>
      <c r="F4" s="450" t="s">
        <v>180</v>
      </c>
      <c r="G4" s="451"/>
      <c r="H4" s="35" t="s">
        <v>1284</v>
      </c>
      <c r="I4" s="512"/>
      <c r="J4" s="452"/>
    </row>
    <row r="5" spans="1:20">
      <c r="B5" s="6"/>
      <c r="D5" s="9"/>
      <c r="E5" s="449" t="s">
        <v>1285</v>
      </c>
      <c r="F5" s="453"/>
      <c r="G5" s="454"/>
      <c r="H5" s="10"/>
      <c r="I5" s="380"/>
      <c r="J5" s="15"/>
    </row>
    <row r="6" spans="1:20" ht="15" thickBot="1">
      <c r="B6" s="6"/>
      <c r="D6" s="11"/>
      <c r="E6" s="12"/>
      <c r="F6" s="455"/>
      <c r="G6" s="456"/>
      <c r="H6" s="13"/>
      <c r="I6" s="380"/>
      <c r="J6" s="15"/>
    </row>
    <row r="7" spans="1:20">
      <c r="B7" s="6"/>
      <c r="I7" s="6"/>
    </row>
    <row r="8" spans="1:20" ht="15" thickBot="1">
      <c r="B8" s="6"/>
      <c r="I8" s="6"/>
    </row>
    <row r="9" spans="1:20" ht="58.15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  <c r="R9" s="155" t="s">
        <v>265</v>
      </c>
    </row>
    <row r="10" spans="1:20">
      <c r="A10" s="374"/>
      <c r="B10" s="27" t="str">
        <f t="shared" ref="B10:B43" si="0">+$E$3</f>
        <v>Diego Casalis</v>
      </c>
      <c r="C10" s="222">
        <v>46182</v>
      </c>
      <c r="D10" s="23" t="s">
        <v>1286</v>
      </c>
      <c r="E10" s="46" t="s">
        <v>1287</v>
      </c>
      <c r="F10" s="514" t="s">
        <v>368</v>
      </c>
      <c r="G10" s="42" t="s">
        <v>72</v>
      </c>
      <c r="H10" s="419" t="s">
        <v>1288</v>
      </c>
      <c r="I10" s="48">
        <v>176650.04</v>
      </c>
      <c r="J10" s="40"/>
      <c r="K10" s="513" t="s">
        <v>201</v>
      </c>
      <c r="L10" s="56" t="s">
        <v>732</v>
      </c>
      <c r="M10" s="284" t="s">
        <v>209</v>
      </c>
      <c r="N10" s="56" t="s">
        <v>305</v>
      </c>
      <c r="O10" s="2"/>
      <c r="P10" s="50"/>
      <c r="Q10" s="50"/>
      <c r="T10" s="15"/>
    </row>
    <row r="11" spans="1:20" ht="18.600000000000001" customHeight="1">
      <c r="A11" s="374"/>
      <c r="B11" s="152" t="str">
        <f t="shared" si="0"/>
        <v>Diego Casalis</v>
      </c>
      <c r="C11" s="222">
        <v>46178</v>
      </c>
      <c r="D11" s="23" t="s">
        <v>1055</v>
      </c>
      <c r="E11" s="46" t="s">
        <v>1287</v>
      </c>
      <c r="F11" s="514" t="s">
        <v>1289</v>
      </c>
      <c r="G11" s="42" t="s">
        <v>72</v>
      </c>
      <c r="H11" s="419" t="s">
        <v>1288</v>
      </c>
      <c r="I11" s="48">
        <v>43260.86</v>
      </c>
      <c r="J11" s="40"/>
      <c r="K11" s="19" t="s">
        <v>201</v>
      </c>
      <c r="L11" s="56" t="s">
        <v>732</v>
      </c>
      <c r="M11" s="284" t="s">
        <v>209</v>
      </c>
      <c r="N11" s="56" t="s">
        <v>305</v>
      </c>
      <c r="O11" s="2"/>
      <c r="P11" s="50"/>
      <c r="Q11" s="50"/>
      <c r="T11" s="15"/>
    </row>
    <row r="12" spans="1:20" ht="18.600000000000001" customHeight="1">
      <c r="A12" s="374"/>
      <c r="B12" s="152" t="str">
        <f t="shared" si="0"/>
        <v>Diego Casalis</v>
      </c>
      <c r="C12" s="222"/>
      <c r="D12" s="38"/>
      <c r="E12" s="209"/>
      <c r="F12" s="419"/>
      <c r="G12" s="42"/>
      <c r="H12" s="419"/>
      <c r="I12" s="48"/>
      <c r="J12" s="40"/>
      <c r="K12" s="48"/>
      <c r="L12" s="87"/>
      <c r="M12" s="56"/>
      <c r="N12" s="56"/>
      <c r="O12" s="2"/>
      <c r="P12" s="50"/>
      <c r="Q12" s="50"/>
      <c r="T12" s="15"/>
    </row>
    <row r="13" spans="1:20" s="138" customFormat="1" ht="28.9">
      <c r="A13" s="168" t="s">
        <v>218</v>
      </c>
      <c r="B13" s="156" t="str">
        <f t="shared" si="0"/>
        <v>Diego Casalis</v>
      </c>
      <c r="C13" s="171">
        <v>46191</v>
      </c>
      <c r="D13" s="130"/>
      <c r="E13" s="317"/>
      <c r="F13" s="465"/>
      <c r="G13" s="131"/>
      <c r="H13" s="465"/>
      <c r="I13" s="132"/>
      <c r="J13" s="132"/>
      <c r="K13" s="368"/>
      <c r="L13" s="369"/>
      <c r="M13" s="135"/>
      <c r="N13" s="135"/>
      <c r="O13" s="140"/>
      <c r="P13" s="370"/>
      <c r="Q13" s="370"/>
      <c r="T13" s="371"/>
    </row>
    <row r="14" spans="1:20">
      <c r="A14" s="221"/>
      <c r="B14" s="27" t="str">
        <f>+$E$3</f>
        <v>Diego Casalis</v>
      </c>
      <c r="C14" s="222">
        <v>46195</v>
      </c>
      <c r="D14" s="38" t="s">
        <v>1290</v>
      </c>
      <c r="E14" s="46" t="s">
        <v>1287</v>
      </c>
      <c r="F14" s="419" t="s">
        <v>1291</v>
      </c>
      <c r="G14" s="42" t="s">
        <v>22</v>
      </c>
      <c r="H14" s="419" t="s">
        <v>1051</v>
      </c>
      <c r="I14" s="48">
        <v>837228</v>
      </c>
      <c r="J14" s="40"/>
      <c r="K14" s="19" t="s">
        <v>201</v>
      </c>
      <c r="L14" s="56" t="s">
        <v>732</v>
      </c>
      <c r="M14" s="284" t="s">
        <v>209</v>
      </c>
      <c r="N14" s="56" t="s">
        <v>305</v>
      </c>
      <c r="O14" s="2"/>
      <c r="P14" s="50"/>
      <c r="Q14" s="50"/>
      <c r="R14" s="419" t="s">
        <v>1292</v>
      </c>
      <c r="T14" s="15"/>
    </row>
    <row r="15" spans="1:20">
      <c r="A15" s="221"/>
      <c r="B15" s="27" t="str">
        <f>+$E$3</f>
        <v>Diego Casalis</v>
      </c>
      <c r="C15" s="222">
        <v>46195</v>
      </c>
      <c r="D15" s="38" t="s">
        <v>1293</v>
      </c>
      <c r="E15" s="46" t="s">
        <v>1287</v>
      </c>
      <c r="F15" s="419" t="s">
        <v>1294</v>
      </c>
      <c r="G15" s="42" t="s">
        <v>119</v>
      </c>
      <c r="H15" s="419" t="s">
        <v>1051</v>
      </c>
      <c r="I15" s="48">
        <v>1228221.07</v>
      </c>
      <c r="J15" s="40"/>
      <c r="K15" s="19" t="s">
        <v>201</v>
      </c>
      <c r="L15" s="56" t="s">
        <v>732</v>
      </c>
      <c r="M15" s="284" t="s">
        <v>209</v>
      </c>
      <c r="N15" s="56" t="s">
        <v>305</v>
      </c>
      <c r="O15" s="2"/>
      <c r="P15" s="50"/>
      <c r="Q15" s="50"/>
      <c r="R15" s="88" t="s">
        <v>1292</v>
      </c>
      <c r="T15" s="15"/>
    </row>
    <row r="16" spans="1:20" ht="18.600000000000001" customHeight="1">
      <c r="A16" s="374"/>
      <c r="B16" s="152" t="str">
        <f t="shared" si="0"/>
        <v>Diego Casalis</v>
      </c>
      <c r="C16" s="222">
        <v>46199</v>
      </c>
      <c r="D16" s="38" t="s">
        <v>1295</v>
      </c>
      <c r="E16" s="46" t="s">
        <v>1287</v>
      </c>
      <c r="F16" s="419" t="s">
        <v>1296</v>
      </c>
      <c r="G16" s="42" t="s">
        <v>71</v>
      </c>
      <c r="H16" s="419" t="s">
        <v>1063</v>
      </c>
      <c r="I16" s="48">
        <v>626508.56999999995</v>
      </c>
      <c r="J16" s="40"/>
      <c r="K16" s="19" t="s">
        <v>201</v>
      </c>
      <c r="L16" s="56" t="s">
        <v>732</v>
      </c>
      <c r="M16" s="284" t="s">
        <v>209</v>
      </c>
      <c r="N16" s="56" t="s">
        <v>305</v>
      </c>
      <c r="O16" s="2"/>
      <c r="P16" s="50"/>
      <c r="Q16" s="50"/>
      <c r="T16" s="15"/>
    </row>
    <row r="17" spans="1:20" s="138" customFormat="1" ht="28.9">
      <c r="A17" s="168" t="s">
        <v>218</v>
      </c>
      <c r="B17" s="156" t="str">
        <f t="shared" si="0"/>
        <v>Diego Casalis</v>
      </c>
      <c r="C17" s="171">
        <v>46205</v>
      </c>
      <c r="D17" s="130"/>
      <c r="E17" s="317"/>
      <c r="F17" s="465"/>
      <c r="G17" s="131"/>
      <c r="H17" s="465"/>
      <c r="I17" s="132"/>
      <c r="J17" s="132"/>
      <c r="K17" s="368"/>
      <c r="L17" s="369"/>
      <c r="M17" s="135"/>
      <c r="N17" s="135"/>
      <c r="O17" s="140"/>
      <c r="P17" s="370"/>
      <c r="Q17" s="370"/>
      <c r="T17" s="371"/>
    </row>
    <row r="18" spans="1:20" ht="18.600000000000001" customHeight="1">
      <c r="A18" s="374"/>
      <c r="B18" s="152" t="str">
        <f t="shared" ref="B18" si="1">+$E$3</f>
        <v>Diego Casalis</v>
      </c>
      <c r="C18" s="222">
        <v>46216</v>
      </c>
      <c r="D18" s="38" t="s">
        <v>1297</v>
      </c>
      <c r="E18" s="46" t="s">
        <v>1287</v>
      </c>
      <c r="F18" s="419" t="s">
        <v>1298</v>
      </c>
      <c r="G18" s="42" t="s">
        <v>2</v>
      </c>
      <c r="H18" s="419" t="s">
        <v>1299</v>
      </c>
      <c r="I18" s="48">
        <v>711187.72</v>
      </c>
      <c r="J18" s="40"/>
      <c r="K18" s="19" t="s">
        <v>201</v>
      </c>
      <c r="L18" s="56" t="s">
        <v>732</v>
      </c>
      <c r="M18" s="284" t="s">
        <v>209</v>
      </c>
      <c r="N18" s="56" t="s">
        <v>305</v>
      </c>
      <c r="O18" s="2"/>
      <c r="P18" s="50"/>
      <c r="Q18" s="50"/>
      <c r="T18" s="15"/>
    </row>
    <row r="19" spans="1:20" s="138" customFormat="1" ht="28.9">
      <c r="A19" s="168" t="s">
        <v>218</v>
      </c>
      <c r="B19" s="156" t="str">
        <f t="shared" si="0"/>
        <v>Diego Casalis</v>
      </c>
      <c r="C19" s="171">
        <v>46219</v>
      </c>
      <c r="D19" s="130"/>
      <c r="E19" s="317"/>
      <c r="F19" s="465"/>
      <c r="G19" s="131"/>
      <c r="H19" s="465"/>
      <c r="I19" s="132"/>
      <c r="J19" s="132"/>
      <c r="K19" s="368"/>
      <c r="L19" s="369"/>
      <c r="M19" s="135"/>
      <c r="N19" s="135"/>
      <c r="O19" s="140"/>
      <c r="P19" s="370"/>
      <c r="Q19" s="370"/>
      <c r="T19" s="371"/>
    </row>
    <row r="20" spans="1:20" ht="18.600000000000001" customHeight="1">
      <c r="A20" s="374"/>
      <c r="B20" s="152" t="str">
        <f t="shared" ref="B20:B25" si="2">+$E$3</f>
        <v>Diego Casalis</v>
      </c>
      <c r="C20" s="222">
        <v>46220</v>
      </c>
      <c r="D20" s="38" t="s">
        <v>364</v>
      </c>
      <c r="E20" s="209" t="s">
        <v>742</v>
      </c>
      <c r="F20" s="419" t="s">
        <v>1300</v>
      </c>
      <c r="G20" s="42" t="s">
        <v>76</v>
      </c>
      <c r="H20" s="419" t="s">
        <v>1299</v>
      </c>
      <c r="I20" s="48">
        <v>32500</v>
      </c>
      <c r="J20" s="40"/>
      <c r="K20" s="19" t="s">
        <v>201</v>
      </c>
      <c r="L20" s="56" t="s">
        <v>732</v>
      </c>
      <c r="M20" s="56" t="s">
        <v>732</v>
      </c>
      <c r="N20" s="56" t="s">
        <v>305</v>
      </c>
      <c r="O20" s="2"/>
      <c r="P20" s="50"/>
      <c r="Q20" s="50"/>
      <c r="T20" s="15"/>
    </row>
    <row r="21" spans="1:20" ht="18.600000000000001" customHeight="1">
      <c r="A21" s="374"/>
      <c r="B21" s="27" t="str">
        <f t="shared" ref="B21:B24" si="3">+$E$3</f>
        <v>Diego Casalis</v>
      </c>
      <c r="C21" s="222">
        <v>46230</v>
      </c>
      <c r="D21" s="38" t="s">
        <v>364</v>
      </c>
      <c r="E21" s="209" t="s">
        <v>742</v>
      </c>
      <c r="F21" s="419" t="s">
        <v>1301</v>
      </c>
      <c r="G21" s="42" t="s">
        <v>76</v>
      </c>
      <c r="H21" s="419" t="s">
        <v>1299</v>
      </c>
      <c r="I21" s="48">
        <v>60000</v>
      </c>
      <c r="J21" s="40"/>
      <c r="K21" s="19" t="s">
        <v>201</v>
      </c>
      <c r="L21" s="56" t="s">
        <v>732</v>
      </c>
      <c r="M21" s="56" t="s">
        <v>732</v>
      </c>
      <c r="N21" s="56" t="s">
        <v>305</v>
      </c>
      <c r="O21" s="2"/>
      <c r="P21" s="50"/>
      <c r="Q21" s="50"/>
      <c r="T21" s="15"/>
    </row>
    <row r="22" spans="1:20" ht="18.600000000000001" customHeight="1">
      <c r="A22" s="374"/>
      <c r="B22" s="27" t="str">
        <f>+$E$3</f>
        <v>Diego Casalis</v>
      </c>
      <c r="C22" s="222"/>
      <c r="D22" s="38"/>
      <c r="E22" s="38"/>
      <c r="F22" s="416"/>
      <c r="G22" s="42"/>
      <c r="H22" s="419"/>
      <c r="I22" s="48"/>
      <c r="J22" s="40"/>
      <c r="K22" s="4"/>
      <c r="L22" s="86"/>
      <c r="M22" s="56"/>
      <c r="N22" s="56"/>
      <c r="O22" s="2"/>
      <c r="P22" s="50"/>
      <c r="Q22" s="50"/>
      <c r="T22" s="15"/>
    </row>
    <row r="23" spans="1:20" s="138" customFormat="1" ht="28.9">
      <c r="A23" s="168" t="s">
        <v>218</v>
      </c>
      <c r="B23" s="156" t="str">
        <f t="shared" si="0"/>
        <v>Diego Casalis</v>
      </c>
      <c r="C23" s="171">
        <v>46233</v>
      </c>
      <c r="D23" s="130"/>
      <c r="E23" s="317"/>
      <c r="F23" s="465"/>
      <c r="G23" s="131"/>
      <c r="H23" s="465"/>
      <c r="I23" s="132"/>
      <c r="J23" s="132"/>
      <c r="K23" s="368"/>
      <c r="L23" s="369"/>
      <c r="M23" s="135"/>
      <c r="N23" s="135"/>
      <c r="O23" s="140"/>
      <c r="P23" s="370"/>
      <c r="Q23" s="370"/>
      <c r="T23" s="371"/>
    </row>
    <row r="24" spans="1:20" ht="18.600000000000001" customHeight="1">
      <c r="A24" s="374"/>
      <c r="B24" s="152" t="str">
        <f t="shared" si="3"/>
        <v>Diego Casalis</v>
      </c>
      <c r="C24" s="222"/>
      <c r="D24" s="38"/>
      <c r="E24" s="209"/>
      <c r="F24" s="419"/>
      <c r="G24" s="42"/>
      <c r="H24" s="419"/>
      <c r="I24" s="48"/>
      <c r="J24" s="40"/>
      <c r="K24" s="48"/>
      <c r="L24" s="87"/>
      <c r="M24" s="56"/>
      <c r="N24" s="56"/>
      <c r="O24" s="2"/>
      <c r="P24" s="50"/>
      <c r="Q24" s="50"/>
      <c r="T24" s="15"/>
    </row>
    <row r="25" spans="1:20" ht="18.600000000000001" customHeight="1">
      <c r="A25" s="374"/>
      <c r="B25" s="152" t="str">
        <f t="shared" si="2"/>
        <v>Diego Casalis</v>
      </c>
      <c r="C25" s="222"/>
      <c r="D25" s="38"/>
      <c r="E25" s="209"/>
      <c r="F25" s="419"/>
      <c r="G25" s="42"/>
      <c r="H25" s="419"/>
      <c r="I25" s="48"/>
      <c r="J25" s="40"/>
      <c r="K25" s="48"/>
      <c r="L25" s="87"/>
      <c r="M25" s="56"/>
      <c r="N25" s="56"/>
      <c r="O25" s="2"/>
      <c r="P25" s="50"/>
      <c r="Q25" s="50"/>
      <c r="T25" s="15"/>
    </row>
    <row r="26" spans="1:20" ht="18.600000000000001" customHeight="1">
      <c r="A26" s="374"/>
      <c r="B26" s="27" t="str">
        <f t="shared" ref="B26:B42" si="4">+$E$3</f>
        <v>Diego Casalis</v>
      </c>
      <c r="C26" s="222"/>
      <c r="D26" s="38"/>
      <c r="E26" s="38"/>
      <c r="F26" s="419"/>
      <c r="G26" s="42"/>
      <c r="H26" s="419"/>
      <c r="I26" s="48"/>
      <c r="J26" s="40"/>
      <c r="K26" s="48"/>
      <c r="L26" s="86"/>
      <c r="M26" s="56"/>
      <c r="N26" s="56"/>
      <c r="O26" s="2"/>
      <c r="P26" s="50"/>
      <c r="Q26" s="50"/>
      <c r="T26" s="15"/>
    </row>
    <row r="27" spans="1:20" s="138" customFormat="1" ht="28.9">
      <c r="A27" s="168" t="s">
        <v>218</v>
      </c>
      <c r="B27" s="156" t="str">
        <f t="shared" si="0"/>
        <v>Diego Casalis</v>
      </c>
      <c r="C27" s="171">
        <v>46247</v>
      </c>
      <c r="D27" s="130"/>
      <c r="E27" s="317"/>
      <c r="F27" s="465"/>
      <c r="G27" s="131"/>
      <c r="H27" s="465"/>
      <c r="I27" s="132"/>
      <c r="J27" s="132"/>
      <c r="K27" s="368"/>
      <c r="L27" s="369"/>
      <c r="M27" s="135"/>
      <c r="N27" s="135"/>
      <c r="O27" s="140"/>
      <c r="P27" s="370"/>
      <c r="Q27" s="370"/>
      <c r="T27" s="371"/>
    </row>
    <row r="28" spans="1:20" ht="18.600000000000001" customHeight="1">
      <c r="A28" s="374"/>
      <c r="B28" s="152" t="str">
        <f t="shared" si="4"/>
        <v>Diego Casalis</v>
      </c>
      <c r="C28" s="27">
        <v>46253</v>
      </c>
      <c r="D28" s="209"/>
      <c r="E28" s="209" t="s">
        <v>808</v>
      </c>
      <c r="F28" s="416" t="s">
        <v>1092</v>
      </c>
      <c r="G28" s="42" t="s">
        <v>14</v>
      </c>
      <c r="H28" s="417" t="s">
        <v>1091</v>
      </c>
      <c r="I28" s="48"/>
      <c r="J28" s="40"/>
      <c r="K28" s="48" t="s">
        <v>629</v>
      </c>
      <c r="L28" s="56" t="s">
        <v>732</v>
      </c>
      <c r="M28" s="56" t="s">
        <v>732</v>
      </c>
      <c r="N28" s="56" t="s">
        <v>305</v>
      </c>
      <c r="O28" s="2"/>
      <c r="P28" s="50"/>
      <c r="Q28" s="50"/>
      <c r="T28" s="15"/>
    </row>
    <row r="29" spans="1:20" ht="18.600000000000001" customHeight="1">
      <c r="A29" s="374"/>
      <c r="B29" s="152" t="str">
        <f t="shared" si="4"/>
        <v>Diego Casalis</v>
      </c>
      <c r="C29" s="475">
        <v>46253</v>
      </c>
      <c r="D29" s="38"/>
      <c r="E29" s="209" t="s">
        <v>808</v>
      </c>
      <c r="F29" s="419" t="s">
        <v>1281</v>
      </c>
      <c r="G29" s="42" t="s">
        <v>132</v>
      </c>
      <c r="H29" s="417" t="s">
        <v>1091</v>
      </c>
      <c r="I29" s="48"/>
      <c r="J29" s="40"/>
      <c r="K29" s="48" t="s">
        <v>629</v>
      </c>
      <c r="L29" s="56" t="s">
        <v>732</v>
      </c>
      <c r="M29" s="56" t="s">
        <v>732</v>
      </c>
      <c r="N29" s="56" t="s">
        <v>305</v>
      </c>
      <c r="O29" s="2"/>
      <c r="P29" s="50"/>
      <c r="Q29" s="50"/>
      <c r="T29" s="15"/>
    </row>
    <row r="30" spans="1:20" ht="18.600000000000001" customHeight="1">
      <c r="A30" s="374"/>
      <c r="B30" s="152" t="str">
        <f t="shared" si="4"/>
        <v>Diego Casalis</v>
      </c>
      <c r="C30" s="475">
        <v>46254</v>
      </c>
      <c r="D30" s="38"/>
      <c r="E30" s="209" t="s">
        <v>808</v>
      </c>
      <c r="F30" s="419" t="s">
        <v>1302</v>
      </c>
      <c r="G30" s="42" t="s">
        <v>76</v>
      </c>
      <c r="H30" s="419" t="s">
        <v>1067</v>
      </c>
      <c r="I30" s="48">
        <v>60000</v>
      </c>
      <c r="J30" s="40"/>
      <c r="K30" s="48" t="s">
        <v>629</v>
      </c>
      <c r="L30" s="56" t="s">
        <v>732</v>
      </c>
      <c r="M30" s="56" t="s">
        <v>732</v>
      </c>
      <c r="N30" s="56" t="s">
        <v>305</v>
      </c>
      <c r="O30" s="2"/>
      <c r="P30" s="50"/>
      <c r="Q30" s="50"/>
      <c r="T30" s="15"/>
    </row>
    <row r="31" spans="1:20" ht="18.600000000000001" customHeight="1">
      <c r="A31" s="374"/>
      <c r="B31" s="152" t="str">
        <f t="shared" si="4"/>
        <v>Diego Casalis</v>
      </c>
      <c r="C31" s="222"/>
      <c r="D31" s="38"/>
      <c r="E31" s="209"/>
      <c r="F31" s="419"/>
      <c r="G31" s="42"/>
      <c r="H31" s="419"/>
      <c r="I31" s="48"/>
      <c r="J31" s="40"/>
      <c r="K31" s="48"/>
      <c r="L31" s="87"/>
      <c r="M31" s="56"/>
      <c r="N31" s="56"/>
      <c r="O31" s="2"/>
      <c r="P31" s="50"/>
      <c r="Q31" s="50"/>
      <c r="T31" s="15"/>
    </row>
    <row r="32" spans="1:20" ht="18.600000000000001" customHeight="1">
      <c r="A32" s="374"/>
      <c r="B32" s="27" t="str">
        <f t="shared" ref="B32:B36" si="5">+$E$3</f>
        <v>Diego Casalis</v>
      </c>
      <c r="C32" s="222"/>
      <c r="D32" s="38"/>
      <c r="E32" s="38"/>
      <c r="F32" s="419"/>
      <c r="G32" s="42"/>
      <c r="H32" s="419"/>
      <c r="I32" s="48"/>
      <c r="J32" s="40"/>
      <c r="K32" s="48"/>
      <c r="L32" s="86"/>
      <c r="M32" s="56"/>
      <c r="N32" s="56"/>
      <c r="O32" s="2"/>
      <c r="P32" s="50"/>
      <c r="Q32" s="50"/>
      <c r="T32" s="15"/>
    </row>
    <row r="33" spans="1:20" ht="18.600000000000001" customHeight="1">
      <c r="A33" s="374"/>
      <c r="B33" s="152" t="str">
        <f t="shared" si="5"/>
        <v>Diego Casalis</v>
      </c>
      <c r="C33" s="222"/>
      <c r="D33" s="38"/>
      <c r="E33" s="209"/>
      <c r="F33" s="419"/>
      <c r="G33" s="42"/>
      <c r="H33" s="419"/>
      <c r="I33" s="48"/>
      <c r="J33" s="40"/>
      <c r="K33" s="48"/>
      <c r="L33" s="87"/>
      <c r="M33" s="56"/>
      <c r="N33" s="56"/>
      <c r="O33" s="2"/>
      <c r="P33" s="50"/>
      <c r="Q33" s="50"/>
      <c r="T33" s="15"/>
    </row>
    <row r="34" spans="1:20" s="138" customFormat="1" ht="28.9">
      <c r="A34" s="168" t="s">
        <v>218</v>
      </c>
      <c r="B34" s="156" t="str">
        <f t="shared" si="0"/>
        <v>Diego Casalis</v>
      </c>
      <c r="C34" s="171">
        <v>46261</v>
      </c>
      <c r="D34" s="130"/>
      <c r="E34" s="317"/>
      <c r="F34" s="465"/>
      <c r="G34" s="131"/>
      <c r="H34" s="465"/>
      <c r="I34" s="132"/>
      <c r="J34" s="132"/>
      <c r="K34" s="368"/>
      <c r="L34" s="369"/>
      <c r="M34" s="135"/>
      <c r="N34" s="135"/>
      <c r="O34" s="140"/>
      <c r="P34" s="370"/>
      <c r="Q34" s="370"/>
      <c r="T34" s="371"/>
    </row>
    <row r="35" spans="1:20" ht="18.600000000000001" customHeight="1">
      <c r="A35" s="374"/>
      <c r="B35" s="152" t="str">
        <f t="shared" si="5"/>
        <v>Diego Casalis</v>
      </c>
      <c r="C35" s="222">
        <v>46273</v>
      </c>
      <c r="D35" s="38" t="s">
        <v>364</v>
      </c>
      <c r="E35" s="209" t="s">
        <v>742</v>
      </c>
      <c r="F35" s="419" t="s">
        <v>1303</v>
      </c>
      <c r="G35" s="42" t="s">
        <v>76</v>
      </c>
      <c r="H35" s="419" t="s">
        <v>1067</v>
      </c>
      <c r="I35" s="48">
        <v>65000</v>
      </c>
      <c r="J35" s="40"/>
      <c r="K35" s="48" t="s">
        <v>629</v>
      </c>
      <c r="L35" s="56" t="s">
        <v>732</v>
      </c>
      <c r="M35" s="56" t="s">
        <v>732</v>
      </c>
      <c r="N35" s="56" t="s">
        <v>305</v>
      </c>
      <c r="O35" s="2"/>
      <c r="P35" s="50"/>
      <c r="Q35" s="50"/>
      <c r="T35" s="15"/>
    </row>
    <row r="36" spans="1:20" ht="18.600000000000001" customHeight="1">
      <c r="A36" s="374"/>
      <c r="B36" s="152" t="str">
        <f t="shared" si="5"/>
        <v>Diego Casalis</v>
      </c>
      <c r="C36" s="222">
        <v>46273</v>
      </c>
      <c r="D36" s="38"/>
      <c r="E36" s="46" t="s">
        <v>1287</v>
      </c>
      <c r="F36" s="419" t="s">
        <v>1304</v>
      </c>
      <c r="G36" s="42" t="s">
        <v>14</v>
      </c>
      <c r="H36" s="417" t="s">
        <v>1091</v>
      </c>
      <c r="I36" s="48"/>
      <c r="J36" s="40"/>
      <c r="K36" s="48" t="s">
        <v>629</v>
      </c>
      <c r="L36" s="56" t="s">
        <v>732</v>
      </c>
      <c r="M36" s="56" t="s">
        <v>732</v>
      </c>
      <c r="N36" s="56" t="s">
        <v>305</v>
      </c>
      <c r="O36" s="2"/>
      <c r="P36" s="50"/>
      <c r="Q36" s="50"/>
      <c r="T36" s="15"/>
    </row>
    <row r="37" spans="1:20" ht="18.600000000000001" customHeight="1">
      <c r="A37" s="374"/>
      <c r="B37" s="27" t="str">
        <f t="shared" ref="B37:B41" si="6">+$E$3</f>
        <v>Diego Casalis</v>
      </c>
      <c r="C37" s="222"/>
      <c r="D37" s="38"/>
      <c r="E37" s="38"/>
      <c r="F37" s="416"/>
      <c r="G37" s="42"/>
      <c r="H37" s="419"/>
      <c r="I37" s="48"/>
      <c r="J37" s="40"/>
      <c r="K37" s="48"/>
      <c r="L37" s="86"/>
      <c r="M37" s="56"/>
      <c r="N37" s="56"/>
      <c r="O37" s="2"/>
      <c r="P37" s="50"/>
      <c r="Q37" s="50"/>
      <c r="T37" s="15"/>
    </row>
    <row r="38" spans="1:20" ht="18.600000000000001" customHeight="1">
      <c r="A38" s="374"/>
      <c r="B38" s="152" t="str">
        <f t="shared" si="6"/>
        <v>Diego Casalis</v>
      </c>
      <c r="C38" s="222"/>
      <c r="D38" s="38"/>
      <c r="E38" s="209"/>
      <c r="F38" s="416"/>
      <c r="G38" s="42"/>
      <c r="H38" s="419"/>
      <c r="I38" s="48"/>
      <c r="J38" s="40"/>
      <c r="K38" s="48"/>
      <c r="L38" s="87"/>
      <c r="M38" s="56"/>
      <c r="N38" s="56"/>
      <c r="O38" s="2"/>
      <c r="P38" s="50"/>
      <c r="Q38" s="50"/>
      <c r="T38" s="15"/>
    </row>
    <row r="39" spans="1:20" ht="18.600000000000001" customHeight="1">
      <c r="A39" s="374"/>
      <c r="B39" s="152" t="str">
        <f t="shared" si="6"/>
        <v>Diego Casalis</v>
      </c>
      <c r="C39" s="222"/>
      <c r="D39" s="38"/>
      <c r="E39" s="209"/>
      <c r="F39" s="416"/>
      <c r="G39" s="42"/>
      <c r="H39" s="419"/>
      <c r="I39" s="48"/>
      <c r="J39" s="40"/>
      <c r="K39" s="48"/>
      <c r="L39" s="87"/>
      <c r="M39" s="56"/>
      <c r="N39" s="56"/>
      <c r="O39" s="2"/>
      <c r="P39" s="50"/>
      <c r="Q39" s="50"/>
      <c r="T39" s="15"/>
    </row>
    <row r="40" spans="1:20" s="311" customFormat="1" ht="16.5" customHeight="1">
      <c r="A40" s="367" t="s">
        <v>257</v>
      </c>
      <c r="B40" s="361" t="str">
        <f t="shared" si="0"/>
        <v>Diego Casalis</v>
      </c>
      <c r="C40" s="302">
        <v>46275</v>
      </c>
      <c r="D40" s="303"/>
      <c r="E40" s="362"/>
      <c r="F40" s="467"/>
      <c r="G40" s="304"/>
      <c r="H40" s="467"/>
      <c r="I40" s="305"/>
      <c r="J40" s="305"/>
      <c r="K40" s="363"/>
      <c r="L40" s="364"/>
      <c r="M40" s="308"/>
      <c r="N40" s="308"/>
      <c r="O40" s="365"/>
      <c r="P40" s="366"/>
      <c r="Q40" s="366"/>
      <c r="T40" s="360"/>
    </row>
    <row r="41" spans="1:20" ht="18.600000000000001" customHeight="1">
      <c r="A41" s="374"/>
      <c r="B41" s="152" t="str">
        <f t="shared" si="6"/>
        <v>Diego Casalis</v>
      </c>
      <c r="C41" s="222"/>
      <c r="D41" s="38"/>
      <c r="E41" s="209"/>
      <c r="F41" s="416"/>
      <c r="G41" s="42"/>
      <c r="H41" s="419"/>
      <c r="I41" s="48"/>
      <c r="J41" s="40"/>
      <c r="K41" s="48"/>
      <c r="L41" s="87"/>
      <c r="M41" s="56"/>
      <c r="N41" s="56"/>
      <c r="O41" s="2"/>
      <c r="P41" s="50"/>
      <c r="Q41" s="50"/>
      <c r="T41" s="15"/>
    </row>
    <row r="42" spans="1:20" ht="18.600000000000001" customHeight="1">
      <c r="A42" s="374"/>
      <c r="B42" s="152" t="str">
        <f t="shared" si="4"/>
        <v>Diego Casalis</v>
      </c>
      <c r="C42" s="222"/>
      <c r="D42" s="38"/>
      <c r="E42" s="209"/>
      <c r="F42" s="419"/>
      <c r="G42" s="42"/>
      <c r="H42" s="419"/>
      <c r="I42" s="48"/>
      <c r="J42" s="40"/>
      <c r="K42" s="48"/>
      <c r="L42" s="87"/>
      <c r="M42" s="56"/>
      <c r="N42" s="56"/>
      <c r="O42" s="2"/>
      <c r="P42" s="50"/>
      <c r="Q42" s="50"/>
      <c r="T42" s="15"/>
    </row>
    <row r="43" spans="1:20">
      <c r="B43" s="152" t="str">
        <f t="shared" si="0"/>
        <v>Diego Casalis</v>
      </c>
      <c r="C43" s="27"/>
      <c r="D43" s="469"/>
      <c r="E43" s="38"/>
      <c r="F43" s="419"/>
      <c r="G43" s="373"/>
      <c r="H43" s="469"/>
      <c r="I43" s="48"/>
      <c r="J43" s="4"/>
      <c r="K43" s="4"/>
      <c r="L43" s="14"/>
      <c r="M43" s="56"/>
      <c r="N43" s="56"/>
      <c r="O43" s="2"/>
      <c r="P43" s="50"/>
      <c r="Q43" s="50"/>
    </row>
    <row r="44" spans="1:20" ht="15" thickBot="1">
      <c r="B44" s="6"/>
      <c r="G44" s="15"/>
      <c r="H44" s="30"/>
      <c r="I44" s="381"/>
      <c r="J44" s="30"/>
      <c r="N44" s="14"/>
    </row>
    <row r="45" spans="1:20" ht="15" thickBot="1">
      <c r="B45" s="6"/>
      <c r="H45" s="5" t="s">
        <v>258</v>
      </c>
      <c r="I45" s="32">
        <f>SUM(I10:I43)</f>
        <v>3840556.26</v>
      </c>
      <c r="J45" s="31"/>
    </row>
    <row r="46" spans="1:20">
      <c r="B46" s="6"/>
      <c r="G46" s="15"/>
      <c r="H46" s="30"/>
      <c r="I46" s="381"/>
      <c r="J46" s="30"/>
    </row>
    <row r="47" spans="1:20">
      <c r="B47" s="6"/>
      <c r="G47" s="15"/>
      <c r="H47" s="30"/>
      <c r="I47" s="381"/>
      <c r="J47" s="30"/>
    </row>
    <row r="48" spans="1:20">
      <c r="B48" s="6"/>
      <c r="G48" s="15"/>
      <c r="H48" s="30"/>
      <c r="I48" s="381"/>
      <c r="J48" s="30"/>
    </row>
  </sheetData>
  <mergeCells count="5">
    <mergeCell ref="D2:H2"/>
    <mergeCell ref="F3:G3"/>
    <mergeCell ref="F4:G4"/>
    <mergeCell ref="F5:G5"/>
    <mergeCell ref="F6:G6"/>
  </mergeCells>
  <conditionalFormatting sqref="L10:L11 L12:O13 L14:L16 N14:O16 L17:O17 L18 N18:O18 L19:O27 N28:O30 L31:O34 N35:O36 L37:O42">
    <cfRule type="cellIs" dxfId="140" priority="27" operator="equal">
      <formula>"Cuenta Corriente"</formula>
    </cfRule>
    <cfRule type="cellIs" dxfId="139" priority="28" operator="equal">
      <formula>"No Pagado"</formula>
    </cfRule>
  </conditionalFormatting>
  <conditionalFormatting sqref="L28:L30">
    <cfRule type="cellIs" dxfId="138" priority="13" operator="equal">
      <formula>"Cuenta Corriente"</formula>
    </cfRule>
    <cfRule type="cellIs" dxfId="137" priority="14" operator="equal">
      <formula>"No Pagado"</formula>
    </cfRule>
  </conditionalFormatting>
  <conditionalFormatting sqref="L35:L36">
    <cfRule type="cellIs" dxfId="136" priority="3" operator="equal">
      <formula>"Cuenta Corriente"</formula>
    </cfRule>
    <cfRule type="cellIs" dxfId="135" priority="4" operator="equal">
      <formula>"No Pagado"</formula>
    </cfRule>
  </conditionalFormatting>
  <conditionalFormatting sqref="L43:N43">
    <cfRule type="cellIs" dxfId="134" priority="47" operator="equal">
      <formula>"Cuenta Corriente"</formula>
    </cfRule>
    <cfRule type="cellIs" dxfId="133" priority="48" operator="equal">
      <formula>"No Pagado"</formula>
    </cfRule>
  </conditionalFormatting>
  <conditionalFormatting sqref="M10:M11">
    <cfRule type="cellIs" dxfId="132" priority="17" operator="equal">
      <formula>"Cuenta Corriente"</formula>
    </cfRule>
    <cfRule type="cellIs" dxfId="131" priority="18" operator="equal">
      <formula>"No Pagado"</formula>
    </cfRule>
  </conditionalFormatting>
  <conditionalFormatting sqref="M14:M16">
    <cfRule type="cellIs" dxfId="130" priority="23" operator="equal">
      <formula>"Cuenta Corriente"</formula>
    </cfRule>
    <cfRule type="cellIs" dxfId="129" priority="24" operator="equal">
      <formula>"No Pagado"</formula>
    </cfRule>
  </conditionalFormatting>
  <conditionalFormatting sqref="M18">
    <cfRule type="cellIs" dxfId="128" priority="19" operator="equal">
      <formula>"Cuenta Corriente"</formula>
    </cfRule>
    <cfRule type="cellIs" dxfId="127" priority="20" operator="equal">
      <formula>"No Pagado"</formula>
    </cfRule>
  </conditionalFormatting>
  <conditionalFormatting sqref="M28:M30">
    <cfRule type="cellIs" dxfId="126" priority="11" operator="equal">
      <formula>"Cuenta Corriente"</formula>
    </cfRule>
    <cfRule type="cellIs" dxfId="125" priority="12" operator="equal">
      <formula>"No Pagado"</formula>
    </cfRule>
  </conditionalFormatting>
  <conditionalFormatting sqref="M35:M36">
    <cfRule type="cellIs" dxfId="124" priority="1" operator="equal">
      <formula>"Cuenta Corriente"</formula>
    </cfRule>
    <cfRule type="cellIs" dxfId="123" priority="2" operator="equal">
      <formula>"No Pagado"</formula>
    </cfRule>
  </conditionalFormatting>
  <conditionalFormatting sqref="N10:N11">
    <cfRule type="cellIs" dxfId="122" priority="9" operator="equal">
      <formula>"Cuenta Corriente"</formula>
    </cfRule>
    <cfRule type="cellIs" dxfId="121" priority="10" operator="equal">
      <formula>"No Pagado"</formula>
    </cfRule>
  </conditionalFormatting>
  <conditionalFormatting sqref="O10:O11">
    <cfRule type="cellIs" dxfId="120" priority="35" operator="equal">
      <formula>"Cuenta Corriente"</formula>
    </cfRule>
    <cfRule type="cellIs" dxfId="119" priority="36" operator="equal">
      <formula>"No Pagado"</formula>
    </cfRule>
  </conditionalFormatting>
  <conditionalFormatting sqref="O43 N44">
    <cfRule type="cellIs" dxfId="118" priority="49" operator="equal">
      <formula>"Cuenta Corriente"</formula>
    </cfRule>
    <cfRule type="cellIs" dxfId="117" priority="50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54BB943-D869-4399-B7BB-2A2004C388AB}">
          <x14:formula1>
            <xm:f>Consultas!$B$9:$B$11</xm:f>
          </x14:formula1>
          <xm:sqref>N44 O10:O43 L10:M43</xm:sqref>
        </x14:dataValidation>
        <x14:dataValidation type="list" allowBlank="1" showInputMessage="1" showErrorMessage="1" xr:uid="{5447C8C7-B888-4F9F-8717-DA2ED625BFCF}">
          <x14:formula1>
            <xm:f>Proveedores!$B$3:$B$111</xm:f>
          </x14:formula1>
          <xm:sqref>G46:G48 H45 G10:G44</xm:sqref>
        </x14:dataValidation>
        <x14:dataValidation type="list" allowBlank="1" showInputMessage="1" showErrorMessage="1" xr:uid="{6075FE5D-DA81-4D4A-A918-1F186EFE75A2}">
          <x14:formula1>
            <xm:f>Consultas!$B$13:$B$15</xm:f>
          </x14:formula1>
          <xm:sqref>N10:N43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1DD4-7908-487D-9BAA-F248FE61AB4F}">
  <dimension ref="A1:T38"/>
  <sheetViews>
    <sheetView topLeftCell="A14" workbookViewId="0">
      <selection activeCell="C33" sqref="C33"/>
    </sheetView>
  </sheetViews>
  <sheetFormatPr defaultColWidth="11.42578125" defaultRowHeight="14.45"/>
  <cols>
    <col min="2" max="2" width="17.5703125" customWidth="1"/>
    <col min="4" max="4" width="13.85546875" bestFit="1" customWidth="1"/>
    <col min="5" max="5" width="19.42578125" bestFit="1" customWidth="1"/>
    <col min="6" max="6" width="49.7109375" bestFit="1" customWidth="1"/>
    <col min="7" max="7" width="17" bestFit="1" customWidth="1"/>
    <col min="9" max="9" width="15.140625" bestFit="1" customWidth="1"/>
    <col min="11" max="11" width="15.42578125" bestFit="1" customWidth="1"/>
    <col min="14" max="14" width="15.85546875" bestFit="1" customWidth="1"/>
  </cols>
  <sheetData>
    <row r="1" spans="1:20" ht="15" thickBot="1">
      <c r="B1" s="6"/>
      <c r="I1" s="6"/>
    </row>
    <row r="2" spans="1:20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20" ht="15.6">
      <c r="B3" s="6"/>
      <c r="D3" s="8" t="s">
        <v>177</v>
      </c>
      <c r="E3" s="36" t="s">
        <v>1305</v>
      </c>
      <c r="F3" s="423"/>
      <c r="G3" s="424"/>
      <c r="H3" s="37"/>
      <c r="I3" s="380"/>
      <c r="J3" s="15"/>
    </row>
    <row r="4" spans="1:20">
      <c r="B4" s="6"/>
      <c r="D4" s="9" t="s">
        <v>179</v>
      </c>
      <c r="E4" s="449" t="s">
        <v>1306</v>
      </c>
      <c r="F4" s="450" t="s">
        <v>180</v>
      </c>
      <c r="G4" s="451"/>
      <c r="H4" s="35" t="s">
        <v>1307</v>
      </c>
      <c r="I4" s="512"/>
      <c r="J4" s="452"/>
    </row>
    <row r="5" spans="1:20">
      <c r="B5" s="6"/>
      <c r="D5" s="9"/>
      <c r="E5" s="449" t="s">
        <v>1308</v>
      </c>
      <c r="F5" s="453"/>
      <c r="G5" s="454"/>
      <c r="H5" s="10"/>
      <c r="I5" s="380"/>
      <c r="J5" s="15"/>
    </row>
    <row r="6" spans="1:20" ht="15" thickBot="1">
      <c r="B6" s="6"/>
      <c r="D6" s="11"/>
      <c r="E6" s="12"/>
      <c r="F6" s="455"/>
      <c r="G6" s="456"/>
      <c r="H6" s="13"/>
      <c r="I6" s="380"/>
      <c r="J6" s="15"/>
    </row>
    <row r="7" spans="1:20">
      <c r="B7" s="6"/>
      <c r="I7" s="6"/>
    </row>
    <row r="8" spans="1:20" ht="15" thickBot="1">
      <c r="B8" s="6"/>
      <c r="I8" s="6"/>
    </row>
    <row r="9" spans="1:20" ht="58.15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20">
      <c r="A10" s="374"/>
      <c r="B10" s="152" t="str">
        <f t="shared" ref="B10:B33" si="0">+$E$3</f>
        <v>Carola Ruda</v>
      </c>
      <c r="C10" s="222"/>
      <c r="D10" s="38"/>
      <c r="E10" s="209"/>
      <c r="F10" s="419"/>
      <c r="G10" s="42"/>
      <c r="H10" s="419"/>
      <c r="I10" s="48"/>
      <c r="J10" s="40"/>
      <c r="K10" s="48"/>
      <c r="L10" s="87"/>
      <c r="M10" s="56"/>
      <c r="N10" s="56"/>
      <c r="O10" s="2"/>
      <c r="P10" s="50"/>
      <c r="Q10" s="50"/>
    </row>
    <row r="11" spans="1:20">
      <c r="A11" s="221"/>
      <c r="B11" s="27" t="str">
        <f>+$E$3</f>
        <v>Carola Ruda</v>
      </c>
      <c r="C11" s="222">
        <v>46216</v>
      </c>
      <c r="D11" s="38" t="s">
        <v>1297</v>
      </c>
      <c r="E11" s="46" t="s">
        <v>1287</v>
      </c>
      <c r="F11" s="88" t="s">
        <v>1298</v>
      </c>
      <c r="G11" s="42" t="s">
        <v>2</v>
      </c>
      <c r="H11" s="88" t="s">
        <v>1299</v>
      </c>
      <c r="I11" s="48">
        <v>711187.72</v>
      </c>
      <c r="J11" s="40"/>
      <c r="K11" s="19" t="s">
        <v>201</v>
      </c>
      <c r="L11" s="56" t="s">
        <v>732</v>
      </c>
      <c r="M11" s="284" t="s">
        <v>209</v>
      </c>
      <c r="N11" s="56"/>
      <c r="O11" s="2"/>
      <c r="P11" s="50"/>
      <c r="Q11" s="50"/>
      <c r="R11" s="88"/>
    </row>
    <row r="12" spans="1:20">
      <c r="A12" s="221"/>
      <c r="B12" s="27" t="str">
        <f>+$E$3</f>
        <v>Carola Ruda</v>
      </c>
      <c r="C12" s="222">
        <v>46216</v>
      </c>
      <c r="D12" s="38" t="s">
        <v>1290</v>
      </c>
      <c r="E12" s="46" t="s">
        <v>1287</v>
      </c>
      <c r="F12" s="88" t="s">
        <v>1291</v>
      </c>
      <c r="G12" s="42" t="s">
        <v>22</v>
      </c>
      <c r="H12" s="88" t="s">
        <v>1051</v>
      </c>
      <c r="I12" s="48">
        <v>837228</v>
      </c>
      <c r="J12" s="40"/>
      <c r="K12" s="19" t="s">
        <v>201</v>
      </c>
      <c r="L12" s="56" t="s">
        <v>732</v>
      </c>
      <c r="M12" s="284" t="s">
        <v>209</v>
      </c>
      <c r="N12" s="56"/>
      <c r="O12" s="2"/>
      <c r="P12" s="50"/>
      <c r="Q12" s="50"/>
      <c r="R12" s="88" t="s">
        <v>1292</v>
      </c>
    </row>
    <row r="13" spans="1:20">
      <c r="A13" s="7"/>
      <c r="B13" s="152" t="str">
        <f>+$E$3</f>
        <v>Carola Ruda</v>
      </c>
      <c r="C13" s="222">
        <v>46216</v>
      </c>
      <c r="D13" s="38" t="s">
        <v>1293</v>
      </c>
      <c r="E13" s="46" t="s">
        <v>1287</v>
      </c>
      <c r="F13" s="88" t="s">
        <v>1294</v>
      </c>
      <c r="G13" s="42" t="s">
        <v>119</v>
      </c>
      <c r="H13" s="88" t="s">
        <v>1051</v>
      </c>
      <c r="I13" s="48">
        <v>1228221.07</v>
      </c>
      <c r="J13" s="40"/>
      <c r="K13" s="19" t="s">
        <v>201</v>
      </c>
      <c r="L13" s="56" t="s">
        <v>732</v>
      </c>
      <c r="M13" s="284" t="s">
        <v>209</v>
      </c>
      <c r="N13" s="56"/>
      <c r="O13" s="2"/>
      <c r="P13" s="50"/>
      <c r="Q13" s="50"/>
      <c r="R13" s="88" t="s">
        <v>1292</v>
      </c>
    </row>
    <row r="14" spans="1:20" s="138" customFormat="1" ht="28.9">
      <c r="A14" s="168" t="s">
        <v>218</v>
      </c>
      <c r="B14" s="156" t="str">
        <f t="shared" ref="B14:B19" si="1">+$E$3</f>
        <v>Carola Ruda</v>
      </c>
      <c r="C14" s="171">
        <v>46219</v>
      </c>
      <c r="D14" s="130"/>
      <c r="E14" s="317"/>
      <c r="F14" s="465"/>
      <c r="G14" s="131"/>
      <c r="H14" s="465"/>
      <c r="I14" s="132"/>
      <c r="J14" s="132"/>
      <c r="K14" s="368"/>
      <c r="L14" s="369"/>
      <c r="M14" s="135"/>
      <c r="N14" s="135"/>
      <c r="O14" s="140"/>
      <c r="P14" s="370"/>
      <c r="Q14" s="370"/>
      <c r="T14" s="371"/>
    </row>
    <row r="15" spans="1:20" ht="18.600000000000001" customHeight="1">
      <c r="A15" s="374"/>
      <c r="B15" s="152" t="str">
        <f t="shared" si="1"/>
        <v>Carola Ruda</v>
      </c>
      <c r="C15" s="222">
        <v>46220</v>
      </c>
      <c r="D15" s="38" t="s">
        <v>364</v>
      </c>
      <c r="E15" s="209" t="s">
        <v>742</v>
      </c>
      <c r="F15" s="419" t="s">
        <v>1300</v>
      </c>
      <c r="G15" s="42" t="s">
        <v>76</v>
      </c>
      <c r="H15" s="419" t="s">
        <v>1299</v>
      </c>
      <c r="I15" s="48">
        <v>32500</v>
      </c>
      <c r="J15" s="40"/>
      <c r="K15" s="19" t="s">
        <v>201</v>
      </c>
      <c r="L15" s="56" t="s">
        <v>732</v>
      </c>
      <c r="M15" s="56" t="s">
        <v>732</v>
      </c>
      <c r="N15" s="56"/>
      <c r="O15" s="2"/>
      <c r="P15" s="50"/>
      <c r="Q15" s="50"/>
      <c r="T15" s="15"/>
    </row>
    <row r="16" spans="1:20" ht="18.600000000000001" customHeight="1">
      <c r="A16" s="374"/>
      <c r="B16" s="27" t="str">
        <f t="shared" si="1"/>
        <v>Carola Ruda</v>
      </c>
      <c r="C16" s="222">
        <v>46217</v>
      </c>
      <c r="D16" s="38" t="s">
        <v>364</v>
      </c>
      <c r="E16" s="38" t="s">
        <v>742</v>
      </c>
      <c r="F16" s="419" t="s">
        <v>1309</v>
      </c>
      <c r="G16" s="42" t="s">
        <v>76</v>
      </c>
      <c r="H16" s="419" t="s">
        <v>1299</v>
      </c>
      <c r="I16" s="48">
        <v>75000</v>
      </c>
      <c r="J16" s="40"/>
      <c r="K16" s="48"/>
      <c r="L16" s="86"/>
      <c r="M16" s="56"/>
      <c r="N16" s="56"/>
      <c r="O16" s="2"/>
      <c r="P16" s="50"/>
      <c r="Q16" s="50"/>
      <c r="T16" s="15"/>
    </row>
    <row r="17" spans="1:20" ht="18.600000000000001" customHeight="1">
      <c r="A17" s="374"/>
      <c r="B17" s="27" t="str">
        <f>+$E$3</f>
        <v>Carola Ruda</v>
      </c>
      <c r="C17" s="222">
        <v>46230</v>
      </c>
      <c r="D17" s="38" t="s">
        <v>364</v>
      </c>
      <c r="E17" s="209" t="s">
        <v>742</v>
      </c>
      <c r="F17" s="419" t="s">
        <v>1301</v>
      </c>
      <c r="G17" s="42" t="s">
        <v>76</v>
      </c>
      <c r="H17" s="419" t="s">
        <v>1299</v>
      </c>
      <c r="I17" s="48">
        <v>60000</v>
      </c>
      <c r="J17" s="40"/>
      <c r="K17" s="19" t="s">
        <v>201</v>
      </c>
      <c r="L17" s="56" t="s">
        <v>732</v>
      </c>
      <c r="M17" s="56" t="s">
        <v>732</v>
      </c>
      <c r="N17" s="56"/>
      <c r="O17" s="2"/>
      <c r="P17" s="50"/>
      <c r="Q17" s="50"/>
      <c r="T17" s="15"/>
    </row>
    <row r="18" spans="1:20" ht="18.600000000000001" customHeight="1">
      <c r="A18" s="374"/>
      <c r="B18" s="27" t="str">
        <f>+$E$3</f>
        <v>Carola Ruda</v>
      </c>
      <c r="C18" s="222"/>
      <c r="D18" s="38"/>
      <c r="E18" s="38"/>
      <c r="F18" s="416"/>
      <c r="G18" s="42"/>
      <c r="H18" s="419"/>
      <c r="I18" s="48"/>
      <c r="J18" s="40"/>
      <c r="K18" s="4"/>
      <c r="L18" s="86"/>
      <c r="M18" s="56"/>
      <c r="N18" s="56"/>
      <c r="O18" s="2"/>
      <c r="P18" s="50"/>
      <c r="Q18" s="50"/>
      <c r="T18" s="15"/>
    </row>
    <row r="19" spans="1:20" s="138" customFormat="1" ht="28.9">
      <c r="A19" s="168" t="s">
        <v>218</v>
      </c>
      <c r="B19" s="156" t="str">
        <f t="shared" si="1"/>
        <v>Carola Ruda</v>
      </c>
      <c r="C19" s="171">
        <v>46233</v>
      </c>
      <c r="D19" s="130"/>
      <c r="E19" s="317"/>
      <c r="F19" s="465"/>
      <c r="G19" s="131"/>
      <c r="H19" s="465"/>
      <c r="I19" s="132"/>
      <c r="J19" s="132"/>
      <c r="K19" s="368"/>
      <c r="L19" s="369"/>
      <c r="M19" s="135"/>
      <c r="N19" s="135"/>
      <c r="O19" s="140"/>
      <c r="P19" s="370"/>
      <c r="Q19" s="370"/>
      <c r="T19" s="371"/>
    </row>
    <row r="20" spans="1:20">
      <c r="A20" s="374"/>
      <c r="B20" s="27" t="str">
        <f t="shared" ref="B20:B26" si="2">+$E$3</f>
        <v>Carola Ruda</v>
      </c>
      <c r="C20" s="222"/>
      <c r="D20" s="38"/>
      <c r="E20" s="38"/>
      <c r="F20" s="419"/>
      <c r="G20" s="42"/>
      <c r="H20" s="419"/>
      <c r="I20" s="48"/>
      <c r="J20" s="40"/>
      <c r="K20" s="48"/>
      <c r="L20" s="86"/>
      <c r="M20" s="56"/>
      <c r="N20" s="56"/>
      <c r="O20" s="2"/>
      <c r="P20" s="50"/>
      <c r="Q20" s="50"/>
    </row>
    <row r="21" spans="1:20">
      <c r="A21" s="374"/>
      <c r="B21" s="152" t="str">
        <f t="shared" si="2"/>
        <v>Carola Ruda</v>
      </c>
      <c r="C21" s="222"/>
      <c r="D21" s="38"/>
      <c r="E21" s="209"/>
      <c r="F21" s="419"/>
      <c r="G21" s="42"/>
      <c r="H21" s="419"/>
      <c r="I21" s="48"/>
      <c r="J21" s="40"/>
      <c r="K21" s="48"/>
      <c r="L21" s="87"/>
      <c r="M21" s="56"/>
      <c r="N21" s="56"/>
      <c r="O21" s="2"/>
      <c r="P21" s="50"/>
      <c r="Q21" s="50"/>
    </row>
    <row r="22" spans="1:20" s="138" customFormat="1" ht="28.9">
      <c r="A22" s="168" t="s">
        <v>218</v>
      </c>
      <c r="B22" s="156" t="str">
        <f t="shared" si="2"/>
        <v>Carola Ruda</v>
      </c>
      <c r="C22" s="171">
        <v>46247</v>
      </c>
      <c r="D22" s="130"/>
      <c r="E22" s="317"/>
      <c r="F22" s="465"/>
      <c r="G22" s="131"/>
      <c r="H22" s="465"/>
      <c r="I22" s="132"/>
      <c r="J22" s="132"/>
      <c r="K22" s="368"/>
      <c r="L22" s="369"/>
      <c r="M22" s="135"/>
      <c r="N22" s="135"/>
      <c r="O22" s="140"/>
      <c r="P22" s="370"/>
      <c r="Q22" s="370"/>
      <c r="T22" s="371"/>
    </row>
    <row r="23" spans="1:20" ht="18.600000000000001" customHeight="1">
      <c r="A23" s="374"/>
      <c r="B23" s="152" t="str">
        <f t="shared" si="2"/>
        <v>Carola Ruda</v>
      </c>
      <c r="C23" s="475">
        <v>46253</v>
      </c>
      <c r="D23" s="38"/>
      <c r="E23" s="209" t="s">
        <v>808</v>
      </c>
      <c r="F23" s="419" t="s">
        <v>1281</v>
      </c>
      <c r="G23" s="42" t="s">
        <v>132</v>
      </c>
      <c r="H23" s="417" t="s">
        <v>1091</v>
      </c>
      <c r="I23" s="48"/>
      <c r="J23" s="40"/>
      <c r="K23" s="48" t="s">
        <v>629</v>
      </c>
      <c r="L23" s="56" t="s">
        <v>732</v>
      </c>
      <c r="M23" s="56" t="s">
        <v>732</v>
      </c>
      <c r="N23" s="56"/>
      <c r="O23" s="2"/>
      <c r="P23" s="50"/>
      <c r="Q23" s="50"/>
      <c r="T23" s="15"/>
    </row>
    <row r="24" spans="1:20" ht="18.600000000000001" customHeight="1">
      <c r="A24" s="374"/>
      <c r="B24" s="27" t="str">
        <f>+$E$3</f>
        <v>Carola Ruda</v>
      </c>
      <c r="C24" s="475">
        <v>46255</v>
      </c>
      <c r="D24" s="38" t="s">
        <v>364</v>
      </c>
      <c r="E24" s="209" t="s">
        <v>808</v>
      </c>
      <c r="F24" s="416" t="s">
        <v>1310</v>
      </c>
      <c r="G24" s="42" t="s">
        <v>76</v>
      </c>
      <c r="H24" s="419" t="s">
        <v>1067</v>
      </c>
      <c r="I24" s="48">
        <v>120000</v>
      </c>
      <c r="J24" s="40"/>
      <c r="K24" s="48" t="s">
        <v>629</v>
      </c>
      <c r="L24" s="56" t="s">
        <v>732</v>
      </c>
      <c r="M24" s="56" t="s">
        <v>732</v>
      </c>
      <c r="N24" s="56"/>
      <c r="O24" s="2"/>
      <c r="P24" s="50"/>
      <c r="Q24" s="50"/>
      <c r="T24" s="15"/>
    </row>
    <row r="25" spans="1:20" s="138" customFormat="1" ht="28.9">
      <c r="A25" s="168" t="s">
        <v>218</v>
      </c>
      <c r="B25" s="156" t="str">
        <f t="shared" si="2"/>
        <v>Carola Ruda</v>
      </c>
      <c r="C25" s="171">
        <v>46261</v>
      </c>
      <c r="D25" s="130"/>
      <c r="E25" s="317"/>
      <c r="F25" s="465"/>
      <c r="G25" s="131"/>
      <c r="H25" s="465"/>
      <c r="I25" s="132"/>
      <c r="J25" s="132"/>
      <c r="K25" s="368"/>
      <c r="L25" s="369"/>
      <c r="M25" s="135"/>
      <c r="N25" s="135"/>
      <c r="O25" s="140"/>
      <c r="P25" s="370"/>
      <c r="Q25" s="370"/>
      <c r="T25" s="371"/>
    </row>
    <row r="26" spans="1:20">
      <c r="A26" s="374"/>
      <c r="B26" s="152" t="str">
        <f t="shared" si="2"/>
        <v>Carola Ruda</v>
      </c>
      <c r="C26" s="222">
        <v>46267</v>
      </c>
      <c r="D26" s="38"/>
      <c r="E26" s="46" t="s">
        <v>1287</v>
      </c>
      <c r="F26" s="419" t="s">
        <v>1311</v>
      </c>
      <c r="G26" s="42" t="s">
        <v>14</v>
      </c>
      <c r="H26" s="417" t="s">
        <v>1091</v>
      </c>
      <c r="I26" s="48"/>
      <c r="J26" s="40"/>
      <c r="K26" s="48" t="s">
        <v>629</v>
      </c>
      <c r="L26" s="56" t="s">
        <v>732</v>
      </c>
      <c r="M26" s="56" t="s">
        <v>732</v>
      </c>
      <c r="N26" s="56" t="s">
        <v>305</v>
      </c>
      <c r="O26" s="2"/>
      <c r="P26" s="50"/>
      <c r="Q26" s="50"/>
    </row>
    <row r="27" spans="1:20">
      <c r="A27" s="374"/>
      <c r="B27" s="27" t="str">
        <f t="shared" ref="B27:B32" si="3">+$E$3</f>
        <v>Carola Ruda</v>
      </c>
      <c r="C27" s="222">
        <v>46272</v>
      </c>
      <c r="D27" s="38"/>
      <c r="E27" s="46" t="s">
        <v>1287</v>
      </c>
      <c r="F27" s="419" t="s">
        <v>1304</v>
      </c>
      <c r="G27" s="42" t="s">
        <v>14</v>
      </c>
      <c r="H27" s="417" t="s">
        <v>1091</v>
      </c>
      <c r="I27" s="48"/>
      <c r="J27" s="40"/>
      <c r="K27" s="48" t="s">
        <v>629</v>
      </c>
      <c r="L27" s="56" t="s">
        <v>732</v>
      </c>
      <c r="M27" s="56" t="s">
        <v>732</v>
      </c>
      <c r="N27" s="56" t="s">
        <v>305</v>
      </c>
      <c r="O27" s="2"/>
      <c r="P27" s="50"/>
      <c r="Q27" s="50"/>
    </row>
    <row r="28" spans="1:20">
      <c r="A28" s="374"/>
      <c r="B28" s="152" t="str">
        <f t="shared" si="3"/>
        <v>Carola Ruda</v>
      </c>
      <c r="C28" s="222"/>
      <c r="D28" s="38"/>
      <c r="E28" s="209"/>
      <c r="F28" s="419"/>
      <c r="G28" s="42"/>
      <c r="H28" s="419"/>
      <c r="I28" s="48"/>
      <c r="J28" s="40"/>
      <c r="K28" s="48"/>
      <c r="L28" s="87"/>
      <c r="M28" s="56"/>
      <c r="N28" s="56"/>
      <c r="O28" s="2"/>
      <c r="P28" s="50"/>
      <c r="Q28" s="50"/>
    </row>
    <row r="29" spans="1:20" s="311" customFormat="1" ht="16.5" customHeight="1">
      <c r="A29" s="367" t="s">
        <v>257</v>
      </c>
      <c r="B29" s="361" t="str">
        <f t="shared" si="3"/>
        <v>Carola Ruda</v>
      </c>
      <c r="C29" s="302">
        <v>46275</v>
      </c>
      <c r="D29" s="303"/>
      <c r="E29" s="362"/>
      <c r="F29" s="467"/>
      <c r="G29" s="304"/>
      <c r="H29" s="467"/>
      <c r="I29" s="305"/>
      <c r="J29" s="305"/>
      <c r="K29" s="363"/>
      <c r="L29" s="364"/>
      <c r="M29" s="308"/>
      <c r="N29" s="308"/>
      <c r="O29" s="365"/>
      <c r="P29" s="366"/>
      <c r="Q29" s="366"/>
      <c r="T29" s="360"/>
    </row>
    <row r="30" spans="1:20">
      <c r="A30" s="374"/>
      <c r="B30" s="152" t="str">
        <f t="shared" si="3"/>
        <v>Carola Ruda</v>
      </c>
      <c r="C30" s="222">
        <v>46287</v>
      </c>
      <c r="D30" s="38"/>
      <c r="E30" s="46" t="s">
        <v>1287</v>
      </c>
      <c r="F30" s="419" t="s">
        <v>1312</v>
      </c>
      <c r="G30" s="42" t="s">
        <v>14</v>
      </c>
      <c r="H30" s="417" t="s">
        <v>1091</v>
      </c>
      <c r="I30" s="48">
        <v>208000</v>
      </c>
      <c r="J30" s="40"/>
      <c r="K30" s="48" t="s">
        <v>629</v>
      </c>
      <c r="L30" s="56" t="s">
        <v>732</v>
      </c>
      <c r="M30" s="56"/>
      <c r="N30" s="56"/>
      <c r="O30" s="2"/>
      <c r="P30" s="50"/>
      <c r="Q30" s="50"/>
    </row>
    <row r="31" spans="1:20">
      <c r="A31" s="374"/>
      <c r="B31" s="152" t="str">
        <f t="shared" si="3"/>
        <v>Carola Ruda</v>
      </c>
      <c r="C31" s="222"/>
      <c r="D31" s="38"/>
      <c r="E31" s="209"/>
      <c r="F31" s="419"/>
      <c r="G31" s="42"/>
      <c r="H31" s="419"/>
      <c r="I31" s="48"/>
      <c r="J31" s="40"/>
      <c r="K31" s="48"/>
      <c r="L31" s="87"/>
      <c r="M31" s="56"/>
      <c r="N31" s="56"/>
      <c r="O31" s="2"/>
      <c r="P31" s="50"/>
      <c r="Q31" s="50"/>
    </row>
    <row r="32" spans="1:20">
      <c r="A32" s="374"/>
      <c r="B32" s="152" t="str">
        <f t="shared" si="3"/>
        <v>Carola Ruda</v>
      </c>
      <c r="C32" s="222"/>
      <c r="D32" s="38"/>
      <c r="E32" s="209"/>
      <c r="F32" s="419"/>
      <c r="G32" s="42"/>
      <c r="H32" s="419"/>
      <c r="I32" s="48"/>
      <c r="J32" s="40"/>
      <c r="K32" s="48"/>
      <c r="L32" s="87"/>
      <c r="M32" s="56"/>
      <c r="N32" s="56"/>
      <c r="O32" s="2"/>
      <c r="P32" s="50"/>
      <c r="Q32" s="50"/>
    </row>
    <row r="33" spans="2:17">
      <c r="B33" s="152" t="str">
        <f t="shared" si="0"/>
        <v>Carola Ruda</v>
      </c>
      <c r="C33" s="27"/>
      <c r="D33" s="469"/>
      <c r="E33" s="38"/>
      <c r="F33" s="419"/>
      <c r="G33" s="373"/>
      <c r="H33" s="469"/>
      <c r="I33" s="48"/>
      <c r="J33" s="4"/>
      <c r="K33" s="4"/>
      <c r="L33" s="14"/>
      <c r="M33" s="56"/>
      <c r="N33" s="56"/>
      <c r="O33" s="2"/>
      <c r="P33" s="50"/>
      <c r="Q33" s="50"/>
    </row>
    <row r="34" spans="2:17" ht="15" thickBot="1">
      <c r="B34" s="6"/>
      <c r="G34" s="15"/>
      <c r="H34" s="30"/>
      <c r="I34" s="381"/>
      <c r="J34" s="30"/>
      <c r="N34" s="14"/>
    </row>
    <row r="35" spans="2:17" ht="15" thickBot="1">
      <c r="B35" s="6"/>
      <c r="H35" s="5" t="s">
        <v>258</v>
      </c>
      <c r="I35" s="32">
        <f>SUM(I10:I33)</f>
        <v>3272136.79</v>
      </c>
      <c r="J35" s="31"/>
    </row>
    <row r="36" spans="2:17">
      <c r="B36" s="6"/>
      <c r="G36" s="15"/>
      <c r="H36" s="30"/>
      <c r="I36" s="381"/>
      <c r="J36" s="30"/>
    </row>
    <row r="37" spans="2:17">
      <c r="B37" s="6"/>
      <c r="G37" s="15"/>
      <c r="H37" s="30"/>
      <c r="I37" s="381"/>
      <c r="J37" s="30"/>
    </row>
    <row r="38" spans="2:17">
      <c r="B38" s="6"/>
      <c r="G38" s="15"/>
      <c r="H38" s="30"/>
      <c r="I38" s="381"/>
      <c r="J38" s="30"/>
    </row>
  </sheetData>
  <mergeCells count="5">
    <mergeCell ref="D2:H2"/>
    <mergeCell ref="F3:G3"/>
    <mergeCell ref="F4:G4"/>
    <mergeCell ref="F5:G5"/>
    <mergeCell ref="F6:G6"/>
  </mergeCells>
  <conditionalFormatting sqref="L11:L13">
    <cfRule type="cellIs" dxfId="97" priority="33" operator="equal">
      <formula>"Cuenta Corriente"</formula>
    </cfRule>
    <cfRule type="cellIs" dxfId="96" priority="34" operator="equal">
      <formula>"No Pagado"</formula>
    </cfRule>
  </conditionalFormatting>
  <conditionalFormatting sqref="L23:L24">
    <cfRule type="cellIs" dxfId="95" priority="19" operator="equal">
      <formula>"Cuenta Corriente"</formula>
    </cfRule>
    <cfRule type="cellIs" dxfId="94" priority="20" operator="equal">
      <formula>"No Pagado"</formula>
    </cfRule>
  </conditionalFormatting>
  <conditionalFormatting sqref="L26:L27">
    <cfRule type="cellIs" dxfId="93" priority="5" operator="equal">
      <formula>"Cuenta Corriente"</formula>
    </cfRule>
    <cfRule type="cellIs" dxfId="92" priority="6" operator="equal">
      <formula>"No Pagado"</formula>
    </cfRule>
  </conditionalFormatting>
  <conditionalFormatting sqref="L17:M18">
    <cfRule type="cellIs" dxfId="91" priority="27" operator="equal">
      <formula>"Cuenta Corriente"</formula>
    </cfRule>
    <cfRule type="cellIs" dxfId="90" priority="28" operator="equal">
      <formula>"No Pagado"</formula>
    </cfRule>
  </conditionalFormatting>
  <conditionalFormatting sqref="L33:N33">
    <cfRule type="cellIs" dxfId="89" priority="47" operator="equal">
      <formula>"Cuenta Corriente"</formula>
    </cfRule>
    <cfRule type="cellIs" dxfId="88" priority="48" operator="equal">
      <formula>"No Pagado"</formula>
    </cfRule>
  </conditionalFormatting>
  <conditionalFormatting sqref="L10:O10">
    <cfRule type="cellIs" dxfId="87" priority="43" operator="equal">
      <formula>"Cuenta Corriente"</formula>
    </cfRule>
    <cfRule type="cellIs" dxfId="86" priority="44" operator="equal">
      <formula>"No Pagado"</formula>
    </cfRule>
  </conditionalFormatting>
  <conditionalFormatting sqref="L14:O16 N17:O18">
    <cfRule type="cellIs" dxfId="85" priority="29" operator="equal">
      <formula>"Cuenta Corriente"</formula>
    </cfRule>
    <cfRule type="cellIs" dxfId="84" priority="30" operator="equal">
      <formula>"No Pagado"</formula>
    </cfRule>
  </conditionalFormatting>
  <conditionalFormatting sqref="L19:O22">
    <cfRule type="cellIs" dxfId="83" priority="23" operator="equal">
      <formula>"Cuenta Corriente"</formula>
    </cfRule>
    <cfRule type="cellIs" dxfId="82" priority="24" operator="equal">
      <formula>"No Pagado"</formula>
    </cfRule>
  </conditionalFormatting>
  <conditionalFormatting sqref="L25:O25 O26:O27 L28:O29 L31:O32 M30:O30">
    <cfRule type="cellIs" dxfId="81" priority="15" operator="equal">
      <formula>"Cuenta Corriente"</formula>
    </cfRule>
    <cfRule type="cellIs" dxfId="80" priority="16" operator="equal">
      <formula>"No Pagado"</formula>
    </cfRule>
  </conditionalFormatting>
  <conditionalFormatting sqref="M11:M13">
    <cfRule type="cellIs" dxfId="79" priority="31" operator="equal">
      <formula>"Cuenta Corriente"</formula>
    </cfRule>
    <cfRule type="cellIs" dxfId="78" priority="32" operator="equal">
      <formula>"No Pagado"</formula>
    </cfRule>
  </conditionalFormatting>
  <conditionalFormatting sqref="M23:M24">
    <cfRule type="cellIs" dxfId="77" priority="17" operator="equal">
      <formula>"Cuenta Corriente"</formula>
    </cfRule>
    <cfRule type="cellIs" dxfId="76" priority="18" operator="equal">
      <formula>"No Pagado"</formula>
    </cfRule>
  </conditionalFormatting>
  <conditionalFormatting sqref="M26:M27">
    <cfRule type="cellIs" dxfId="75" priority="3" operator="equal">
      <formula>"Cuenta Corriente"</formula>
    </cfRule>
    <cfRule type="cellIs" dxfId="74" priority="4" operator="equal">
      <formula>"No Pagado"</formula>
    </cfRule>
  </conditionalFormatting>
  <conditionalFormatting sqref="N26:N27">
    <cfRule type="cellIs" dxfId="73" priority="7" operator="equal">
      <formula>"Cuenta Corriente"</formula>
    </cfRule>
    <cfRule type="cellIs" dxfId="72" priority="8" operator="equal">
      <formula>"No Pagado"</formula>
    </cfRule>
  </conditionalFormatting>
  <conditionalFormatting sqref="N11:O13">
    <cfRule type="cellIs" dxfId="71" priority="41" operator="equal">
      <formula>"Cuenta Corriente"</formula>
    </cfRule>
    <cfRule type="cellIs" dxfId="70" priority="42" operator="equal">
      <formula>"No Pagado"</formula>
    </cfRule>
  </conditionalFormatting>
  <conditionalFormatting sqref="N23:O24">
    <cfRule type="cellIs" dxfId="69" priority="21" operator="equal">
      <formula>"Cuenta Corriente"</formula>
    </cfRule>
    <cfRule type="cellIs" dxfId="68" priority="22" operator="equal">
      <formula>"No Pagado"</formula>
    </cfRule>
  </conditionalFormatting>
  <conditionalFormatting sqref="O33 N34">
    <cfRule type="cellIs" dxfId="67" priority="49" operator="equal">
      <formula>"Cuenta Corriente"</formula>
    </cfRule>
    <cfRule type="cellIs" dxfId="66" priority="50" operator="equal">
      <formula>"No Pagado"</formula>
    </cfRule>
  </conditionalFormatting>
  <conditionalFormatting sqref="L30">
    <cfRule type="cellIs" dxfId="65" priority="1" operator="equal">
      <formula>"Cuenta Corriente"</formula>
    </cfRule>
    <cfRule type="cellIs" dxfId="64" priority="2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15F6237-C7CB-4EA1-B313-DE9754F93416}">
          <x14:formula1>
            <xm:f>Consultas!$B$9:$B$11</xm:f>
          </x14:formula1>
          <xm:sqref>N34 O10:O33 L10:M33</xm:sqref>
        </x14:dataValidation>
        <x14:dataValidation type="list" allowBlank="1" showInputMessage="1" showErrorMessage="1" xr:uid="{B727A89C-786E-479F-BE3C-63F14FDACFB5}">
          <x14:formula1>
            <xm:f>Proveedores!$B$3:$B$111</xm:f>
          </x14:formula1>
          <xm:sqref>H35 G36:G38 G10:G34</xm:sqref>
        </x14:dataValidation>
        <x14:dataValidation type="list" allowBlank="1" showInputMessage="1" showErrorMessage="1" xr:uid="{C3BAFDDB-842A-4AB3-A4E7-DA3456EE3A8F}">
          <x14:formula1>
            <xm:f>Consultas!$B$13:$B$15</xm:f>
          </x14:formula1>
          <xm:sqref>N10:N33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6E75-A97B-4844-A767-DCCB6C9E2C84}">
  <dimension ref="A1:T31"/>
  <sheetViews>
    <sheetView topLeftCell="A9" workbookViewId="0">
      <selection activeCell="F20" sqref="F20"/>
    </sheetView>
  </sheetViews>
  <sheetFormatPr defaultColWidth="11.42578125" defaultRowHeight="14.45"/>
  <cols>
    <col min="2" max="2" width="17.5703125" customWidth="1"/>
    <col min="5" max="5" width="21.7109375" bestFit="1" customWidth="1"/>
    <col min="6" max="6" width="49.7109375" bestFit="1" customWidth="1"/>
    <col min="7" max="7" width="17" bestFit="1" customWidth="1"/>
    <col min="9" max="9" width="15.140625" bestFit="1" customWidth="1"/>
    <col min="11" max="11" width="15.42578125" bestFit="1" customWidth="1"/>
    <col min="14" max="14" width="15.85546875" bestFit="1" customWidth="1"/>
  </cols>
  <sheetData>
    <row r="1" spans="1:18" ht="15" thickBot="1">
      <c r="B1" s="6"/>
      <c r="I1" s="6"/>
    </row>
    <row r="2" spans="1:18" ht="24" thickBot="1">
      <c r="B2" s="6"/>
      <c r="D2" s="420" t="s">
        <v>176</v>
      </c>
      <c r="E2" s="421"/>
      <c r="F2" s="421"/>
      <c r="G2" s="421"/>
      <c r="H2" s="422"/>
      <c r="I2" s="28"/>
      <c r="J2" s="28"/>
    </row>
    <row r="3" spans="1:18" ht="15.6">
      <c r="B3" s="6"/>
      <c r="D3" s="8" t="s">
        <v>177</v>
      </c>
      <c r="E3" s="36" t="s">
        <v>1313</v>
      </c>
      <c r="F3" s="423"/>
      <c r="G3" s="424"/>
      <c r="H3" s="37"/>
      <c r="I3" s="380"/>
      <c r="J3" s="15"/>
    </row>
    <row r="4" spans="1:18">
      <c r="B4" s="6"/>
      <c r="D4" s="9" t="s">
        <v>179</v>
      </c>
      <c r="E4" s="449" t="s">
        <v>1314</v>
      </c>
      <c r="F4" s="450" t="s">
        <v>180</v>
      </c>
      <c r="G4" s="451"/>
      <c r="H4" s="35" t="s">
        <v>1307</v>
      </c>
      <c r="I4" s="512"/>
      <c r="J4" s="452"/>
    </row>
    <row r="5" spans="1:18">
      <c r="B5" s="6"/>
      <c r="D5" s="9"/>
      <c r="E5" s="449" t="s">
        <v>1315</v>
      </c>
      <c r="F5" s="453"/>
      <c r="G5" s="454"/>
      <c r="H5" s="10"/>
      <c r="I5" s="380"/>
      <c r="J5" s="15"/>
    </row>
    <row r="6" spans="1:18" ht="15" thickBot="1">
      <c r="B6" s="6"/>
      <c r="D6" s="11"/>
      <c r="E6" s="12"/>
      <c r="F6" s="455"/>
      <c r="G6" s="456"/>
      <c r="H6" s="13"/>
      <c r="I6" s="380"/>
      <c r="J6" s="15"/>
    </row>
    <row r="7" spans="1:18">
      <c r="B7" s="6"/>
      <c r="I7" s="6"/>
    </row>
    <row r="8" spans="1:18" ht="15" thickBot="1">
      <c r="B8" s="6"/>
      <c r="I8" s="6"/>
    </row>
    <row r="9" spans="1:18" ht="58.15" thickBot="1">
      <c r="B9" s="155" t="s">
        <v>181</v>
      </c>
      <c r="C9" s="51" t="s">
        <v>182</v>
      </c>
      <c r="D9" s="52" t="s">
        <v>183</v>
      </c>
      <c r="E9" s="52" t="s">
        <v>184</v>
      </c>
      <c r="F9" s="52" t="s">
        <v>185</v>
      </c>
      <c r="G9" s="52" t="s">
        <v>0</v>
      </c>
      <c r="H9" s="52" t="s">
        <v>186</v>
      </c>
      <c r="I9" s="52" t="s">
        <v>187</v>
      </c>
      <c r="J9" s="52" t="s">
        <v>188</v>
      </c>
      <c r="K9" s="52" t="s">
        <v>189</v>
      </c>
      <c r="L9" s="77" t="s">
        <v>190</v>
      </c>
      <c r="M9" s="52" t="s">
        <v>191</v>
      </c>
      <c r="N9" s="58" t="s">
        <v>192</v>
      </c>
      <c r="O9" s="77" t="s">
        <v>193</v>
      </c>
      <c r="P9" s="58" t="s">
        <v>194</v>
      </c>
      <c r="Q9" s="52" t="s">
        <v>195</v>
      </c>
    </row>
    <row r="10" spans="1:18">
      <c r="A10" s="374"/>
      <c r="B10" s="152" t="str">
        <f t="shared" ref="B10:B26" si="0">+$E$3</f>
        <v>Venturelli-Bernal</v>
      </c>
      <c r="C10" s="222"/>
      <c r="D10" s="38"/>
      <c r="E10" s="209"/>
      <c r="F10" s="419"/>
      <c r="G10" s="42"/>
      <c r="H10" s="419"/>
      <c r="I10" s="48"/>
      <c r="J10" s="40"/>
      <c r="K10" s="48"/>
      <c r="L10" s="87"/>
      <c r="M10" s="56"/>
      <c r="N10" s="56"/>
      <c r="O10" s="2"/>
      <c r="P10" s="50"/>
      <c r="Q10" s="50"/>
    </row>
    <row r="11" spans="1:18">
      <c r="A11" s="221"/>
      <c r="B11" s="27" t="str">
        <f>+$E$3</f>
        <v>Venturelli-Bernal</v>
      </c>
      <c r="C11" s="222"/>
      <c r="D11" s="38"/>
      <c r="E11" s="46"/>
      <c r="F11" s="88"/>
      <c r="G11" s="42"/>
      <c r="H11" s="88"/>
      <c r="I11" s="48"/>
      <c r="J11" s="40"/>
      <c r="K11" s="19"/>
      <c r="L11" s="56"/>
      <c r="M11" s="56"/>
      <c r="N11" s="56"/>
      <c r="O11" s="2"/>
      <c r="P11" s="50"/>
      <c r="Q11" s="50"/>
      <c r="R11" s="88" t="s">
        <v>1292</v>
      </c>
    </row>
    <row r="12" spans="1:18">
      <c r="A12" s="221"/>
      <c r="B12" s="27" t="str">
        <f>+$E$3</f>
        <v>Venturelli-Bernal</v>
      </c>
      <c r="C12" s="222"/>
      <c r="D12" s="38"/>
      <c r="E12" s="46"/>
      <c r="F12" s="88"/>
      <c r="G12" s="42"/>
      <c r="H12" s="88"/>
      <c r="I12" s="48"/>
      <c r="J12" s="40"/>
      <c r="K12" s="19"/>
      <c r="L12" s="56"/>
      <c r="M12" s="56"/>
      <c r="N12" s="56"/>
      <c r="O12" s="2"/>
      <c r="P12" s="50"/>
      <c r="Q12" s="50"/>
    </row>
    <row r="13" spans="1:18">
      <c r="A13" s="7"/>
      <c r="B13" s="152" t="str">
        <f>+$E$3</f>
        <v>Venturelli-Bernal</v>
      </c>
      <c r="C13" s="222"/>
      <c r="D13" s="38"/>
      <c r="E13" s="46"/>
      <c r="F13" s="88"/>
      <c r="G13" s="42"/>
      <c r="H13" s="88"/>
      <c r="I13" s="48"/>
      <c r="J13" s="40"/>
      <c r="K13" s="19"/>
      <c r="L13" s="56"/>
      <c r="M13" s="56"/>
      <c r="N13" s="56"/>
      <c r="O13" s="2"/>
      <c r="P13" s="50"/>
      <c r="Q13" s="50"/>
    </row>
    <row r="14" spans="1:18">
      <c r="A14" s="7"/>
      <c r="B14" s="27" t="str">
        <f>+$E$3</f>
        <v>Venturelli-Bernal</v>
      </c>
      <c r="C14" s="222"/>
      <c r="D14" s="38"/>
      <c r="E14" s="46"/>
      <c r="F14" s="88"/>
      <c r="G14" s="42"/>
      <c r="H14" s="88"/>
      <c r="I14" s="48"/>
      <c r="J14" s="40"/>
      <c r="K14" s="48"/>
      <c r="L14" s="86"/>
      <c r="M14" s="56"/>
      <c r="N14" s="56"/>
      <c r="O14" s="2"/>
      <c r="P14" s="50"/>
      <c r="Q14" s="50"/>
    </row>
    <row r="15" spans="1:18">
      <c r="A15" s="7"/>
      <c r="B15" s="27" t="str">
        <f>+$E$3</f>
        <v>Venturelli-Bernal</v>
      </c>
      <c r="C15" s="222"/>
      <c r="D15" s="38"/>
      <c r="E15" s="38"/>
      <c r="F15" s="88"/>
      <c r="G15" s="42"/>
      <c r="H15" s="419"/>
      <c r="I15" s="48"/>
      <c r="J15" s="40"/>
      <c r="K15" s="48"/>
      <c r="L15" s="86"/>
      <c r="M15" s="56"/>
      <c r="N15" s="56"/>
      <c r="O15" s="2"/>
      <c r="P15" s="50"/>
      <c r="Q15" s="50"/>
    </row>
    <row r="16" spans="1:18" s="138" customFormat="1" ht="28.9">
      <c r="A16" s="168" t="s">
        <v>218</v>
      </c>
      <c r="B16" s="156" t="str">
        <f t="shared" si="0"/>
        <v>Venturelli-Bernal</v>
      </c>
      <c r="C16" s="171">
        <v>46219</v>
      </c>
      <c r="D16" s="130"/>
      <c r="E16" s="317"/>
      <c r="F16" s="465"/>
      <c r="G16" s="131"/>
      <c r="H16" s="465"/>
      <c r="I16" s="132"/>
      <c r="J16" s="132"/>
      <c r="K16" s="368"/>
      <c r="L16" s="369"/>
      <c r="M16" s="135"/>
      <c r="N16" s="135"/>
      <c r="O16" s="140"/>
      <c r="P16" s="370"/>
      <c r="Q16" s="370"/>
    </row>
    <row r="17" spans="1:20" ht="18.600000000000001" customHeight="1">
      <c r="A17" s="374"/>
      <c r="B17" s="152" t="str">
        <f t="shared" si="0"/>
        <v>Venturelli-Bernal</v>
      </c>
      <c r="C17" s="475">
        <v>46253</v>
      </c>
      <c r="D17" s="38"/>
      <c r="E17" s="209" t="s">
        <v>808</v>
      </c>
      <c r="F17" s="419" t="s">
        <v>1281</v>
      </c>
      <c r="G17" s="42" t="s">
        <v>132</v>
      </c>
      <c r="H17" s="417" t="s">
        <v>1091</v>
      </c>
      <c r="I17" s="48"/>
      <c r="J17" s="40"/>
      <c r="K17" s="48" t="s">
        <v>629</v>
      </c>
      <c r="L17" s="56" t="s">
        <v>732</v>
      </c>
      <c r="M17" s="56" t="s">
        <v>732</v>
      </c>
      <c r="N17" s="56"/>
      <c r="O17" s="2"/>
      <c r="P17" s="50"/>
      <c r="Q17" s="50"/>
      <c r="T17" s="15"/>
    </row>
    <row r="18" spans="1:20" s="138" customFormat="1" ht="28.9">
      <c r="A18" s="168" t="s">
        <v>218</v>
      </c>
      <c r="B18" s="156" t="str">
        <f t="shared" si="0"/>
        <v>Venturelli-Bernal</v>
      </c>
      <c r="C18" s="171">
        <v>46261</v>
      </c>
      <c r="D18" s="130"/>
      <c r="E18" s="317"/>
      <c r="F18" s="465"/>
      <c r="G18" s="131"/>
      <c r="H18" s="465"/>
      <c r="I18" s="132"/>
      <c r="J18" s="132"/>
      <c r="K18" s="368"/>
      <c r="L18" s="369"/>
      <c r="M18" s="135"/>
      <c r="N18" s="135"/>
      <c r="O18" s="140"/>
      <c r="P18" s="370"/>
      <c r="Q18" s="370"/>
      <c r="T18" s="371"/>
    </row>
    <row r="19" spans="1:20">
      <c r="A19" s="374"/>
      <c r="B19" s="152" t="str">
        <f t="shared" si="0"/>
        <v>Venturelli-Bernal</v>
      </c>
      <c r="C19" s="222">
        <v>46268</v>
      </c>
      <c r="D19" s="38"/>
      <c r="E19" s="46" t="s">
        <v>1287</v>
      </c>
      <c r="F19" s="419" t="s">
        <v>1316</v>
      </c>
      <c r="G19" s="42" t="s">
        <v>14</v>
      </c>
      <c r="H19" s="417" t="s">
        <v>1091</v>
      </c>
      <c r="I19" s="48"/>
      <c r="J19" s="40"/>
      <c r="K19" s="48" t="s">
        <v>629</v>
      </c>
      <c r="L19" s="56" t="s">
        <v>732</v>
      </c>
      <c r="M19" s="56" t="s">
        <v>732</v>
      </c>
      <c r="N19" s="56" t="s">
        <v>305</v>
      </c>
      <c r="O19" s="2"/>
      <c r="P19" s="50"/>
      <c r="Q19" s="50"/>
    </row>
    <row r="20" spans="1:20">
      <c r="A20" s="374"/>
      <c r="B20" s="27" t="str">
        <f>+$E$3</f>
        <v>Venturelli-Bernal</v>
      </c>
      <c r="C20" s="222">
        <v>46272</v>
      </c>
      <c r="D20" s="38"/>
      <c r="E20" s="46" t="s">
        <v>1287</v>
      </c>
      <c r="F20" s="419" t="s">
        <v>1317</v>
      </c>
      <c r="G20" s="42" t="s">
        <v>14</v>
      </c>
      <c r="H20" s="417" t="s">
        <v>1091</v>
      </c>
      <c r="I20" s="48"/>
      <c r="J20" s="40"/>
      <c r="K20" s="48" t="s">
        <v>629</v>
      </c>
      <c r="L20" s="56" t="s">
        <v>732</v>
      </c>
      <c r="M20" s="56" t="s">
        <v>732</v>
      </c>
      <c r="N20" s="56" t="s">
        <v>305</v>
      </c>
      <c r="O20" s="2"/>
      <c r="P20" s="50"/>
      <c r="Q20" s="50"/>
    </row>
    <row r="21" spans="1:20">
      <c r="A21" s="374"/>
      <c r="B21" s="27" t="str">
        <f t="shared" si="0"/>
        <v>Venturelli-Bernal</v>
      </c>
      <c r="C21" s="222"/>
      <c r="D21" s="38"/>
      <c r="E21" s="38"/>
      <c r="F21" s="419"/>
      <c r="G21" s="42"/>
      <c r="H21" s="419"/>
      <c r="I21" s="48"/>
      <c r="J21" s="40"/>
      <c r="K21" s="48"/>
      <c r="L21" s="86"/>
      <c r="M21" s="56"/>
      <c r="N21" s="56"/>
      <c r="O21" s="2"/>
      <c r="P21" s="50"/>
      <c r="Q21" s="50"/>
    </row>
    <row r="22" spans="1:20" s="311" customFormat="1" ht="16.5" customHeight="1">
      <c r="A22" s="367" t="s">
        <v>257</v>
      </c>
      <c r="B22" s="361" t="str">
        <f t="shared" si="0"/>
        <v>Venturelli-Bernal</v>
      </c>
      <c r="C22" s="302">
        <v>46275</v>
      </c>
      <c r="D22" s="303"/>
      <c r="E22" s="362"/>
      <c r="F22" s="467"/>
      <c r="G22" s="304"/>
      <c r="H22" s="467"/>
      <c r="I22" s="305"/>
      <c r="J22" s="305"/>
      <c r="K22" s="363"/>
      <c r="L22" s="364"/>
      <c r="M22" s="308"/>
      <c r="N22" s="308"/>
      <c r="O22" s="365"/>
      <c r="P22" s="366"/>
      <c r="Q22" s="366"/>
      <c r="T22" s="360"/>
    </row>
    <row r="23" spans="1:20">
      <c r="A23" s="374"/>
      <c r="B23" s="152" t="str">
        <f t="shared" si="0"/>
        <v>Venturelli-Bernal</v>
      </c>
      <c r="C23" s="222"/>
      <c r="D23" s="38"/>
      <c r="E23" s="209"/>
      <c r="F23" s="419"/>
      <c r="G23" s="42"/>
      <c r="H23" s="419"/>
      <c r="I23" s="48"/>
      <c r="J23" s="40"/>
      <c r="K23" s="48"/>
      <c r="L23" s="87"/>
      <c r="M23" s="56"/>
      <c r="N23" s="56"/>
      <c r="O23" s="2"/>
      <c r="P23" s="50"/>
      <c r="Q23" s="50"/>
    </row>
    <row r="24" spans="1:20">
      <c r="A24" s="374"/>
      <c r="B24" s="152" t="str">
        <f t="shared" si="0"/>
        <v>Venturelli-Bernal</v>
      </c>
      <c r="C24" s="222"/>
      <c r="D24" s="38"/>
      <c r="E24" s="209"/>
      <c r="F24" s="419"/>
      <c r="G24" s="42"/>
      <c r="H24" s="419"/>
      <c r="I24" s="48"/>
      <c r="J24" s="40"/>
      <c r="K24" s="48"/>
      <c r="L24" s="87"/>
      <c r="M24" s="56"/>
      <c r="N24" s="56"/>
      <c r="O24" s="2"/>
      <c r="P24" s="50"/>
      <c r="Q24" s="50"/>
    </row>
    <row r="25" spans="1:20">
      <c r="A25" s="374"/>
      <c r="B25" s="152" t="str">
        <f t="shared" si="0"/>
        <v>Venturelli-Bernal</v>
      </c>
      <c r="C25" s="222"/>
      <c r="D25" s="38"/>
      <c r="E25" s="209"/>
      <c r="F25" s="419"/>
      <c r="G25" s="42"/>
      <c r="H25" s="419"/>
      <c r="I25" s="48"/>
      <c r="J25" s="40"/>
      <c r="K25" s="48"/>
      <c r="L25" s="87"/>
      <c r="M25" s="56"/>
      <c r="N25" s="56"/>
      <c r="O25" s="2"/>
      <c r="P25" s="50"/>
      <c r="Q25" s="50"/>
    </row>
    <row r="26" spans="1:20">
      <c r="B26" s="152" t="str">
        <f t="shared" si="0"/>
        <v>Venturelli-Bernal</v>
      </c>
      <c r="C26" s="27"/>
      <c r="D26" s="469"/>
      <c r="E26" s="38"/>
      <c r="F26" s="419"/>
      <c r="G26" s="373"/>
      <c r="H26" s="469"/>
      <c r="I26" s="48"/>
      <c r="J26" s="4"/>
      <c r="K26" s="4"/>
      <c r="L26" s="14"/>
      <c r="M26" s="56"/>
      <c r="N26" s="56"/>
      <c r="O26" s="2"/>
      <c r="P26" s="50"/>
      <c r="Q26" s="50"/>
    </row>
    <row r="27" spans="1:20" ht="15" thickBot="1">
      <c r="B27" s="6"/>
      <c r="G27" s="15"/>
      <c r="H27" s="30"/>
      <c r="I27" s="381"/>
      <c r="J27" s="30"/>
      <c r="N27" s="14"/>
    </row>
    <row r="28" spans="1:20" ht="15" thickBot="1">
      <c r="B28" s="6"/>
      <c r="H28" s="5" t="s">
        <v>258</v>
      </c>
      <c r="I28" s="32">
        <f>SUM(I10:I26)</f>
        <v>0</v>
      </c>
      <c r="J28" s="31"/>
    </row>
    <row r="29" spans="1:20">
      <c r="B29" s="6"/>
      <c r="G29" s="15"/>
      <c r="H29" s="30"/>
      <c r="I29" s="381"/>
      <c r="J29" s="30"/>
    </row>
    <row r="30" spans="1:20">
      <c r="B30" s="6"/>
      <c r="G30" s="15"/>
      <c r="H30" s="30"/>
      <c r="I30" s="381"/>
      <c r="J30" s="30"/>
    </row>
    <row r="31" spans="1:20">
      <c r="B31" s="6"/>
      <c r="G31" s="15"/>
      <c r="H31" s="30"/>
      <c r="I31" s="381"/>
      <c r="J31" s="30"/>
    </row>
  </sheetData>
  <mergeCells count="5">
    <mergeCell ref="D2:H2"/>
    <mergeCell ref="F3:G3"/>
    <mergeCell ref="F4:G4"/>
    <mergeCell ref="F5:G5"/>
    <mergeCell ref="F6:G6"/>
  </mergeCells>
  <conditionalFormatting sqref="L11:L13 N11:O13 L14:O16">
    <cfRule type="cellIs" dxfId="44" priority="19" operator="equal">
      <formula>"Cuenta Corriente"</formula>
    </cfRule>
    <cfRule type="cellIs" dxfId="43" priority="20" operator="equal">
      <formula>"No Pagado"</formula>
    </cfRule>
  </conditionalFormatting>
  <conditionalFormatting sqref="L17">
    <cfRule type="cellIs" dxfId="42" priority="13" operator="equal">
      <formula>"Cuenta Corriente"</formula>
    </cfRule>
    <cfRule type="cellIs" dxfId="41" priority="14" operator="equal">
      <formula>"No Pagado"</formula>
    </cfRule>
  </conditionalFormatting>
  <conditionalFormatting sqref="L19:L20">
    <cfRule type="cellIs" dxfId="40" priority="3" operator="equal">
      <formula>"Cuenta Corriente"</formula>
    </cfRule>
    <cfRule type="cellIs" dxfId="39" priority="4" operator="equal">
      <formula>"No Pagado"</formula>
    </cfRule>
  </conditionalFormatting>
  <conditionalFormatting sqref="L26:N26">
    <cfRule type="cellIs" dxfId="38" priority="23" operator="equal">
      <formula>"Cuenta Corriente"</formula>
    </cfRule>
    <cfRule type="cellIs" dxfId="37" priority="24" operator="equal">
      <formula>"No Pagado"</formula>
    </cfRule>
  </conditionalFormatting>
  <conditionalFormatting sqref="L10:O10">
    <cfRule type="cellIs" dxfId="36" priority="21" operator="equal">
      <formula>"Cuenta Corriente"</formula>
    </cfRule>
    <cfRule type="cellIs" dxfId="35" priority="22" operator="equal">
      <formula>"No Pagado"</formula>
    </cfRule>
  </conditionalFormatting>
  <conditionalFormatting sqref="L18:O18 O19:O20 L21:O25">
    <cfRule type="cellIs" dxfId="34" priority="7" operator="equal">
      <formula>"Cuenta Corriente"</formula>
    </cfRule>
    <cfRule type="cellIs" dxfId="33" priority="8" operator="equal">
      <formula>"No Pagado"</formula>
    </cfRule>
  </conditionalFormatting>
  <conditionalFormatting sqref="M11:M13">
    <cfRule type="cellIs" dxfId="32" priority="17" operator="equal">
      <formula>"Cuenta Corriente"</formula>
    </cfRule>
    <cfRule type="cellIs" dxfId="31" priority="18" operator="equal">
      <formula>"No Pagado"</formula>
    </cfRule>
  </conditionalFormatting>
  <conditionalFormatting sqref="M17">
    <cfRule type="cellIs" dxfId="30" priority="11" operator="equal">
      <formula>"Cuenta Corriente"</formula>
    </cfRule>
    <cfRule type="cellIs" dxfId="29" priority="12" operator="equal">
      <formula>"No Pagado"</formula>
    </cfRule>
  </conditionalFormatting>
  <conditionalFormatting sqref="M19:M20">
    <cfRule type="cellIs" dxfId="28" priority="1" operator="equal">
      <formula>"Cuenta Corriente"</formula>
    </cfRule>
    <cfRule type="cellIs" dxfId="27" priority="2" operator="equal">
      <formula>"No Pagado"</formula>
    </cfRule>
  </conditionalFormatting>
  <conditionalFormatting sqref="N19:N20">
    <cfRule type="cellIs" dxfId="26" priority="5" operator="equal">
      <formula>"Cuenta Corriente"</formula>
    </cfRule>
    <cfRule type="cellIs" dxfId="25" priority="6" operator="equal">
      <formula>"No Pagado"</formula>
    </cfRule>
  </conditionalFormatting>
  <conditionalFormatting sqref="N17:O17">
    <cfRule type="cellIs" dxfId="24" priority="15" operator="equal">
      <formula>"Cuenta Corriente"</formula>
    </cfRule>
    <cfRule type="cellIs" dxfId="23" priority="16" operator="equal">
      <formula>"No Pagado"</formula>
    </cfRule>
  </conditionalFormatting>
  <conditionalFormatting sqref="O26 N27">
    <cfRule type="cellIs" dxfId="22" priority="25" operator="equal">
      <formula>"Cuenta Corriente"</formula>
    </cfRule>
    <cfRule type="cellIs" dxfId="21" priority="26" operator="equal">
      <formula>"No Pagado"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F7CE208-EFFA-47AD-8D4E-53395D6916B6}">
          <x14:formula1>
            <xm:f>Consultas!$B$13:$B$15</xm:f>
          </x14:formula1>
          <xm:sqref>N10:N26</xm:sqref>
        </x14:dataValidation>
        <x14:dataValidation type="list" allowBlank="1" showInputMessage="1" showErrorMessage="1" xr:uid="{DE8A3A76-8850-4766-92D5-36B8BF63CFCB}">
          <x14:formula1>
            <xm:f>Proveedores!$B$3:$B$111</xm:f>
          </x14:formula1>
          <xm:sqref>H28 G29:G31 G10:G27</xm:sqref>
        </x14:dataValidation>
        <x14:dataValidation type="list" allowBlank="1" showInputMessage="1" showErrorMessage="1" xr:uid="{EB9E76D4-DDF3-4778-87A7-A881121930CC}">
          <x14:formula1>
            <xm:f>Consultas!$B$9:$B$11</xm:f>
          </x14:formula1>
          <xm:sqref>N27 L10:M26 O10:O26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5B7B-4171-4875-ACC8-8C351E1DDBF5}">
  <dimension ref="A1:J977"/>
  <sheetViews>
    <sheetView topLeftCell="A160" zoomScale="145" zoomScaleNormal="145" workbookViewId="0">
      <selection activeCell="A35" sqref="A35:XFD35"/>
    </sheetView>
  </sheetViews>
  <sheetFormatPr defaultColWidth="11.42578125" defaultRowHeight="14.45"/>
  <cols>
    <col min="1" max="1" width="16.140625" bestFit="1" customWidth="1"/>
    <col min="2" max="2" width="72.85546875" bestFit="1" customWidth="1"/>
    <col min="4" max="4" width="32.5703125" bestFit="1" customWidth="1"/>
    <col min="5" max="5" width="20.7109375" bestFit="1" customWidth="1"/>
    <col min="6" max="6" width="15.85546875" bestFit="1" customWidth="1"/>
  </cols>
  <sheetData>
    <row r="1" spans="1:10">
      <c r="A1" s="447" t="s">
        <v>1318</v>
      </c>
      <c r="B1" t="s">
        <v>0</v>
      </c>
      <c r="C1" t="s">
        <v>1319</v>
      </c>
      <c r="D1" t="s">
        <v>190</v>
      </c>
      <c r="E1" t="s">
        <v>191</v>
      </c>
      <c r="F1" t="s">
        <v>192</v>
      </c>
    </row>
    <row r="2" spans="1:10">
      <c r="A2" t="str">
        <f>IF('Obra SG'!F10="","","Obra SG")</f>
        <v/>
      </c>
      <c r="B2" t="str">
        <f>IF('Obra SG'!F10="","",'Obra SG'!F10)</f>
        <v/>
      </c>
      <c r="C2" t="str">
        <f>IF('Obra SG'!F10="","",'Obra SG'!H10)</f>
        <v/>
      </c>
      <c r="D2" t="str">
        <f>IF('Obra SG'!F10="","",'Obra SG'!K10)</f>
        <v/>
      </c>
      <c r="E2" t="str">
        <f>IF('Obra SG'!F10="","",'Obra SG'!L10)</f>
        <v/>
      </c>
      <c r="F2" t="str">
        <f>IF('Obra SG'!F10="","",'Obra SG'!M10)</f>
        <v/>
      </c>
    </row>
    <row r="3" spans="1:10">
      <c r="A3" t="str">
        <f>IF('Obra SG'!F11="","","Obra SG")</f>
        <v/>
      </c>
      <c r="B3" t="str">
        <f>IF('Obra SG'!F11="","",'Obra SG'!F11)</f>
        <v/>
      </c>
      <c r="C3" t="str">
        <f>IF('Obra SG'!F11="","",'Obra SG'!H11)</f>
        <v/>
      </c>
      <c r="D3" t="str">
        <f>IF('Obra SG'!F11="","",'Obra SG'!K11)</f>
        <v/>
      </c>
      <c r="E3" t="str">
        <f>IF('Obra SG'!F11="","",'Obra SG'!L11)</f>
        <v/>
      </c>
      <c r="F3" t="str">
        <f>IF('Obra SG'!F11="","",'Obra SG'!M11)</f>
        <v/>
      </c>
    </row>
    <row r="4" spans="1:10">
      <c r="A4" t="str">
        <f>IF('Obra SG'!F12="","","Obra SG")</f>
        <v/>
      </c>
      <c r="B4" t="str">
        <f>IF('Obra SG'!F12="","",'Obra SG'!F12)</f>
        <v/>
      </c>
      <c r="C4" s="15" t="str">
        <f>IF('Obra SG'!F12="","",'Obra SG'!H12)</f>
        <v/>
      </c>
      <c r="D4" s="15" t="str">
        <f>IF('Obra SG'!F12="","",'Obra SG'!K12)</f>
        <v/>
      </c>
      <c r="E4" s="15" t="str">
        <f>IF('Obra SG'!F12="","",'Obra SG'!L12)</f>
        <v/>
      </c>
      <c r="F4" s="15" t="str">
        <f>IF('Obra SG'!F12="","",'Obra SG'!M12)</f>
        <v/>
      </c>
      <c r="G4" s="15"/>
      <c r="H4" s="15"/>
      <c r="I4" s="15"/>
      <c r="J4" s="15"/>
    </row>
    <row r="5" spans="1:10">
      <c r="A5" t="str">
        <f>IF('Obra SG'!F13="","","Obra SG")</f>
        <v>Obra SG</v>
      </c>
      <c r="B5" t="str">
        <f>IF('Obra SG'!F13="","",'Obra SG'!F13)</f>
        <v>2 placas antihumedad y perfiles z</v>
      </c>
      <c r="C5" s="15">
        <f>IF('Obra SG'!I13="","",'Obra SG'!I13)</f>
        <v>91470.24</v>
      </c>
      <c r="D5" s="15" t="str">
        <f>IF('Obra SG'!F13="","",'Obra SG'!K13)</f>
        <v>A bauvek</v>
      </c>
      <c r="E5" s="15" t="str">
        <f>IF('Obra SG'!F13="","",'Obra SG'!L13)</f>
        <v>Cuenta Corriente</v>
      </c>
      <c r="F5" s="15">
        <f>IF('Obra SG'!F13="","",'Obra SG'!M13)</f>
        <v>0</v>
      </c>
      <c r="G5" s="15"/>
      <c r="H5" s="15"/>
      <c r="I5" s="15"/>
      <c r="J5" s="15"/>
    </row>
    <row r="6" spans="1:10">
      <c r="A6" t="str">
        <f>IF('Obra SG'!F14="","","Obra SG")</f>
        <v>Obra SG</v>
      </c>
      <c r="B6" t="str">
        <f>IF('Obra SG'!F14="","",'Obra SG'!F14)</f>
        <v>4 placas comunes y 2 puntas atorn.</v>
      </c>
      <c r="C6" s="15">
        <f>IF('Obra SG'!I14="","",'Obra SG'!I14)</f>
        <v>58182.63</v>
      </c>
      <c r="D6" s="15" t="str">
        <f>IF('Obra SG'!F14="","",'Obra SG'!K14)</f>
        <v>A bauvek</v>
      </c>
      <c r="E6" s="15" t="str">
        <f>IF('Obra SG'!F14="","",'Obra SG'!L14)</f>
        <v>Cuenta Corriente</v>
      </c>
      <c r="F6" s="15">
        <f>IF('Obra SG'!F14="","",'Obra SG'!M14)</f>
        <v>0</v>
      </c>
      <c r="G6" s="15"/>
      <c r="H6" s="15"/>
      <c r="I6" s="15"/>
      <c r="J6" s="15"/>
    </row>
    <row r="7" spans="1:10">
      <c r="A7" t="str">
        <f>IF('Obra SG'!F15="","","Obra SG")</f>
        <v>Obra SG</v>
      </c>
      <c r="B7" t="str">
        <f>IF('Obra SG'!F15="","",'Obra SG'!F15)</f>
        <v>Materiales de pintura, rodillos y lijas</v>
      </c>
      <c r="C7" s="15" t="str">
        <f>IF('Obra SG'!I15="","",'Obra SG'!I15)</f>
        <v/>
      </c>
      <c r="D7" s="15" t="str">
        <f>IF('Obra SG'!F15="","",'Obra SG'!K15)</f>
        <v>A proveedor</v>
      </c>
      <c r="E7" s="15" t="str">
        <f>IF('Obra SG'!F15="","",'Obra SG'!L15)</f>
        <v>Pagado</v>
      </c>
      <c r="F7" s="15">
        <f>IF('Obra SG'!F15="","",'Obra SG'!M15)</f>
        <v>0</v>
      </c>
      <c r="G7" s="15"/>
      <c r="H7" s="15"/>
      <c r="I7" s="15"/>
      <c r="J7" s="15"/>
    </row>
    <row r="8" spans="1:10">
      <c r="A8" t="str">
        <f>IF('Obra SG'!F16="","","Obra SG")</f>
        <v>Obra SG</v>
      </c>
      <c r="B8" t="str">
        <f>IF('Obra SG'!F16="","",'Obra SG'!F16)</f>
        <v>1 cinta tramada y 1 lata de masilla</v>
      </c>
      <c r="C8" s="15">
        <f>IF('Obra SG'!I16="","",'Obra SG'!I16)</f>
        <v>26266.89</v>
      </c>
      <c r="D8" s="15" t="str">
        <f>IF('Obra SG'!F16="","",'Obra SG'!K16)</f>
        <v>A bauvek</v>
      </c>
      <c r="E8" s="15" t="str">
        <f>IF('Obra SG'!F16="","",'Obra SG'!L16)</f>
        <v>Cuenta Corriente</v>
      </c>
      <c r="F8" s="15">
        <f>IF('Obra SG'!F16="","",'Obra SG'!M16)</f>
        <v>0</v>
      </c>
      <c r="G8" s="15"/>
      <c r="H8" s="15"/>
      <c r="I8" s="15"/>
      <c r="J8" s="15"/>
    </row>
    <row r="9" spans="1:10">
      <c r="A9" t="str">
        <f>IF('Obra SG'!F17="","","Obra SG")</f>
        <v>Obra SG</v>
      </c>
      <c r="B9" t="str">
        <f>IF('Obra SG'!F17="","",'Obra SG'!F17)</f>
        <v>Flete de tejuelas de Almada a obra SG</v>
      </c>
      <c r="C9" s="15">
        <f>IF('Obra SG'!I17="","",'Obra SG'!I17)</f>
        <v>57000</v>
      </c>
      <c r="D9" s="15" t="str">
        <f>IF('Obra SG'!F17="","",'Obra SG'!K17)</f>
        <v>A bauvek</v>
      </c>
      <c r="E9" s="15" t="str">
        <f>IF('Obra SG'!F17="","",'Obra SG'!L17)</f>
        <v>Pagado</v>
      </c>
      <c r="F9" s="15">
        <f>IF('Obra SG'!F17="","",'Obra SG'!M17)</f>
        <v>0</v>
      </c>
      <c r="G9" s="15"/>
      <c r="H9" s="15"/>
      <c r="I9" s="15"/>
      <c r="J9" s="15"/>
    </row>
    <row r="10" spans="1:10">
      <c r="A10" t="str">
        <f>IF('Obra SG'!F18="","","Obra SG")</f>
        <v>Obra SG</v>
      </c>
      <c r="B10" t="str">
        <f>IF('Obra SG'!F18="","",'Obra SG'!F18)</f>
        <v>Devolucion de andamios de obra a Guaticor</v>
      </c>
      <c r="C10" s="15">
        <f>IF('Obra SG'!I18="","",'Obra SG'!I18)</f>
        <v>57000</v>
      </c>
      <c r="D10" s="15" t="str">
        <f>IF('Obra SG'!F18="","",'Obra SG'!K18)</f>
        <v>A bauvek</v>
      </c>
      <c r="E10" s="15" t="str">
        <f>IF('Obra SG'!F18="","",'Obra SG'!L18)</f>
        <v>Pagado</v>
      </c>
      <c r="F10" s="15">
        <f>IF('Obra SG'!F18="","",'Obra SG'!M18)</f>
        <v>0</v>
      </c>
      <c r="G10" s="15"/>
      <c r="H10" s="15"/>
      <c r="I10" s="15"/>
      <c r="J10" s="15"/>
    </row>
    <row r="11" spans="1:10">
      <c r="A11" t="str">
        <f>IF('Obra SG'!F19="","","Obra SG")</f>
        <v>Obra SG</v>
      </c>
      <c r="B11" t="str">
        <f>IF('Obra SG'!F19="","",'Obra SG'!F19)</f>
        <v>Una placa vibradora</v>
      </c>
      <c r="C11" s="15">
        <f>IF('Obra SG'!I19="","",'Obra SG'!I19)</f>
        <v>60000</v>
      </c>
      <c r="D11" s="15" t="str">
        <f>IF('Obra SG'!F19="","",'Obra SG'!K19)</f>
        <v>A bauvek</v>
      </c>
      <c r="E11" s="15" t="str">
        <f>IF('Obra SG'!F19="","",'Obra SG'!L19)</f>
        <v>Pagado</v>
      </c>
      <c r="F11" s="15">
        <f>IF('Obra SG'!F19="","",'Obra SG'!M19)</f>
        <v>0</v>
      </c>
      <c r="G11" s="15"/>
      <c r="H11" s="15"/>
      <c r="I11" s="15"/>
      <c r="J11" s="15"/>
    </row>
    <row r="12" spans="1:10">
      <c r="A12" t="str">
        <f>IF('Obra SG'!F20="","","Obra SG")</f>
        <v>Obra SG</v>
      </c>
      <c r="B12" t="str">
        <f>IF('Obra SG'!F20="","",'Obra SG'!F20)</f>
        <v>Flete de pegamento de contigiani y pintura de garin</v>
      </c>
      <c r="C12" s="15">
        <f>IF('Obra SG'!I20="","",'Obra SG'!I20)</f>
        <v>72000</v>
      </c>
      <c r="D12" s="15" t="str">
        <f>IF('Obra SG'!F20="","",'Obra SG'!K20)</f>
        <v>A bauvek</v>
      </c>
      <c r="E12" s="15" t="str">
        <f>IF('Obra SG'!F20="","",'Obra SG'!L20)</f>
        <v>Pagado</v>
      </c>
      <c r="F12" s="15">
        <f>IF('Obra SG'!F20="","",'Obra SG'!M20)</f>
        <v>0</v>
      </c>
      <c r="G12" s="15"/>
      <c r="H12" s="15"/>
      <c r="I12" s="15"/>
      <c r="J12" s="15"/>
    </row>
    <row r="13" spans="1:10">
      <c r="A13" t="str">
        <f>IF('Obra SG'!F21="","","Obra SG")</f>
        <v/>
      </c>
      <c r="B13" t="str">
        <f>IF('Obra SG'!F21="","",'Obra SG'!F21)</f>
        <v/>
      </c>
      <c r="C13" s="15" t="str">
        <f>IF('Obra SG'!I21="","",'Obra SG'!I21)</f>
        <v/>
      </c>
      <c r="D13" s="15" t="str">
        <f>IF('Obra SG'!F21="","",'Obra SG'!K21)</f>
        <v/>
      </c>
      <c r="E13" s="15" t="str">
        <f>IF('Obra SG'!F21="","",'Obra SG'!L21)</f>
        <v/>
      </c>
      <c r="F13" s="15" t="str">
        <f>IF('Obra SG'!F21="","",'Obra SG'!M21)</f>
        <v/>
      </c>
      <c r="G13" s="15"/>
      <c r="H13" s="15"/>
      <c r="I13" s="15"/>
      <c r="J13" s="15"/>
    </row>
    <row r="14" spans="1:10">
      <c r="A14" t="str">
        <f>IF('Obra SG'!F22="","","Obra SG")</f>
        <v>Obra SG</v>
      </c>
      <c r="B14" t="str">
        <f>IF('Obra SG'!F22="","",'Obra SG'!F22)</f>
        <v>Alambre tejido + ganchos + alambre 2.2, etc</v>
      </c>
      <c r="C14" s="15">
        <f>IF('Obra SG'!I22="","",'Obra SG'!I22)</f>
        <v>85271.19</v>
      </c>
      <c r="D14" s="15" t="str">
        <f>IF('Obra SG'!F22="","",'Obra SG'!K22)</f>
        <v>A proveedor</v>
      </c>
      <c r="E14" s="15" t="str">
        <f>IF('Obra SG'!F22="","",'Obra SG'!L22)</f>
        <v>Pagado</v>
      </c>
      <c r="F14" s="15">
        <f>IF('Obra SG'!F22="","",'Obra SG'!M22)</f>
        <v>0</v>
      </c>
      <c r="G14" s="15"/>
      <c r="H14" s="15"/>
      <c r="I14" s="15"/>
      <c r="J14" s="15"/>
    </row>
    <row r="15" spans="1:10">
      <c r="A15" t="str">
        <f>IF('Obra SG'!F23="","","Obra SG")</f>
        <v>Obra SG</v>
      </c>
      <c r="B15" t="str">
        <f>IF('Obra SG'!F23="","",'Obra SG'!F23)</f>
        <v xml:space="preserve">Material de plomeria </v>
      </c>
      <c r="C15" s="15">
        <f>IF('Obra SG'!I23="","",'Obra SG'!I23)</f>
        <v>465269.3</v>
      </c>
      <c r="D15" s="15" t="str">
        <f>IF('Obra SG'!F23="","",'Obra SG'!K23)</f>
        <v>A proveedor</v>
      </c>
      <c r="E15" s="15" t="str">
        <f>IF('Obra SG'!F23="","",'Obra SG'!L23)</f>
        <v>Pagado</v>
      </c>
      <c r="F15" s="15">
        <f>IF('Obra SG'!F23="","",'Obra SG'!M23)</f>
        <v>0</v>
      </c>
      <c r="G15" s="15"/>
      <c r="H15" s="15"/>
      <c r="I15" s="15"/>
      <c r="J15" s="15"/>
    </row>
    <row r="16" spans="1:10">
      <c r="A16" t="str">
        <f>IF('Obra SG'!F24="","","Obra SG")</f>
        <v>Obra SG</v>
      </c>
      <c r="B16" t="str">
        <f>IF('Obra SG'!F24="","",'Obra SG'!F24)</f>
        <v>Bomba presurizadora</v>
      </c>
      <c r="C16" s="15">
        <f>IF('Obra SG'!I24="","",'Obra SG'!I24)</f>
        <v>385891.6</v>
      </c>
      <c r="D16" s="15" t="str">
        <f>IF('Obra SG'!F24="","",'Obra SG'!K24)</f>
        <v>A proveedor</v>
      </c>
      <c r="E16" s="15" t="str">
        <f>IF('Obra SG'!F24="","",'Obra SG'!L24)</f>
        <v>Pagado</v>
      </c>
      <c r="F16" s="15">
        <f>IF('Obra SG'!F24="","",'Obra SG'!M24)</f>
        <v>0</v>
      </c>
      <c r="G16" s="15"/>
      <c r="H16" s="15"/>
      <c r="I16" s="15"/>
      <c r="J16" s="15"/>
    </row>
    <row r="17" spans="1:10">
      <c r="A17" t="str">
        <f>IF('Obra SG'!F25="","","Obra SG")</f>
        <v>Obra SG</v>
      </c>
      <c r="B17" t="str">
        <f>IF('Obra SG'!F25="","",'Obra SG'!F25)</f>
        <v>Flete de materiales de CERCO, CONTIGIANI y SANIPLAST a obra</v>
      </c>
      <c r="C17" s="15">
        <f>IF('Obra SG'!I25="","",'Obra SG'!I25)</f>
        <v>37500</v>
      </c>
      <c r="D17" s="15" t="str">
        <f>IF('Obra SG'!F25="","",'Obra SG'!K25)</f>
        <v>Pago en efectivo</v>
      </c>
      <c r="E17" s="15" t="str">
        <f>IF('Obra SG'!F25="","",'Obra SG'!L25)</f>
        <v>Pagado</v>
      </c>
      <c r="F17" s="15">
        <f>IF('Obra SG'!F25="","",'Obra SG'!M25)</f>
        <v>0</v>
      </c>
      <c r="G17" s="15"/>
      <c r="H17" s="15"/>
      <c r="I17" s="15"/>
      <c r="J17" s="15"/>
    </row>
    <row r="18" spans="1:10">
      <c r="A18" t="str">
        <f>IF('Obra SG'!F26="","","Obra SG")</f>
        <v>Obra SG</v>
      </c>
      <c r="B18" t="str">
        <f>IF('Obra SG'!F26="","",'Obra SG'!F26)</f>
        <v>Bastidores, modulos, teclas, etc.</v>
      </c>
      <c r="C18" s="15">
        <f>IF('Obra SG'!I26="","",'Obra SG'!I26)</f>
        <v>230000.02</v>
      </c>
      <c r="D18" t="str">
        <f>IF('Obra SG'!F26="","",'Obra SG'!K26)</f>
        <v>A proveedor</v>
      </c>
      <c r="E18" t="str">
        <f>IF('Obra SG'!F26="","",'Obra SG'!L26)</f>
        <v>Pagado</v>
      </c>
      <c r="F18">
        <f>IF('Obra SG'!F26="","",'Obra SG'!M26)</f>
        <v>0</v>
      </c>
    </row>
    <row r="19" spans="1:10">
      <c r="A19" t="str">
        <f>IF('Obra SG'!F27="","","Obra SG")</f>
        <v>Obra SG</v>
      </c>
      <c r="B19" t="str">
        <f>IF('Obra SG'!F27="","",'Obra SG'!F27)</f>
        <v>Cables</v>
      </c>
      <c r="C19" s="15">
        <f>IF('Obra SG'!I27="","",'Obra SG'!I27)</f>
        <v>380000.3</v>
      </c>
      <c r="D19" t="str">
        <f>IF('Obra SG'!F27="","",'Obra SG'!K27)</f>
        <v>A proveedor</v>
      </c>
      <c r="E19" t="str">
        <f>IF('Obra SG'!F27="","",'Obra SG'!L27)</f>
        <v>Pagado</v>
      </c>
      <c r="F19">
        <f>IF('Obra SG'!F27="","",'Obra SG'!M27)</f>
        <v>0</v>
      </c>
    </row>
    <row r="20" spans="1:10">
      <c r="A20" t="str">
        <f>IF('Obra SG'!F28="","","Obra SG")</f>
        <v>Obra SG</v>
      </c>
      <c r="B20" t="str">
        <f>IF('Obra SG'!F28="","",'Obra SG'!F28)</f>
        <v>7 Luz led embutido de ingreso</v>
      </c>
      <c r="C20" s="15">
        <f>IF('Obra SG'!I28="","",'Obra SG'!I28)</f>
        <v>360000.02</v>
      </c>
      <c r="D20" t="str">
        <f>IF('Obra SG'!F28="","",'Obra SG'!K28)</f>
        <v>A proveedor</v>
      </c>
      <c r="E20" t="str">
        <f>IF('Obra SG'!F28="","",'Obra SG'!L28)</f>
        <v>Pagado</v>
      </c>
      <c r="F20">
        <f>IF('Obra SG'!F28="","",'Obra SG'!M28)</f>
        <v>0</v>
      </c>
    </row>
    <row r="21" spans="1:10">
      <c r="A21" t="str">
        <f>IF('Obra SG'!F29="","","Obra SG")</f>
        <v>Obra SG</v>
      </c>
      <c r="B21" t="str">
        <f>IF('Obra SG'!F29="","",'Obra SG'!F29)</f>
        <v>Plafones, lamparas, spots</v>
      </c>
      <c r="C21" s="15">
        <f>IF('Obra SG'!I29="","",'Obra SG'!I29)</f>
        <v>587500.04</v>
      </c>
      <c r="D21" t="str">
        <f>IF('Obra SG'!F29="","",'Obra SG'!K29)</f>
        <v>A proveedor</v>
      </c>
      <c r="E21" t="str">
        <f>IF('Obra SG'!F29="","",'Obra SG'!L29)</f>
        <v>Pagado</v>
      </c>
      <c r="F21">
        <f>IF('Obra SG'!F29="","",'Obra SG'!M29)</f>
        <v>0</v>
      </c>
    </row>
    <row r="22" spans="1:10">
      <c r="A22" t="str">
        <f>IF('Obra SG'!F30="","","Obra SG")</f>
        <v>Obra SG</v>
      </c>
      <c r="B22" t="str">
        <f>IF('Obra SG'!F30="","",'Obra SG'!F30)</f>
        <v>Tornillos, tarugos y disco videa</v>
      </c>
      <c r="C22" s="15">
        <f>IF('Obra SG'!I30="","",'Obra SG'!I30)</f>
        <v>12214.95</v>
      </c>
      <c r="D22" t="str">
        <f>IF('Obra SG'!F30="","",'Obra SG'!K30)</f>
        <v>Pago Mariana de Bauvek, recuperar</v>
      </c>
      <c r="E22" t="str">
        <f>IF('Obra SG'!F30="","",'Obra SG'!L30)</f>
        <v>Pagado</v>
      </c>
      <c r="F22">
        <f>IF('Obra SG'!F30="","",'Obra SG'!M30)</f>
        <v>0</v>
      </c>
    </row>
    <row r="23" spans="1:10">
      <c r="A23" t="str">
        <f>IF('Obra SG'!F31="","","Obra SG")</f>
        <v>Obra SG</v>
      </c>
      <c r="B23" t="str">
        <f>IF('Obra SG'!F31="","",'Obra SG'!F31)</f>
        <v>1 viaje de tierra negra</v>
      </c>
      <c r="C23" s="15">
        <f>IF('Obra SG'!I31="","",'Obra SG'!I31)</f>
        <v>190000</v>
      </c>
      <c r="D23" t="str">
        <f>IF('Obra SG'!F31="","",'Obra SG'!K31)</f>
        <v>A bauvek</v>
      </c>
      <c r="E23" t="str">
        <f>IF('Obra SG'!F31="","",'Obra SG'!L31)</f>
        <v>Pagado</v>
      </c>
      <c r="F23">
        <f>IF('Obra SG'!F31="","",'Obra SG'!M31)</f>
        <v>0</v>
      </c>
    </row>
    <row r="24" spans="1:10">
      <c r="A24" t="str">
        <f>IF('Obra SG'!F32="","","Obra SG")</f>
        <v>Obra SG</v>
      </c>
      <c r="B24" t="str">
        <f>IF('Obra SG'!F32="","",'Obra SG'!F32)</f>
        <v>Flete de materiales de saniplast, retirar hercal y adoquines y llevar a obra arzola</v>
      </c>
      <c r="C24" s="15">
        <f>IF('Obra SG'!I32="","",'Obra SG'!I32)</f>
        <v>65000</v>
      </c>
      <c r="D24" t="str">
        <f>IF('Obra SG'!F32="","",'Obra SG'!K32)</f>
        <v>Pago en efectivo</v>
      </c>
      <c r="E24" t="str">
        <f>IF('Obra SG'!F32="","",'Obra SG'!L32)</f>
        <v>Pagado</v>
      </c>
      <c r="F24">
        <f>IF('Obra SG'!F32="","",'Obra SG'!M32)</f>
        <v>0</v>
      </c>
    </row>
    <row r="25" spans="1:10">
      <c r="A25" t="str">
        <f>IF('Obra SG'!F33="","","Obra SG")</f>
        <v/>
      </c>
      <c r="B25" t="str">
        <f>IF('Obra SG'!F33="","",'Obra SG'!F33)</f>
        <v/>
      </c>
      <c r="C25" s="15" t="str">
        <f>IF('Obra SG'!I33="","",'Obra SG'!I33)</f>
        <v/>
      </c>
      <c r="D25" t="str">
        <f>IF('Obra SG'!F33="","",'Obra SG'!K33)</f>
        <v/>
      </c>
      <c r="E25" t="str">
        <f>IF('Obra SG'!F33="","",'Obra SG'!L33)</f>
        <v/>
      </c>
      <c r="F25" t="str">
        <f>IF('Obra SG'!F33="","",'Obra SG'!M33)</f>
        <v/>
      </c>
    </row>
    <row r="26" spans="1:10">
      <c r="A26" t="str">
        <f>IF('Obra SG'!F34="","","Obra SG")</f>
        <v>Obra SG</v>
      </c>
      <c r="B26" t="str">
        <f>IF('Obra SG'!F34="","",'Obra SG'!F34)</f>
        <v>Porcelanato de cocina + pastina</v>
      </c>
      <c r="C26" s="15">
        <f>IF('Obra SG'!I34="","",'Obra SG'!I34)</f>
        <v>255311.44</v>
      </c>
      <c r="D26" t="str">
        <f>IF('Obra SG'!F34="","",'Obra SG'!K34)</f>
        <v>A proveedor</v>
      </c>
      <c r="E26" t="str">
        <f>IF('Obra SG'!F34="","",'Obra SG'!L34)</f>
        <v>Pagado</v>
      </c>
      <c r="F26">
        <f>IF('Obra SG'!F34="","",'Obra SG'!M34)</f>
        <v>0</v>
      </c>
    </row>
    <row r="27" spans="1:10">
      <c r="A27" t="str">
        <f>IF('Obra SG'!F35="","","Obra SG")</f>
        <v>Obra SG</v>
      </c>
      <c r="B27" t="str">
        <f>IF('Obra SG'!F35="","",'Obra SG'!F35)</f>
        <v>Flete de materiales de SANIPLAST a obra</v>
      </c>
      <c r="C27" s="15">
        <f>IF('Obra SG'!I35="","",'Obra SG'!I35)</f>
        <v>60000</v>
      </c>
      <c r="D27" t="str">
        <f>IF('Obra SG'!F35="","",'Obra SG'!K35)</f>
        <v>A bauvek</v>
      </c>
      <c r="E27" t="str">
        <f>IF('Obra SG'!F35="","",'Obra SG'!L35)</f>
        <v>Pagado</v>
      </c>
      <c r="F27">
        <f>IF('Obra SG'!F35="","",'Obra SG'!M35)</f>
        <v>0</v>
      </c>
    </row>
    <row r="28" spans="1:10">
      <c r="A28" t="str">
        <f>IF('Obra SG'!F36="","","Obra SG")</f>
        <v>Obra SG</v>
      </c>
      <c r="B28" t="str">
        <f>IF('Obra SG'!F36="","",'Obra SG'!F36)</f>
        <v>Travesaños largos</v>
      </c>
      <c r="C28" s="15">
        <f>IF('Obra SG'!I36="","",'Obra SG'!I36)</f>
        <v>16506.52</v>
      </c>
      <c r="D28" t="str">
        <f>IF('Obra SG'!F36="","",'Obra SG'!K36)</f>
        <v>A bauvek</v>
      </c>
      <c r="E28" t="str">
        <f>IF('Obra SG'!F36="","",'Obra SG'!L36)</f>
        <v>Pagado</v>
      </c>
      <c r="F28">
        <f>IF('Obra SG'!F36="","",'Obra SG'!M36)</f>
        <v>0</v>
      </c>
    </row>
    <row r="29" spans="1:10">
      <c r="A29" t="str">
        <f>IF('Obra SG'!F37="","","Obra SG")</f>
        <v>Obra SG</v>
      </c>
      <c r="B29" t="str">
        <f>IF('Obra SG'!F37="","",'Obra SG'!F37)</f>
        <v>Devolucion Travesaños largos</v>
      </c>
      <c r="C29" s="15">
        <f>IF('Obra SG'!I37="","",'Obra SG'!I37)</f>
        <v>-16506.52</v>
      </c>
      <c r="D29" t="str">
        <f>IF('Obra SG'!F37="","",'Obra SG'!K37)</f>
        <v>A bauvek</v>
      </c>
      <c r="E29" t="str">
        <f>IF('Obra SG'!F37="","",'Obra SG'!L37)</f>
        <v>Pagado</v>
      </c>
      <c r="F29">
        <f>IF('Obra SG'!F37="","",'Obra SG'!M37)</f>
        <v>0</v>
      </c>
    </row>
    <row r="30" spans="1:10">
      <c r="A30" t="str">
        <f>IF('Obra SG'!F38="","","Obra SG")</f>
        <v>Obra SG</v>
      </c>
      <c r="B30" t="str">
        <f>IF('Obra SG'!F38="","",'Obra SG'!F38)</f>
        <v>Travesaños cortos</v>
      </c>
      <c r="C30" s="15">
        <f>IF('Obra SG'!I38="","",'Obra SG'!I38)</f>
        <v>18237.7</v>
      </c>
      <c r="D30" t="str">
        <f>IF('Obra SG'!F38="","",'Obra SG'!K38)</f>
        <v>A bauvek</v>
      </c>
      <c r="E30" t="str">
        <f>IF('Obra SG'!F38="","",'Obra SG'!L38)</f>
        <v>Pagado</v>
      </c>
      <c r="F30">
        <f>IF('Obra SG'!F38="","",'Obra SG'!M38)</f>
        <v>0</v>
      </c>
    </row>
    <row r="31" spans="1:10">
      <c r="A31" t="str">
        <f>IF('Obra SG'!F39="","","Obra SG")</f>
        <v/>
      </c>
      <c r="B31" t="str">
        <f>IF('Obra SG'!F39="","",'Obra SG'!F39)</f>
        <v/>
      </c>
      <c r="C31" t="str">
        <f>IF('Obra SG'!F39="","",'Obra SG'!H39)</f>
        <v/>
      </c>
      <c r="D31" t="str">
        <f>IF('Obra SG'!F39="","",'Obra SG'!K39)</f>
        <v/>
      </c>
      <c r="E31" t="str">
        <f>IF('Obra SG'!F39="","",'Obra SG'!L39)</f>
        <v/>
      </c>
      <c r="F31" t="str">
        <f>IF('Obra SG'!F39="","",'Obra SG'!M39)</f>
        <v/>
      </c>
    </row>
    <row r="32" spans="1:10">
      <c r="A32" t="str">
        <f>IF('Obra SG'!F40="","","Obra SG")</f>
        <v/>
      </c>
      <c r="B32" t="str">
        <f>IF('Obra SG'!F40="","",'Obra SG'!F40)</f>
        <v/>
      </c>
      <c r="C32" t="str">
        <f>IF('Obra SG'!F40="","",'Obra SG'!H40)</f>
        <v/>
      </c>
      <c r="D32" t="str">
        <f>IF('Obra SG'!F40="","",'Obra SG'!K40)</f>
        <v/>
      </c>
      <c r="E32" t="str">
        <f>IF('Obra SG'!F40="","",'Obra SG'!L40)</f>
        <v/>
      </c>
      <c r="F32" t="str">
        <f>IF('Obra SG'!F40="","",'Obra SG'!M40)</f>
        <v/>
      </c>
    </row>
    <row r="33" spans="1:6">
      <c r="A33" t="str">
        <f>IF('Obra SG'!F41="","","Obra SG")</f>
        <v/>
      </c>
      <c r="B33" t="str">
        <f>IF('Obra SG'!F41="","",'Obra SG'!F41)</f>
        <v/>
      </c>
      <c r="C33" t="str">
        <f>IF('Obra SG'!F41="","",'Obra SG'!H41)</f>
        <v/>
      </c>
      <c r="D33" t="str">
        <f>IF('Obra SG'!F41="","",'Obra SG'!K41)</f>
        <v/>
      </c>
      <c r="E33" t="str">
        <f>IF('Obra SG'!F41="","",'Obra SG'!L41)</f>
        <v/>
      </c>
      <c r="F33" t="str">
        <f>IF('Obra SG'!F41="","",'Obra SG'!M41)</f>
        <v/>
      </c>
    </row>
    <row r="34" spans="1:6">
      <c r="A34" t="str">
        <f>IF('Obra SG'!F42="","","Obra SG")</f>
        <v/>
      </c>
      <c r="B34" t="str">
        <f>IF('Obra SG'!F42="","",'Obra SG'!F42)</f>
        <v/>
      </c>
      <c r="C34" t="str">
        <f>IF('Obra SG'!F42="","",'Obra SG'!H42)</f>
        <v/>
      </c>
      <c r="D34" t="str">
        <f>IF('Obra SG'!F42="","",'Obra SG'!K42)</f>
        <v/>
      </c>
      <c r="E34" t="str">
        <f>IF('Obra SG'!F42="","",'Obra SG'!L42)</f>
        <v/>
      </c>
      <c r="F34" t="str">
        <f>IF('Obra SG'!F42="","",'Obra SG'!M42)</f>
        <v/>
      </c>
    </row>
    <row r="35" spans="1:6">
      <c r="A35" t="str">
        <f>IF('Obra SG'!F43="","","Obra SG")</f>
        <v/>
      </c>
      <c r="B35" t="str">
        <f>IF('Obra SG'!F43="","",'Obra SG'!F43)</f>
        <v/>
      </c>
      <c r="C35" t="str">
        <f>IF('Obra SG'!F43="","",'Obra SG'!H43)</f>
        <v/>
      </c>
      <c r="D35" t="str">
        <f>IF('Obra SG'!F43="","",'Obra SG'!K43)</f>
        <v/>
      </c>
      <c r="E35" t="str">
        <f>IF('Obra SG'!F43="","",'Obra SG'!L43)</f>
        <v/>
      </c>
      <c r="F35" t="str">
        <f>IF('Obra SG'!F43="","",'Obra SG'!M43)</f>
        <v/>
      </c>
    </row>
    <row r="36" spans="1:6">
      <c r="A36" t="str">
        <f>IF('Obra SG'!F44="","","Obra SG")</f>
        <v/>
      </c>
      <c r="B36" t="str">
        <f>IF('Obra SG'!F44="","",'Obra SG'!F44)</f>
        <v/>
      </c>
      <c r="C36" t="str">
        <f>IF('Obra SG'!F44="","",'Obra SG'!H44)</f>
        <v/>
      </c>
      <c r="D36" t="str">
        <f>IF('Obra SG'!F44="","",'Obra SG'!K44)</f>
        <v/>
      </c>
      <c r="E36" t="str">
        <f>IF('Obra SG'!F44="","",'Obra SG'!L44)</f>
        <v/>
      </c>
      <c r="F36" t="str">
        <f>IF('Obra SG'!F44="","",'Obra SG'!M44)</f>
        <v/>
      </c>
    </row>
    <row r="37" spans="1:6">
      <c r="A37" t="str">
        <f>IF('Obra SG'!F45="","","Obra SG")</f>
        <v/>
      </c>
      <c r="B37" t="str">
        <f>IF('Obra SG'!F45="","",'Obra SG'!F45)</f>
        <v/>
      </c>
      <c r="C37" t="str">
        <f>IF('Obra SG'!F45="","",'Obra SG'!H45)</f>
        <v/>
      </c>
      <c r="D37" t="str">
        <f>IF('Obra SG'!F45="","",'Obra SG'!K45)</f>
        <v/>
      </c>
      <c r="E37" t="str">
        <f>IF('Obra SG'!F45="","",'Obra SG'!L45)</f>
        <v/>
      </c>
      <c r="F37" t="str">
        <f>IF('Obra SG'!F45="","",'Obra SG'!M45)</f>
        <v/>
      </c>
    </row>
    <row r="38" spans="1:6">
      <c r="A38" t="str">
        <f>IF('Obra SG'!F46="","","Obra SG")</f>
        <v/>
      </c>
      <c r="B38" t="str">
        <f>IF('Obra SG'!F46="","",'Obra SG'!F46)</f>
        <v/>
      </c>
      <c r="C38" t="str">
        <f>IF('Obra SG'!F46="","",'Obra SG'!H46)</f>
        <v/>
      </c>
      <c r="D38" t="str">
        <f>IF('Obra SG'!F46="","",'Obra SG'!K46)</f>
        <v/>
      </c>
      <c r="E38" t="str">
        <f>IF('Obra SG'!F46="","",'Obra SG'!L46)</f>
        <v/>
      </c>
      <c r="F38" t="str">
        <f>IF('Obra SG'!F46="","",'Obra SG'!M46)</f>
        <v/>
      </c>
    </row>
    <row r="39" spans="1:6">
      <c r="A39" t="str">
        <f>IF('Obra SG'!F47="","","Obra SG")</f>
        <v/>
      </c>
      <c r="B39" t="str">
        <f>IF('Obra SG'!F47="","",'Obra SG'!F47)</f>
        <v/>
      </c>
      <c r="C39" t="str">
        <f>IF('Obra SG'!F47="","",'Obra SG'!H47)</f>
        <v/>
      </c>
      <c r="D39" t="str">
        <f>IF('Obra SG'!F47="","",'Obra SG'!K47)</f>
        <v/>
      </c>
      <c r="E39" t="str">
        <f>IF('Obra SG'!F47="","",'Obra SG'!L47)</f>
        <v/>
      </c>
      <c r="F39" t="str">
        <f>IF('Obra SG'!F47="","",'Obra SG'!M47)</f>
        <v/>
      </c>
    </row>
    <row r="40" spans="1:6">
      <c r="A40" t="str">
        <f>IF('Obra SG'!F48="","","Obra SG")</f>
        <v/>
      </c>
      <c r="B40" t="str">
        <f>IF('Obra SG'!F48="","",'Obra SG'!F48)</f>
        <v/>
      </c>
      <c r="C40" t="str">
        <f>IF('Obra SG'!F48="","",'Obra SG'!H48)</f>
        <v/>
      </c>
      <c r="D40" t="str">
        <f>IF('Obra SG'!F48="","",'Obra SG'!K48)</f>
        <v/>
      </c>
      <c r="E40" t="str">
        <f>IF('Obra SG'!F48="","",'Obra SG'!L48)</f>
        <v/>
      </c>
      <c r="F40" t="str">
        <f>IF('Obra SG'!F48="","",'Obra SG'!M48)</f>
        <v/>
      </c>
    </row>
    <row r="41" spans="1:6">
      <c r="A41" t="str">
        <f>IF('Obra SG'!F49="","","Obra SG")</f>
        <v/>
      </c>
      <c r="B41" t="str">
        <f>IF('Obra SG'!F49="","",'Obra SG'!F49)</f>
        <v/>
      </c>
      <c r="C41" t="str">
        <f>IF('Obra SG'!F49="","",'Obra SG'!H49)</f>
        <v/>
      </c>
      <c r="D41" t="str">
        <f>IF('Obra SG'!F49="","",'Obra SG'!K49)</f>
        <v/>
      </c>
      <c r="E41" t="str">
        <f>IF('Obra SG'!F49="","",'Obra SG'!L49)</f>
        <v/>
      </c>
      <c r="F41" t="str">
        <f>IF('Obra SG'!F49="","",'Obra SG'!M49)</f>
        <v/>
      </c>
    </row>
    <row r="42" spans="1:6">
      <c r="A42" t="str">
        <f>IF('Obra SG'!F50="","","Obra SG")</f>
        <v/>
      </c>
      <c r="B42" t="str">
        <f>IF('Obra SG'!F50="","",'Obra SG'!F50)</f>
        <v/>
      </c>
      <c r="C42" t="str">
        <f>IF('Obra SG'!F50="","",'Obra SG'!H50)</f>
        <v/>
      </c>
      <c r="D42" t="str">
        <f>IF('Obra SG'!F50="","",'Obra SG'!K50)</f>
        <v/>
      </c>
      <c r="E42" t="str">
        <f>IF('Obra SG'!F50="","",'Obra SG'!L50)</f>
        <v/>
      </c>
      <c r="F42" t="str">
        <f>IF('Obra SG'!F50="","",'Obra SG'!M50)</f>
        <v/>
      </c>
    </row>
    <row r="43" spans="1:6">
      <c r="A43" t="str">
        <f>IF('Obra SG'!F51="","","Obra SG")</f>
        <v/>
      </c>
      <c r="B43" t="str">
        <f>IF('Obra SG'!F51="","",'Obra SG'!F51)</f>
        <v/>
      </c>
      <c r="C43" t="str">
        <f>IF('Obra SG'!F51="","",'Obra SG'!H51)</f>
        <v/>
      </c>
      <c r="D43" t="str">
        <f>IF('Obra SG'!F51="","",'Obra SG'!K51)</f>
        <v/>
      </c>
      <c r="E43" t="str">
        <f>IF('Obra SG'!F51="","",'Obra SG'!L51)</f>
        <v/>
      </c>
      <c r="F43" t="str">
        <f>IF('Obra SG'!F51="","",'Obra SG'!M51)</f>
        <v/>
      </c>
    </row>
    <row r="44" spans="1:6">
      <c r="A44" t="str">
        <f>IF('Obra SG'!F52="","","Obra SG")</f>
        <v/>
      </c>
      <c r="B44" t="str">
        <f>IF('Obra SG'!F52="","",'Obra SG'!F52)</f>
        <v/>
      </c>
      <c r="C44" t="str">
        <f>IF('Obra SG'!F52="","",'Obra SG'!H52)</f>
        <v/>
      </c>
      <c r="D44" t="str">
        <f>IF('Obra SG'!F52="","",'Obra SG'!K52)</f>
        <v/>
      </c>
      <c r="E44" t="str">
        <f>IF('Obra SG'!F52="","",'Obra SG'!L52)</f>
        <v/>
      </c>
      <c r="F44" t="str">
        <f>IF('Obra SG'!F52="","",'Obra SG'!M52)</f>
        <v/>
      </c>
    </row>
    <row r="45" spans="1:6">
      <c r="A45" t="str">
        <f>IF('Obra SG'!F53="","","Obra SG")</f>
        <v/>
      </c>
      <c r="B45" t="str">
        <f>IF('Obra SG'!F53="","",'Obra SG'!F53)</f>
        <v/>
      </c>
      <c r="C45" t="str">
        <f>IF('Obra SG'!F53="","",'Obra SG'!H53)</f>
        <v/>
      </c>
      <c r="D45" t="str">
        <f>IF('Obra SG'!F53="","",'Obra SG'!K53)</f>
        <v/>
      </c>
      <c r="E45" t="str">
        <f>IF('Obra SG'!F53="","",'Obra SG'!L53)</f>
        <v/>
      </c>
      <c r="F45" t="str">
        <f>IF('Obra SG'!F53="","",'Obra SG'!M53)</f>
        <v/>
      </c>
    </row>
    <row r="46" spans="1:6">
      <c r="A46" t="str">
        <f>IF('Obra SG'!F54="","","Obra SG")</f>
        <v/>
      </c>
      <c r="B46" t="str">
        <f>IF('Obra SG'!F54="","",'Obra SG'!F54)</f>
        <v/>
      </c>
      <c r="C46" t="str">
        <f>IF('Obra SG'!F54="","",'Obra SG'!H54)</f>
        <v/>
      </c>
      <c r="D46" t="str">
        <f>IF('Obra SG'!F54="","",'Obra SG'!K54)</f>
        <v/>
      </c>
      <c r="E46" t="str">
        <f>IF('Obra SG'!F54="","",'Obra SG'!L54)</f>
        <v/>
      </c>
      <c r="F46" t="str">
        <f>IF('Obra SG'!F54="","",'Obra SG'!M54)</f>
        <v/>
      </c>
    </row>
    <row r="47" spans="1:6">
      <c r="A47" t="str">
        <f>IF('Obra SG'!F55="","","Obra SG")</f>
        <v/>
      </c>
      <c r="B47" t="str">
        <f>IF('Obra SG'!F55="","",'Obra SG'!F55)</f>
        <v/>
      </c>
      <c r="C47" t="str">
        <f>IF('Obra SG'!F55="","",'Obra SG'!H55)</f>
        <v/>
      </c>
      <c r="D47" t="str">
        <f>IF('Obra SG'!F55="","",'Obra SG'!K55)</f>
        <v/>
      </c>
      <c r="E47" t="str">
        <f>IF('Obra SG'!F55="","",'Obra SG'!L55)</f>
        <v/>
      </c>
      <c r="F47" t="str">
        <f>IF('Obra SG'!F55="","",'Obra SG'!M55)</f>
        <v/>
      </c>
    </row>
    <row r="48" spans="1:6">
      <c r="A48" t="str">
        <f>IF('Obra SG'!F56="","","Obra SG")</f>
        <v/>
      </c>
      <c r="B48" t="str">
        <f>IF('Obra SG'!F56="","",'Obra SG'!F56)</f>
        <v/>
      </c>
      <c r="C48" t="str">
        <f>IF('Obra SG'!F56="","",'Obra SG'!H56)</f>
        <v/>
      </c>
      <c r="D48" t="str">
        <f>IF('Obra SG'!F56="","",'Obra SG'!K56)</f>
        <v/>
      </c>
      <c r="E48" t="str">
        <f>IF('Obra SG'!F56="","",'Obra SG'!L56)</f>
        <v/>
      </c>
      <c r="F48" t="str">
        <f>IF('Obra SG'!F56="","",'Obra SG'!M56)</f>
        <v/>
      </c>
    </row>
    <row r="49" spans="1:6">
      <c r="A49" t="str">
        <f>IF('Obra SG'!F57="","","Obra SG")</f>
        <v/>
      </c>
      <c r="B49" t="str">
        <f>IF('Obra SG'!F57="","",'Obra SG'!F57)</f>
        <v/>
      </c>
      <c r="C49" t="str">
        <f>IF('Obra SG'!F57="","",'Obra SG'!H57)</f>
        <v/>
      </c>
      <c r="D49" t="str">
        <f>IF('Obra SG'!F57="","",'Obra SG'!K57)</f>
        <v/>
      </c>
      <c r="E49" t="str">
        <f>IF('Obra SG'!F57="","",'Obra SG'!L57)</f>
        <v/>
      </c>
      <c r="F49" t="str">
        <f>IF('Obra SG'!F57="","",'Obra SG'!M57)</f>
        <v/>
      </c>
    </row>
    <row r="50" spans="1:6">
      <c r="A50" t="str">
        <f>IF('Obra SG'!F58="","","Obra SG")</f>
        <v/>
      </c>
      <c r="B50" t="str">
        <f>IF('Obra SG'!F58="","",'Obra SG'!F58)</f>
        <v/>
      </c>
      <c r="C50" t="str">
        <f>IF('Obra SG'!F58="","",'Obra SG'!H58)</f>
        <v/>
      </c>
      <c r="D50" t="str">
        <f>IF('Obra SG'!F58="","",'Obra SG'!K58)</f>
        <v/>
      </c>
      <c r="E50" t="str">
        <f>IF('Obra SG'!F58="","",'Obra SG'!L58)</f>
        <v/>
      </c>
      <c r="F50" t="str">
        <f>IF('Obra SG'!F58="","",'Obra SG'!M58)</f>
        <v/>
      </c>
    </row>
    <row r="51" spans="1:6">
      <c r="A51" t="str">
        <f>IF('Obra SG'!F59="","","Obra SG")</f>
        <v/>
      </c>
      <c r="B51" t="str">
        <f>IF('Obra SG'!F59="","",'Obra SG'!F59)</f>
        <v/>
      </c>
      <c r="C51" t="str">
        <f>IF('Obra SG'!F59="","",'Obra SG'!H59)</f>
        <v/>
      </c>
      <c r="D51" t="str">
        <f>IF('Obra SG'!F59="","",'Obra SG'!J59)</f>
        <v/>
      </c>
      <c r="E51" t="str">
        <f>IF('Obra SG'!F59="","",'Obra SG'!K59)</f>
        <v/>
      </c>
      <c r="F51" t="str">
        <f>IF('Obra SG'!F59="","",'Obra SG'!L59)</f>
        <v/>
      </c>
    </row>
    <row r="52" spans="1:6">
      <c r="A52" t="str">
        <f>IF('Obra SG'!F60="","","Obra SG")</f>
        <v/>
      </c>
      <c r="B52" t="str">
        <f>IF('Obra SG'!F60="","",'Obra SG'!F60)</f>
        <v/>
      </c>
      <c r="C52" t="str">
        <f>IF('Obra SG'!F60="","",'Obra SG'!H60)</f>
        <v/>
      </c>
      <c r="D52" t="str">
        <f>IF('Obra SG'!F60="","",'Obra SG'!J60)</f>
        <v/>
      </c>
      <c r="E52" t="str">
        <f>IF('Obra SG'!F60="","",'Obra SG'!K60)</f>
        <v/>
      </c>
      <c r="F52" t="str">
        <f>IF('Obra SG'!F60="","",'Obra SG'!L60)</f>
        <v/>
      </c>
    </row>
    <row r="53" spans="1:6">
      <c r="A53" t="str">
        <f>IF('Obra SG'!F61="","","Obra SG")</f>
        <v/>
      </c>
      <c r="B53" t="str">
        <f>IF('Obra SG'!F61="","",'Obra SG'!F61)</f>
        <v/>
      </c>
      <c r="C53" t="str">
        <f>IF('Obra SG'!F61="","",'Obra SG'!H61)</f>
        <v/>
      </c>
      <c r="D53" t="str">
        <f>IF('Obra SG'!F61="","",'Obra SG'!J61)</f>
        <v/>
      </c>
      <c r="E53" t="str">
        <f>IF('Obra SG'!F61="","",'Obra SG'!K61)</f>
        <v/>
      </c>
      <c r="F53" t="str">
        <f>IF('Obra SG'!F61="","",'Obra SG'!L61)</f>
        <v/>
      </c>
    </row>
    <row r="54" spans="1:6">
      <c r="A54" t="str">
        <f>IF('Obra SG'!F62="","","Obra SG")</f>
        <v/>
      </c>
      <c r="B54" t="str">
        <f>IF('Obra SG'!F62="","",'Obra SG'!F62)</f>
        <v/>
      </c>
      <c r="C54" t="str">
        <f>IF('Obra SG'!F62="","",'Obra SG'!H62)</f>
        <v/>
      </c>
      <c r="D54" t="str">
        <f>IF('Obra SG'!F62="","",'Obra SG'!J62)</f>
        <v/>
      </c>
      <c r="E54" t="str">
        <f>IF('Obra SG'!F62="","",'Obra SG'!K62)</f>
        <v/>
      </c>
      <c r="F54" t="str">
        <f>IF('Obra SG'!F62="","",'Obra SG'!L62)</f>
        <v/>
      </c>
    </row>
    <row r="55" spans="1:6">
      <c r="A55" t="str">
        <f>IF('Obra SG'!F63="","","Obra SG")</f>
        <v/>
      </c>
      <c r="B55" t="str">
        <f>IF('Obra SG'!F63="","",'Obra SG'!F63)</f>
        <v/>
      </c>
      <c r="C55" t="str">
        <f>IF('Obra SG'!F63="","",'Obra SG'!H63)</f>
        <v/>
      </c>
      <c r="D55" t="str">
        <f>IF('Obra SG'!F63="","",'Obra SG'!J63)</f>
        <v/>
      </c>
      <c r="E55" t="str">
        <f>IF('Obra SG'!F63="","",'Obra SG'!K63)</f>
        <v/>
      </c>
      <c r="F55" t="str">
        <f>IF('Obra SG'!F63="","",'Obra SG'!L63)</f>
        <v/>
      </c>
    </row>
    <row r="56" spans="1:6">
      <c r="A56" t="str">
        <f>IF('Obra SG'!F64="","","Obra SG")</f>
        <v/>
      </c>
      <c r="B56" t="str">
        <f>IF('Obra SG'!F64="","",'Obra SG'!F64)</f>
        <v/>
      </c>
      <c r="C56" t="str">
        <f>IF('Obra SG'!F64="","",'Obra SG'!H64)</f>
        <v/>
      </c>
      <c r="D56" t="str">
        <f>IF('Obra SG'!F64="","",'Obra SG'!J64)</f>
        <v/>
      </c>
      <c r="E56" t="str">
        <f>IF('Obra SG'!F64="","",'Obra SG'!K64)</f>
        <v/>
      </c>
      <c r="F56" t="str">
        <f>IF('Obra SG'!F64="","",'Obra SG'!L64)</f>
        <v/>
      </c>
    </row>
    <row r="57" spans="1:6">
      <c r="A57" t="str">
        <f>IF('Obra SG'!F65="","","Obra SG")</f>
        <v/>
      </c>
      <c r="B57" t="str">
        <f>IF('Obra SG'!F65="","",'Obra SG'!F65)</f>
        <v/>
      </c>
      <c r="C57" t="str">
        <f>IF('Obra SG'!F65="","",'Obra SG'!H65)</f>
        <v/>
      </c>
      <c r="D57" t="str">
        <f>IF('Obra SG'!F65="","",'Obra SG'!J65)</f>
        <v/>
      </c>
      <c r="E57" t="str">
        <f>IF('Obra SG'!F65="","",'Obra SG'!K65)</f>
        <v/>
      </c>
      <c r="F57" t="str">
        <f>IF('Obra SG'!F65="","",'Obra SG'!L65)</f>
        <v/>
      </c>
    </row>
    <row r="58" spans="1:6">
      <c r="A58" t="str">
        <f>IF('Obra SG'!F66="","","Obra SG")</f>
        <v/>
      </c>
      <c r="B58" t="str">
        <f>IF('Obra SG'!F66="","",'Obra SG'!F66)</f>
        <v/>
      </c>
      <c r="C58" t="str">
        <f>IF('Obra SG'!F66="","",'Obra SG'!H66)</f>
        <v/>
      </c>
      <c r="D58" t="str">
        <f>IF('Obra SG'!F66="","",'Obra SG'!J66)</f>
        <v/>
      </c>
      <c r="E58" t="str">
        <f>IF('Obra SG'!F66="","",'Obra SG'!K66)</f>
        <v/>
      </c>
      <c r="F58" t="str">
        <f>IF('Obra SG'!F66="","",'Obra SG'!L66)</f>
        <v/>
      </c>
    </row>
    <row r="59" spans="1:6">
      <c r="A59" t="str">
        <f>IF('Obra SG'!F67="","","Obra SG")</f>
        <v/>
      </c>
      <c r="B59" t="str">
        <f>IF('Obra SG'!F67="","",'Obra SG'!F67)</f>
        <v/>
      </c>
      <c r="C59" t="str">
        <f>IF('Obra SG'!F67="","",'Obra SG'!H67)</f>
        <v/>
      </c>
      <c r="D59" t="str">
        <f>IF('Obra SG'!F67="","",'Obra SG'!J67)</f>
        <v/>
      </c>
      <c r="E59" t="str">
        <f>IF('Obra SG'!F67="","",'Obra SG'!K67)</f>
        <v/>
      </c>
      <c r="F59" t="str">
        <f>IF('Obra SG'!F67="","",'Obra SG'!L67)</f>
        <v/>
      </c>
    </row>
    <row r="60" spans="1:6">
      <c r="A60" t="str">
        <f>IF('Obra SG'!F68="","","Obra SG")</f>
        <v/>
      </c>
      <c r="B60" t="str">
        <f>IF('Obra SG'!F68="","",'Obra SG'!F68)</f>
        <v/>
      </c>
      <c r="C60" t="str">
        <f>IF('Obra SG'!F68="","",'Obra SG'!H68)</f>
        <v/>
      </c>
      <c r="D60" t="str">
        <f>IF('Obra SG'!F68="","",'Obra SG'!J68)</f>
        <v/>
      </c>
      <c r="E60" t="str">
        <f>IF('Obra SG'!F68="","",'Obra SG'!K68)</f>
        <v/>
      </c>
      <c r="F60" t="str">
        <f>IF('Obra SG'!F68="","",'Obra SG'!L68)</f>
        <v/>
      </c>
    </row>
    <row r="61" spans="1:6">
      <c r="A61" t="str">
        <f>IF('Obra SG'!F69="","","Obra SG")</f>
        <v/>
      </c>
      <c r="B61" t="str">
        <f>IF('Obra SG'!F69="","",'Obra SG'!F69)</f>
        <v/>
      </c>
      <c r="C61" t="str">
        <f>IF('Obra SG'!F69="","",'Obra SG'!H69)</f>
        <v/>
      </c>
      <c r="D61" t="str">
        <f>IF('Obra SG'!F69="","",'Obra SG'!J69)</f>
        <v/>
      </c>
      <c r="E61" t="str">
        <f>IF('Obra SG'!F69="","",'Obra SG'!K69)</f>
        <v/>
      </c>
      <c r="F61" t="str">
        <f>IF('Obra SG'!F69="","",'Obra SG'!L69)</f>
        <v/>
      </c>
    </row>
    <row r="62" spans="1:6">
      <c r="A62" t="str">
        <f>IF('Obra SG'!F70="","","Obra SG")</f>
        <v/>
      </c>
      <c r="B62" t="str">
        <f>IF('Obra SG'!F70="","",'Obra SG'!F70)</f>
        <v/>
      </c>
      <c r="C62" t="str">
        <f>IF('Obra SG'!F70="","",'Obra SG'!H70)</f>
        <v/>
      </c>
      <c r="D62" t="str">
        <f>IF('Obra SG'!F70="","",'Obra SG'!J70)</f>
        <v/>
      </c>
      <c r="E62" t="str">
        <f>IF('Obra SG'!F70="","",'Obra SG'!K70)</f>
        <v/>
      </c>
      <c r="F62" t="str">
        <f>IF('Obra SG'!F70="","",'Obra SG'!L70)</f>
        <v/>
      </c>
    </row>
    <row r="63" spans="1:6">
      <c r="A63" t="str">
        <f>IF('Obra HR'!G10="","","Obra HR")</f>
        <v/>
      </c>
      <c r="B63" t="str">
        <f>IF('Obra HR'!G10="","",'Obra HR'!G10)</f>
        <v/>
      </c>
      <c r="C63" t="str">
        <f>IF('Obra HR'!G10="","",'Obra HR'!I10)</f>
        <v/>
      </c>
      <c r="D63" t="str">
        <f>IF('Obra HR'!G10="","",'Obra HR'!L10)</f>
        <v/>
      </c>
      <c r="E63" t="str">
        <f>IF('Obra HR'!G10="","",'Obra HR'!M10)</f>
        <v/>
      </c>
      <c r="F63" t="str">
        <f>IF('Obra HR'!G10="","",'Obra HR'!N10)</f>
        <v/>
      </c>
    </row>
    <row r="64" spans="1:6">
      <c r="A64" t="str">
        <f>IF('Obra HR'!G11="","","Obra HR")</f>
        <v/>
      </c>
      <c r="B64" t="str">
        <f>IF('Obra HR'!G11="","",'Obra HR'!G11)</f>
        <v/>
      </c>
      <c r="C64" t="str">
        <f>IF('Obra HR'!G11="","",'Obra HR'!I11)</f>
        <v/>
      </c>
      <c r="D64" t="str">
        <f>IF('Obra HR'!G11="","",'Obra HR'!L11)</f>
        <v/>
      </c>
      <c r="E64" t="str">
        <f>IF('Obra HR'!G11="","",'Obra HR'!M11)</f>
        <v/>
      </c>
      <c r="F64" t="str">
        <f>IF('Obra HR'!G11="","",'Obra HR'!N11)</f>
        <v/>
      </c>
    </row>
    <row r="65" spans="1:6">
      <c r="A65" t="str">
        <f>IF('Obra HR'!G12="","","Obra HR")</f>
        <v/>
      </c>
      <c r="B65" t="str">
        <f>IF('Obra HR'!G12="","",'Obra HR'!G12)</f>
        <v/>
      </c>
      <c r="C65" t="str">
        <f>IF('Obra HR'!G12="","",'Obra HR'!I12)</f>
        <v/>
      </c>
      <c r="D65" t="str">
        <f>IF('Obra HR'!G12="","",'Obra HR'!L12)</f>
        <v/>
      </c>
      <c r="E65" t="str">
        <f>IF('Obra HR'!G12="","",'Obra HR'!M12)</f>
        <v/>
      </c>
      <c r="F65" t="str">
        <f>IF('Obra HR'!G12="","",'Obra HR'!N12)</f>
        <v/>
      </c>
    </row>
    <row r="66" spans="1:6">
      <c r="A66" t="str">
        <f>IF('Obra HR'!G13="","","Obra HR")</f>
        <v/>
      </c>
      <c r="B66" t="str">
        <f>IF('Obra HR'!G13="","",'Obra HR'!G13)</f>
        <v/>
      </c>
      <c r="C66" t="str">
        <f>IF('Obra HR'!G13="","",'Obra HR'!I13)</f>
        <v/>
      </c>
      <c r="D66" t="str">
        <f>IF('Obra HR'!G13="","",'Obra HR'!L13)</f>
        <v/>
      </c>
      <c r="E66" t="str">
        <f>IF('Obra HR'!G13="","",'Obra HR'!M13)</f>
        <v/>
      </c>
      <c r="F66" t="str">
        <f>IF('Obra HR'!G13="","",'Obra HR'!N13)</f>
        <v/>
      </c>
    </row>
    <row r="67" spans="1:6">
      <c r="A67" t="str">
        <f>IF('Obra HR'!G14="","","Obra HR")</f>
        <v/>
      </c>
      <c r="B67" t="str">
        <f>IF('Obra HR'!G14="","",'Obra HR'!G14)</f>
        <v/>
      </c>
      <c r="C67" t="str">
        <f>IF('Obra HR'!G14="","",'Obra HR'!I14)</f>
        <v/>
      </c>
      <c r="D67" t="str">
        <f>IF('Obra HR'!G14="","",'Obra HR'!L14)</f>
        <v/>
      </c>
      <c r="E67" t="str">
        <f>IF('Obra HR'!G14="","",'Obra HR'!M14)</f>
        <v/>
      </c>
      <c r="F67" t="str">
        <f>IF('Obra HR'!G14="","",'Obra HR'!N14)</f>
        <v/>
      </c>
    </row>
    <row r="68" spans="1:6">
      <c r="A68" t="str">
        <f>IF('Obra HR'!G15="","","Obra HR")</f>
        <v/>
      </c>
      <c r="B68" t="str">
        <f>IF('Obra HR'!G15="","",'Obra HR'!G15)</f>
        <v/>
      </c>
      <c r="C68" t="str">
        <f>IF('Obra HR'!G15="","",'Obra HR'!I15)</f>
        <v/>
      </c>
      <c r="D68" t="str">
        <f>IF('Obra HR'!G15="","",'Obra HR'!L15)</f>
        <v/>
      </c>
      <c r="E68" t="str">
        <f>IF('Obra HR'!G15="","",'Obra HR'!M15)</f>
        <v/>
      </c>
      <c r="F68" t="str">
        <f>IF('Obra HR'!G15="","",'Obra HR'!N15)</f>
        <v/>
      </c>
    </row>
    <row r="69" spans="1:6">
      <c r="A69" t="str">
        <f>IF('Obra HR'!G16="","","Obra HR")</f>
        <v/>
      </c>
      <c r="B69" t="str">
        <f>IF('Obra HR'!G16="","",'Obra HR'!G16)</f>
        <v/>
      </c>
      <c r="C69" t="str">
        <f>IF('Obra HR'!G16="","",'Obra HR'!I16)</f>
        <v/>
      </c>
      <c r="D69" t="str">
        <f>IF('Obra HR'!G16="","",'Obra HR'!L16)</f>
        <v/>
      </c>
      <c r="E69" t="str">
        <f>IF('Obra HR'!G16="","",'Obra HR'!M16)</f>
        <v/>
      </c>
      <c r="F69" t="str">
        <f>IF('Obra HR'!G16="","",'Obra HR'!N16)</f>
        <v/>
      </c>
    </row>
    <row r="70" spans="1:6">
      <c r="A70" t="str">
        <f>IF('Obra HR'!G17="","","Obra HR")</f>
        <v/>
      </c>
      <c r="B70" t="str">
        <f>IF('Obra HR'!G17="","",'Obra HR'!G17)</f>
        <v/>
      </c>
      <c r="C70" t="str">
        <f>IF('Obra HR'!G17="","",'Obra HR'!I17)</f>
        <v/>
      </c>
      <c r="D70" t="str">
        <f>IF('Obra HR'!G17="","",'Obra HR'!L17)</f>
        <v/>
      </c>
      <c r="E70" t="str">
        <f>IF('Obra HR'!G17="","",'Obra HR'!M17)</f>
        <v/>
      </c>
      <c r="F70" t="str">
        <f>IF('Obra HR'!G17="","",'Obra HR'!N17)</f>
        <v/>
      </c>
    </row>
    <row r="71" spans="1:6">
      <c r="A71" t="str">
        <f>IF('Obra HR'!G18="","","Obra HR")</f>
        <v/>
      </c>
      <c r="B71" t="str">
        <f>IF('Obra HR'!G18="","",'Obra HR'!G18)</f>
        <v/>
      </c>
      <c r="C71" t="str">
        <f>IF('Obra HR'!G18="","",'Obra HR'!I18)</f>
        <v/>
      </c>
      <c r="D71" t="str">
        <f>IF('Obra HR'!G18="","",'Obra HR'!L18)</f>
        <v/>
      </c>
      <c r="E71" t="str">
        <f>IF('Obra HR'!G18="","",'Obra HR'!M18)</f>
        <v/>
      </c>
      <c r="F71" t="str">
        <f>IF('Obra HR'!G18="","",'Obra HR'!N18)</f>
        <v/>
      </c>
    </row>
    <row r="72" spans="1:6">
      <c r="A72" t="str">
        <f>IF('Obra HR'!G19="","","Obra HR")</f>
        <v/>
      </c>
      <c r="B72" t="str">
        <f>IF('Obra HR'!G19="","",'Obra HR'!G19)</f>
        <v/>
      </c>
      <c r="C72" t="str">
        <f>IF('Obra HR'!G19="","",'Obra HR'!I19)</f>
        <v/>
      </c>
      <c r="D72" t="str">
        <f>IF('Obra HR'!G19="","",'Obra HR'!L19)</f>
        <v/>
      </c>
      <c r="E72" t="str">
        <f>IF('Obra HR'!G19="","",'Obra HR'!M19)</f>
        <v/>
      </c>
      <c r="F72" t="str">
        <f>IF('Obra HR'!G19="","",'Obra HR'!N19)</f>
        <v/>
      </c>
    </row>
    <row r="73" spans="1:6">
      <c r="A73" t="str">
        <f>IF('Obra HR'!G20="","","Obra HR")</f>
        <v/>
      </c>
      <c r="B73" t="str">
        <f>IF('Obra HR'!G20="","",'Obra HR'!G20)</f>
        <v/>
      </c>
      <c r="C73" t="str">
        <f>IF('Obra HR'!G20="","",'Obra HR'!I20)</f>
        <v/>
      </c>
      <c r="D73" t="str">
        <f>IF('Obra HR'!G20="","",'Obra HR'!L20)</f>
        <v/>
      </c>
      <c r="E73" t="str">
        <f>IF('Obra HR'!G20="","",'Obra HR'!M20)</f>
        <v/>
      </c>
      <c r="F73" t="str">
        <f>IF('Obra HR'!G20="","",'Obra HR'!N20)</f>
        <v/>
      </c>
    </row>
    <row r="74" spans="1:6">
      <c r="A74" t="str">
        <f>IF('Obra HR'!G21="","","Obra HR")</f>
        <v/>
      </c>
      <c r="B74" t="str">
        <f>IF('Obra HR'!G21="","",'Obra HR'!G21)</f>
        <v/>
      </c>
      <c r="C74" t="str">
        <f>IF('Obra HR'!G21="","",'Obra HR'!I21)</f>
        <v/>
      </c>
      <c r="D74" t="str">
        <f>IF('Obra HR'!G21="","",'Obra HR'!L21)</f>
        <v/>
      </c>
      <c r="E74" t="str">
        <f>IF('Obra HR'!G21="","",'Obra HR'!M21)</f>
        <v/>
      </c>
      <c r="F74" t="str">
        <f>IF('Obra HR'!G21="","",'Obra HR'!N21)</f>
        <v/>
      </c>
    </row>
    <row r="75" spans="1:6">
      <c r="A75" t="str">
        <f>IF('Obra HR'!G22="","","Obra HR")</f>
        <v/>
      </c>
      <c r="B75" t="str">
        <f>IF('Obra HR'!G22="","",'Obra HR'!G22)</f>
        <v/>
      </c>
      <c r="C75" t="str">
        <f>IF('Obra HR'!G22="","",'Obra HR'!I22)</f>
        <v/>
      </c>
      <c r="D75" t="str">
        <f>IF('Obra HR'!G22="","",'Obra HR'!L22)</f>
        <v/>
      </c>
      <c r="E75" t="str">
        <f>IF('Obra HR'!G22="","",'Obra HR'!M22)</f>
        <v/>
      </c>
      <c r="F75" t="str">
        <f>IF('Obra HR'!G22="","",'Obra HR'!N22)</f>
        <v/>
      </c>
    </row>
    <row r="76" spans="1:6">
      <c r="A76" t="str">
        <f>IF('Obra HR'!G23="","","Obra HR")</f>
        <v/>
      </c>
      <c r="B76" t="str">
        <f>IF('Obra HR'!G23="","",'Obra HR'!G23)</f>
        <v/>
      </c>
      <c r="C76" t="str">
        <f>IF('Obra HR'!G23="","",'Obra HR'!I23)</f>
        <v/>
      </c>
      <c r="D76" t="str">
        <f>IF('Obra HR'!G23="","",'Obra HR'!L23)</f>
        <v/>
      </c>
      <c r="E76" t="str">
        <f>IF('Obra HR'!G23="","",'Obra HR'!M23)</f>
        <v/>
      </c>
      <c r="F76" t="str">
        <f>IF('Obra HR'!G23="","",'Obra HR'!N23)</f>
        <v/>
      </c>
    </row>
    <row r="77" spans="1:6">
      <c r="A77" t="str">
        <f>IF('Obra HR'!G24="","","Obra HR")</f>
        <v/>
      </c>
      <c r="B77" t="str">
        <f>IF('Obra HR'!G24="","",'Obra HR'!G24)</f>
        <v/>
      </c>
      <c r="C77" t="str">
        <f>IF('Obra HR'!G24="","",'Obra HR'!I24)</f>
        <v/>
      </c>
      <c r="D77" t="str">
        <f>IF('Obra HR'!G24="","",'Obra HR'!L24)</f>
        <v/>
      </c>
      <c r="E77" t="str">
        <f>IF('Obra HR'!G24="","",'Obra HR'!M24)</f>
        <v/>
      </c>
      <c r="F77" t="str">
        <f>IF('Obra HR'!G24="","",'Obra HR'!N24)</f>
        <v/>
      </c>
    </row>
    <row r="78" spans="1:6">
      <c r="A78" t="str">
        <f>IF('Obra HR'!G25="","","Obra HR")</f>
        <v/>
      </c>
      <c r="B78" t="str">
        <f>IF('Obra HR'!G25="","",'Obra HR'!G25)</f>
        <v/>
      </c>
      <c r="C78" t="str">
        <f>IF('Obra HR'!G25="","",'Obra HR'!I25)</f>
        <v/>
      </c>
      <c r="D78" t="str">
        <f>IF('Obra HR'!G25="","",'Obra HR'!L25)</f>
        <v/>
      </c>
      <c r="E78" t="str">
        <f>IF('Obra HR'!G25="","",'Obra HR'!M25)</f>
        <v/>
      </c>
      <c r="F78" t="str">
        <f>IF('Obra HR'!G25="","",'Obra HR'!N25)</f>
        <v/>
      </c>
    </row>
    <row r="79" spans="1:6">
      <c r="A79" t="str">
        <f>IF('Obra HR'!G26="","","Obra HR")</f>
        <v/>
      </c>
      <c r="B79" t="str">
        <f>IF('Obra HR'!G26="","",'Obra HR'!G26)</f>
        <v/>
      </c>
      <c r="C79" t="str">
        <f>IF('Obra HR'!G26="","",'Obra HR'!I26)</f>
        <v/>
      </c>
      <c r="D79" t="str">
        <f>IF('Obra HR'!G26="","",'Obra HR'!L26)</f>
        <v/>
      </c>
      <c r="E79" t="str">
        <f>IF('Obra HR'!G26="","",'Obra HR'!M26)</f>
        <v/>
      </c>
      <c r="F79" t="str">
        <f>IF('Obra HR'!G26="","",'Obra HR'!N26)</f>
        <v/>
      </c>
    </row>
    <row r="80" spans="1:6">
      <c r="A80" t="str">
        <f>IF('Obra HR'!G27="","","Obra HR")</f>
        <v/>
      </c>
      <c r="B80" t="str">
        <f>IF('Obra HR'!G27="","",'Obra HR'!G27)</f>
        <v/>
      </c>
      <c r="C80" t="str">
        <f>IF('Obra HR'!G27="","",'Obra HR'!I27)</f>
        <v/>
      </c>
      <c r="D80" t="str">
        <f>IF('Obra HR'!G27="","",'Obra HR'!L27)</f>
        <v/>
      </c>
      <c r="E80" t="str">
        <f>IF('Obra HR'!G27="","",'Obra HR'!M27)</f>
        <v/>
      </c>
      <c r="F80" t="str">
        <f>IF('Obra HR'!G27="","",'Obra HR'!N27)</f>
        <v/>
      </c>
    </row>
    <row r="81" spans="1:6">
      <c r="A81" t="str">
        <f>IF('Obra HR'!G28="","","Obra HR")</f>
        <v/>
      </c>
      <c r="B81" t="str">
        <f>IF('Obra HR'!G28="","",'Obra HR'!G28)</f>
        <v/>
      </c>
      <c r="C81" t="str">
        <f>IF('Obra HR'!G28="","",'Obra HR'!I28)</f>
        <v/>
      </c>
      <c r="D81" t="str">
        <f>IF('Obra HR'!G28="","",'Obra HR'!L28)</f>
        <v/>
      </c>
      <c r="E81" t="str">
        <f>IF('Obra HR'!G28="","",'Obra HR'!M28)</f>
        <v/>
      </c>
      <c r="F81" t="str">
        <f>IF('Obra HR'!G28="","",'Obra HR'!N28)</f>
        <v/>
      </c>
    </row>
    <row r="82" spans="1:6">
      <c r="A82" t="str">
        <f>IF('Obra HR'!G29="","","Obra HR")</f>
        <v/>
      </c>
      <c r="B82" t="str">
        <f>IF('Obra HR'!G29="","",'Obra HR'!G29)</f>
        <v/>
      </c>
      <c r="C82" t="str">
        <f>IF('Obra HR'!G29="","",'Obra HR'!I29)</f>
        <v/>
      </c>
      <c r="D82" t="str">
        <f>IF('Obra HR'!G29="","",'Obra HR'!L29)</f>
        <v/>
      </c>
      <c r="E82" t="str">
        <f>IF('Obra HR'!G29="","",'Obra HR'!M29)</f>
        <v/>
      </c>
      <c r="F82" t="str">
        <f>IF('Obra HR'!G29="","",'Obra HR'!N29)</f>
        <v/>
      </c>
    </row>
    <row r="83" spans="1:6">
      <c r="A83" t="str">
        <f>IF('Obra HR'!G30="","","Obra HR")</f>
        <v/>
      </c>
      <c r="B83" t="str">
        <f>IF('Obra HR'!G30="","",'Obra HR'!G30)</f>
        <v/>
      </c>
      <c r="C83" t="str">
        <f>IF('Obra HR'!G30="","",'Obra HR'!I30)</f>
        <v/>
      </c>
      <c r="D83" t="str">
        <f>IF('Obra HR'!G30="","",'Obra HR'!L30)</f>
        <v/>
      </c>
      <c r="E83" t="str">
        <f>IF('Obra HR'!G30="","",'Obra HR'!M30)</f>
        <v/>
      </c>
      <c r="F83" t="str">
        <f>IF('Obra HR'!G30="","",'Obra HR'!N30)</f>
        <v/>
      </c>
    </row>
    <row r="84" spans="1:6">
      <c r="A84" t="str">
        <f>IF('Obra HR'!G31="","","Obra HR")</f>
        <v/>
      </c>
      <c r="B84" t="str">
        <f>IF('Obra HR'!G31="","",'Obra HR'!G31)</f>
        <v/>
      </c>
      <c r="C84" t="str">
        <f>IF('Obra HR'!G31="","",'Obra HR'!I31)</f>
        <v/>
      </c>
      <c r="D84" t="str">
        <f>IF('Obra HR'!G31="","",'Obra HR'!L31)</f>
        <v/>
      </c>
      <c r="E84" t="str">
        <f>IF('Obra HR'!G31="","",'Obra HR'!M31)</f>
        <v/>
      </c>
      <c r="F84" t="str">
        <f>IF('Obra HR'!G31="","",'Obra HR'!N31)</f>
        <v/>
      </c>
    </row>
    <row r="85" spans="1:6">
      <c r="A85" t="str">
        <f>IF('Obra HR'!G32="","","Obra HR")</f>
        <v/>
      </c>
      <c r="B85" t="str">
        <f>IF('Obra HR'!G32="","",'Obra HR'!G32)</f>
        <v/>
      </c>
      <c r="C85" t="str">
        <f>IF('Obra HR'!G32="","",'Obra HR'!I32)</f>
        <v/>
      </c>
      <c r="D85" t="str">
        <f>IF('Obra HR'!G32="","",'Obra HR'!L32)</f>
        <v/>
      </c>
      <c r="E85" t="str">
        <f>IF('Obra HR'!G32="","",'Obra HR'!M32)</f>
        <v/>
      </c>
      <c r="F85" t="str">
        <f>IF('Obra HR'!G32="","",'Obra HR'!N32)</f>
        <v/>
      </c>
    </row>
    <row r="86" spans="1:6">
      <c r="A86" t="str">
        <f>IF('Obra HR'!G33="","","Obra HR")</f>
        <v/>
      </c>
      <c r="B86" t="str">
        <f>IF('Obra HR'!G33="","",'Obra HR'!G33)</f>
        <v/>
      </c>
      <c r="C86" t="str">
        <f>IF('Obra HR'!G33="","",'Obra HR'!I33)</f>
        <v/>
      </c>
      <c r="D86" t="str">
        <f>IF('Obra HR'!G33="","",'Obra HR'!L33)</f>
        <v/>
      </c>
      <c r="E86" t="str">
        <f>IF('Obra HR'!G33="","",'Obra HR'!M33)</f>
        <v/>
      </c>
      <c r="F86" t="str">
        <f>IF('Obra HR'!G33="","",'Obra HR'!N33)</f>
        <v/>
      </c>
    </row>
    <row r="87" spans="1:6">
      <c r="A87" t="str">
        <f>IF('Obra HR'!G34="","","Obra HR")</f>
        <v/>
      </c>
      <c r="B87" t="str">
        <f>IF('Obra HR'!G34="","",'Obra HR'!G34)</f>
        <v/>
      </c>
      <c r="C87" t="str">
        <f>IF('Obra HR'!G34="","",'Obra HR'!I34)</f>
        <v/>
      </c>
      <c r="D87" t="str">
        <f>IF('Obra HR'!G34="","",'Obra HR'!L34)</f>
        <v/>
      </c>
      <c r="E87" t="str">
        <f>IF('Obra HR'!G34="","",'Obra HR'!M34)</f>
        <v/>
      </c>
      <c r="F87" t="str">
        <f>IF('Obra HR'!G34="","",'Obra HR'!N34)</f>
        <v/>
      </c>
    </row>
    <row r="88" spans="1:6">
      <c r="A88" t="str">
        <f>IF('Obra HR'!G35="","","Obra HR")</f>
        <v/>
      </c>
      <c r="B88" t="str">
        <f>IF('Obra HR'!G35="","",'Obra HR'!G35)</f>
        <v/>
      </c>
      <c r="C88" t="str">
        <f>IF('Obra HR'!G35="","",'Obra HR'!I35)</f>
        <v/>
      </c>
      <c r="D88" t="str">
        <f>IF('Obra HR'!G35="","",'Obra HR'!L35)</f>
        <v/>
      </c>
      <c r="E88" t="str">
        <f>IF('Obra HR'!G35="","",'Obra HR'!M35)</f>
        <v/>
      </c>
      <c r="F88" t="str">
        <f>IF('Obra HR'!G35="","",'Obra HR'!N35)</f>
        <v/>
      </c>
    </row>
    <row r="89" spans="1:6">
      <c r="A89" t="str">
        <f>IF('Obra HR'!G36="","","Obra HR")</f>
        <v/>
      </c>
      <c r="B89" t="str">
        <f>IF('Obra HR'!G36="","",'Obra HR'!G36)</f>
        <v/>
      </c>
      <c r="C89" t="str">
        <f>IF('Obra HR'!G36="","",'Obra HR'!I36)</f>
        <v/>
      </c>
      <c r="D89" t="str">
        <f>IF('Obra HR'!G36="","",'Obra HR'!L36)</f>
        <v/>
      </c>
      <c r="E89" t="str">
        <f>IF('Obra HR'!G36="","",'Obra HR'!M36)</f>
        <v/>
      </c>
      <c r="F89" t="str">
        <f>IF('Obra HR'!G36="","",'Obra HR'!N36)</f>
        <v/>
      </c>
    </row>
    <row r="90" spans="1:6">
      <c r="A90" t="str">
        <f>IF('Obra HR'!G37="","","Obra HR")</f>
        <v/>
      </c>
      <c r="B90" t="str">
        <f>IF('Obra HR'!G37="","",'Obra HR'!G37)</f>
        <v/>
      </c>
      <c r="C90" t="str">
        <f>IF('Obra HR'!G37="","",'Obra HR'!I37)</f>
        <v/>
      </c>
      <c r="D90" t="str">
        <f>IF('Obra HR'!G37="","",'Obra HR'!L37)</f>
        <v/>
      </c>
      <c r="E90" t="str">
        <f>IF('Obra HR'!G37="","",'Obra HR'!M37)</f>
        <v/>
      </c>
      <c r="F90" t="str">
        <f>IF('Obra HR'!G37="","",'Obra HR'!N37)</f>
        <v/>
      </c>
    </row>
    <row r="91" spans="1:6">
      <c r="A91" t="str">
        <f>IF('Obra HR'!G38="","","Obra HR")</f>
        <v/>
      </c>
      <c r="B91" t="str">
        <f>IF('Obra HR'!G38="","",'Obra HR'!G38)</f>
        <v/>
      </c>
      <c r="C91" t="str">
        <f>IF('Obra HR'!G38="","",'Obra HR'!I38)</f>
        <v/>
      </c>
      <c r="D91" t="str">
        <f>IF('Obra HR'!G38="","",'Obra HR'!L38)</f>
        <v/>
      </c>
      <c r="E91" t="str">
        <f>IF('Obra HR'!G38="","",'Obra HR'!M38)</f>
        <v/>
      </c>
      <c r="F91" t="str">
        <f>IF('Obra HR'!G38="","",'Obra HR'!N38)</f>
        <v/>
      </c>
    </row>
    <row r="92" spans="1:6">
      <c r="A92" t="str">
        <f>IF('Obra HR'!G39="","","Obra HR")</f>
        <v/>
      </c>
      <c r="B92" t="str">
        <f>IF('Obra HR'!G39="","",'Obra HR'!G39)</f>
        <v/>
      </c>
      <c r="C92" t="str">
        <f>IF('Obra HR'!G39="","",'Obra HR'!I39)</f>
        <v/>
      </c>
      <c r="D92" t="str">
        <f>IF('Obra HR'!G39="","",'Obra HR'!L39)</f>
        <v/>
      </c>
      <c r="E92" t="str">
        <f>IF('Obra HR'!G39="","",'Obra HR'!M39)</f>
        <v/>
      </c>
      <c r="F92" t="str">
        <f>IF('Obra HR'!G39="","",'Obra HR'!N39)</f>
        <v/>
      </c>
    </row>
    <row r="93" spans="1:6">
      <c r="A93" t="str">
        <f>IF('Obra HR'!G40="","","Obra HR")</f>
        <v/>
      </c>
      <c r="B93" t="str">
        <f>IF('Obra HR'!G40="","",'Obra HR'!G40)</f>
        <v/>
      </c>
      <c r="C93" t="str">
        <f>IF('Obra HR'!G40="","",'Obra HR'!I40)</f>
        <v/>
      </c>
      <c r="D93" t="str">
        <f>IF('Obra HR'!G40="","",'Obra HR'!L40)</f>
        <v/>
      </c>
      <c r="E93" t="str">
        <f>IF('Obra HR'!G40="","",'Obra HR'!M40)</f>
        <v/>
      </c>
      <c r="F93" t="str">
        <f>IF('Obra HR'!G40="","",'Obra HR'!N40)</f>
        <v/>
      </c>
    </row>
    <row r="94" spans="1:6">
      <c r="A94" t="str">
        <f>IF('Obra HR'!G41="","","Obra HR")</f>
        <v/>
      </c>
      <c r="B94" t="str">
        <f>IF('Obra HR'!G41="","",'Obra HR'!G41)</f>
        <v/>
      </c>
      <c r="C94" t="str">
        <f>IF('Obra HR'!G41="","",'Obra HR'!I41)</f>
        <v/>
      </c>
      <c r="D94" t="str">
        <f>IF('Obra HR'!G41="","",'Obra HR'!L41)</f>
        <v/>
      </c>
      <c r="E94" t="str">
        <f>IF('Obra HR'!G41="","",'Obra HR'!M41)</f>
        <v/>
      </c>
      <c r="F94" t="str">
        <f>IF('Obra HR'!G41="","",'Obra HR'!N41)</f>
        <v/>
      </c>
    </row>
    <row r="95" spans="1:6">
      <c r="A95" t="str">
        <f>IF('Obra HR'!G42="","","Obra HR")</f>
        <v/>
      </c>
      <c r="B95" t="str">
        <f>IF('Obra HR'!G42="","",'Obra HR'!G42)</f>
        <v/>
      </c>
      <c r="C95" t="str">
        <f>IF('Obra HR'!G42="","",'Obra HR'!I42)</f>
        <v/>
      </c>
      <c r="D95" t="str">
        <f>IF('Obra HR'!G42="","",'Obra HR'!L42)</f>
        <v/>
      </c>
      <c r="E95" t="str">
        <f>IF('Obra HR'!G42="","",'Obra HR'!M42)</f>
        <v/>
      </c>
      <c r="F95" t="str">
        <f>IF('Obra HR'!G42="","",'Obra HR'!N42)</f>
        <v/>
      </c>
    </row>
    <row r="96" spans="1:6">
      <c r="A96" t="str">
        <f>IF('Obra HR'!G43="","","Obra HR")</f>
        <v/>
      </c>
      <c r="B96" t="str">
        <f>IF('Obra HR'!G43="","",'Obra HR'!G43)</f>
        <v/>
      </c>
      <c r="C96" t="str">
        <f>IF('Obra HR'!G43="","",'Obra HR'!I43)</f>
        <v/>
      </c>
      <c r="D96" t="str">
        <f>IF('Obra HR'!G43="","",'Obra HR'!L43)</f>
        <v/>
      </c>
      <c r="E96" t="str">
        <f>IF('Obra HR'!G43="","",'Obra HR'!M43)</f>
        <v/>
      </c>
      <c r="F96" t="str">
        <f>IF('Obra HR'!G43="","",'Obra HR'!N43)</f>
        <v/>
      </c>
    </row>
    <row r="97" spans="1:6">
      <c r="A97" t="str">
        <f>IF('Obra HR'!G44="","","Obra HR")</f>
        <v/>
      </c>
      <c r="B97" t="str">
        <f>IF('Obra HR'!G44="","",'Obra HR'!G44)</f>
        <v/>
      </c>
      <c r="C97" t="str">
        <f>IF('Obra HR'!G44="","",'Obra HR'!I44)</f>
        <v/>
      </c>
      <c r="D97" t="str">
        <f>IF('Obra HR'!G44="","",'Obra HR'!L44)</f>
        <v/>
      </c>
      <c r="E97" t="str">
        <f>IF('Obra HR'!G44="","",'Obra HR'!M44)</f>
        <v/>
      </c>
      <c r="F97" t="str">
        <f>IF('Obra HR'!G44="","",'Obra HR'!N44)</f>
        <v/>
      </c>
    </row>
    <row r="98" spans="1:6">
      <c r="A98" t="str">
        <f>IF('Obra HR'!G45="","","Obra HR")</f>
        <v/>
      </c>
      <c r="B98" t="str">
        <f>IF('Obra HR'!G45="","",'Obra HR'!G45)</f>
        <v/>
      </c>
      <c r="C98" t="str">
        <f>IF('Obra HR'!G45="","",'Obra HR'!I45)</f>
        <v/>
      </c>
      <c r="D98" t="str">
        <f>IF('Obra HR'!G45="","",'Obra HR'!L45)</f>
        <v/>
      </c>
      <c r="E98" t="str">
        <f>IF('Obra HR'!G45="","",'Obra HR'!M45)</f>
        <v/>
      </c>
      <c r="F98" t="str">
        <f>IF('Obra HR'!G45="","",'Obra HR'!N45)</f>
        <v/>
      </c>
    </row>
    <row r="99" spans="1:6">
      <c r="A99" t="str">
        <f>IF('Obra HR'!G46="","","Obra HR")</f>
        <v/>
      </c>
      <c r="B99" t="str">
        <f>IF('Obra HR'!G46="","",'Obra HR'!G46)</f>
        <v/>
      </c>
      <c r="C99" t="str">
        <f>IF('Obra HR'!G46="","",'Obra HR'!I46)</f>
        <v/>
      </c>
      <c r="D99" t="str">
        <f>IF('Obra HR'!G46="","",'Obra HR'!L46)</f>
        <v/>
      </c>
      <c r="E99" t="str">
        <f>IF('Obra HR'!G46="","",'Obra HR'!M46)</f>
        <v/>
      </c>
      <c r="F99" t="str">
        <f>IF('Obra HR'!G46="","",'Obra HR'!N46)</f>
        <v/>
      </c>
    </row>
    <row r="100" spans="1:6">
      <c r="A100" t="str">
        <f>IF('Obra HR'!G47="","","Obra HR")</f>
        <v/>
      </c>
      <c r="B100" t="str">
        <f>IF('Obra HR'!G47="","",'Obra HR'!G47)</f>
        <v/>
      </c>
      <c r="C100" t="str">
        <f>IF('Obra HR'!G47="","",'Obra HR'!I47)</f>
        <v/>
      </c>
      <c r="D100" t="str">
        <f>IF('Obra HR'!G47="","",'Obra HR'!L47)</f>
        <v/>
      </c>
      <c r="E100" t="str">
        <f>IF('Obra HR'!G47="","",'Obra HR'!M47)</f>
        <v/>
      </c>
      <c r="F100" t="str">
        <f>IF('Obra HR'!G47="","",'Obra HR'!N47)</f>
        <v/>
      </c>
    </row>
    <row r="101" spans="1:6">
      <c r="A101" t="str">
        <f>IF('Obra HR'!G48="","","Obra HR")</f>
        <v/>
      </c>
      <c r="B101" t="str">
        <f>IF('Obra HR'!G48="","",'Obra HR'!G48)</f>
        <v/>
      </c>
      <c r="C101" t="str">
        <f>IF('Obra HR'!G48="","",'Obra HR'!I48)</f>
        <v/>
      </c>
      <c r="D101" t="str">
        <f>IF('Obra HR'!G48="","",'Obra HR'!L48)</f>
        <v/>
      </c>
      <c r="E101" t="str">
        <f>IF('Obra HR'!G48="","",'Obra HR'!M48)</f>
        <v/>
      </c>
      <c r="F101" t="str">
        <f>IF('Obra HR'!G48="","",'Obra HR'!N48)</f>
        <v/>
      </c>
    </row>
    <row r="102" spans="1:6">
      <c r="A102" t="str">
        <f>IF('Obra HR'!G49="","","Obra HR")</f>
        <v/>
      </c>
      <c r="B102" t="str">
        <f>IF('Obra HR'!G49="","",'Obra HR'!G49)</f>
        <v/>
      </c>
      <c r="C102" t="str">
        <f>IF('Obra HR'!G49="","",'Obra HR'!I49)</f>
        <v/>
      </c>
      <c r="D102" t="str">
        <f>IF('Obra HR'!G49="","",'Obra HR'!L49)</f>
        <v/>
      </c>
      <c r="E102" t="str">
        <f>IF('Obra HR'!G49="","",'Obra HR'!M49)</f>
        <v/>
      </c>
      <c r="F102" t="str">
        <f>IF('Obra HR'!G49="","",'Obra HR'!N49)</f>
        <v/>
      </c>
    </row>
    <row r="103" spans="1:6">
      <c r="A103" t="str">
        <f>IF('Obra HR'!G50="","","Obra HR")</f>
        <v/>
      </c>
      <c r="B103" t="str">
        <f>IF('Obra HR'!G50="","",'Obra HR'!G50)</f>
        <v/>
      </c>
      <c r="C103" t="str">
        <f>IF('Obra HR'!G50="","",'Obra HR'!I50)</f>
        <v/>
      </c>
      <c r="D103" t="str">
        <f>IF('Obra HR'!G50="","",'Obra HR'!K50)</f>
        <v/>
      </c>
      <c r="E103" t="str">
        <f>IF('Obra HR'!G50="","",'Obra HR'!L50)</f>
        <v/>
      </c>
      <c r="F103" t="str">
        <f>IF('Obra HR'!G50="","",'Obra HR'!M50)</f>
        <v/>
      </c>
    </row>
    <row r="104" spans="1:6">
      <c r="A104" t="str">
        <f>IF('Obra HR'!G51="","","Obra HR")</f>
        <v>Obra HR</v>
      </c>
      <c r="B104" t="str">
        <f>IF('Obra HR'!G51="","",'Obra HR'!G51)</f>
        <v>TOTAL</v>
      </c>
      <c r="C104">
        <f>IF('Obra HR'!G51="","",'Obra HR'!I51)</f>
        <v>0</v>
      </c>
      <c r="D104">
        <f>IF('Obra HR'!G51="","",'Obra HR'!K51)</f>
        <v>0</v>
      </c>
      <c r="E104">
        <f>IF('Obra HR'!G51="","",'Obra HR'!L51)</f>
        <v>0</v>
      </c>
      <c r="F104">
        <f>IF('Obra HR'!G51="","",'Obra HR'!M51)</f>
        <v>0</v>
      </c>
    </row>
    <row r="105" spans="1:6">
      <c r="A105" t="str">
        <f>IF('Obra HR'!G52="","","Obra HR")</f>
        <v/>
      </c>
      <c r="B105" t="str">
        <f>IF('Obra HR'!G52="","",'Obra HR'!G52)</f>
        <v/>
      </c>
      <c r="C105" t="str">
        <f>IF('Obra HR'!G52="","",'Obra HR'!I52)</f>
        <v/>
      </c>
      <c r="D105" t="str">
        <f>IF('Obra HR'!G52="","",'Obra HR'!K52)</f>
        <v/>
      </c>
      <c r="E105" t="str">
        <f>IF('Obra HR'!G52="","",'Obra HR'!L52)</f>
        <v/>
      </c>
      <c r="F105" t="str">
        <f>IF('Obra HR'!G52="","",'Obra HR'!M52)</f>
        <v/>
      </c>
    </row>
    <row r="106" spans="1:6">
      <c r="A106" t="str">
        <f>IF('Obra HR'!G53="","","Obra HR")</f>
        <v/>
      </c>
      <c r="B106" t="str">
        <f>IF('Obra HR'!G53="","",'Obra HR'!G53)</f>
        <v/>
      </c>
      <c r="C106" t="str">
        <f>IF('Obra HR'!G53="","",'Obra HR'!I53)</f>
        <v/>
      </c>
      <c r="D106" t="str">
        <f>IF('Obra HR'!G53="","",'Obra HR'!K53)</f>
        <v/>
      </c>
      <c r="E106" t="str">
        <f>IF('Obra HR'!G53="","",'Obra HR'!L53)</f>
        <v/>
      </c>
      <c r="F106" t="str">
        <f>IF('Obra HR'!G53="","",'Obra HR'!M53)</f>
        <v/>
      </c>
    </row>
    <row r="107" spans="1:6">
      <c r="A107" t="str">
        <f>IF('Obra HR'!G54="","","Obra HR")</f>
        <v/>
      </c>
      <c r="B107" t="str">
        <f>IF('Obra HR'!G54="","",'Obra HR'!G54)</f>
        <v/>
      </c>
      <c r="C107" t="str">
        <f>IF('Obra HR'!G54="","",'Obra HR'!I54)</f>
        <v/>
      </c>
      <c r="D107" t="str">
        <f>IF('Obra HR'!G54="","",'Obra HR'!K54)</f>
        <v/>
      </c>
      <c r="E107" t="str">
        <f>IF('Obra HR'!G54="","",'Obra HR'!L54)</f>
        <v/>
      </c>
      <c r="F107" t="str">
        <f>IF('Obra HR'!G54="","",'Obra HR'!M54)</f>
        <v/>
      </c>
    </row>
    <row r="108" spans="1:6">
      <c r="A108" t="str">
        <f>IF('Obra HR'!G55="","","Obra HR")</f>
        <v/>
      </c>
      <c r="B108" t="str">
        <f>IF('Obra HR'!G55="","",'Obra HR'!G55)</f>
        <v/>
      </c>
      <c r="C108" t="str">
        <f>IF('Obra HR'!G55="","",'Obra HR'!I55)</f>
        <v/>
      </c>
      <c r="D108" t="str">
        <f>IF('Obra HR'!G55="","",'Obra HR'!K55)</f>
        <v/>
      </c>
      <c r="E108" t="str">
        <f>IF('Obra HR'!G55="","",'Obra HR'!L55)</f>
        <v/>
      </c>
      <c r="F108" t="str">
        <f>IF('Obra HR'!G55="","",'Obra HR'!M55)</f>
        <v/>
      </c>
    </row>
    <row r="109" spans="1:6">
      <c r="A109" t="str">
        <f>IF('Obra HR'!G56="","","Obra HR")</f>
        <v/>
      </c>
      <c r="B109" t="str">
        <f>IF('Obra HR'!G56="","",'Obra HR'!G56)</f>
        <v/>
      </c>
      <c r="C109" t="str">
        <f>IF('Obra HR'!G56="","",'Obra HR'!I56)</f>
        <v/>
      </c>
      <c r="D109" t="str">
        <f>IF('Obra HR'!G56="","",'Obra HR'!K56)</f>
        <v/>
      </c>
      <c r="E109" t="str">
        <f>IF('Obra HR'!G56="","",'Obra HR'!L56)</f>
        <v/>
      </c>
      <c r="F109" t="str">
        <f>IF('Obra HR'!G56="","",'Obra HR'!M56)</f>
        <v/>
      </c>
    </row>
    <row r="110" spans="1:6">
      <c r="A110" t="str">
        <f>IF('Obra HR'!G57="","","Obra HR")</f>
        <v/>
      </c>
      <c r="B110" t="str">
        <f>IF('Obra HR'!G57="","",'Obra HR'!G57)</f>
        <v/>
      </c>
      <c r="C110" t="str">
        <f>IF('Obra HR'!G57="","",'Obra HR'!I57)</f>
        <v/>
      </c>
      <c r="D110" t="str">
        <f>IF('Obra HR'!G57="","",'Obra HR'!K57)</f>
        <v/>
      </c>
      <c r="E110" t="str">
        <f>IF('Obra HR'!G57="","",'Obra HR'!L57)</f>
        <v/>
      </c>
      <c r="F110" t="str">
        <f>IF('Obra HR'!G57="","",'Obra HR'!M57)</f>
        <v/>
      </c>
    </row>
    <row r="111" spans="1:6">
      <c r="A111" t="str">
        <f>IF('Obra HR'!G58="","","Obra HR")</f>
        <v/>
      </c>
      <c r="B111" t="str">
        <f>IF('Obra HR'!G58="","",'Obra HR'!G58)</f>
        <v/>
      </c>
      <c r="C111" t="str">
        <f>IF('Obra HR'!G58="","",'Obra HR'!I58)</f>
        <v/>
      </c>
      <c r="D111" t="str">
        <f>IF('Obra HR'!G58="","",'Obra HR'!K58)</f>
        <v/>
      </c>
      <c r="E111" t="str">
        <f>IF('Obra HR'!G58="","",'Obra HR'!L58)</f>
        <v/>
      </c>
      <c r="F111" t="str">
        <f>IF('Obra HR'!G58="","",'Obra HR'!M58)</f>
        <v/>
      </c>
    </row>
    <row r="112" spans="1:6">
      <c r="A112" t="str">
        <f>IF('Obra HR'!G59="","","Obra HR")</f>
        <v/>
      </c>
      <c r="B112" t="str">
        <f>IF('Obra HR'!G59="","",'Obra HR'!G59)</f>
        <v/>
      </c>
      <c r="C112" t="str">
        <f>IF('Obra HR'!G59="","",'Obra HR'!I59)</f>
        <v/>
      </c>
      <c r="D112" t="str">
        <f>IF('Obra HR'!G59="","",'Obra HR'!K59)</f>
        <v/>
      </c>
      <c r="E112" t="str">
        <f>IF('Obra HR'!G59="","",'Obra HR'!L59)</f>
        <v/>
      </c>
      <c r="F112" t="str">
        <f>IF('Obra HR'!G59="","",'Obra HR'!M59)</f>
        <v/>
      </c>
    </row>
    <row r="113" spans="1:6">
      <c r="A113" t="str">
        <f>IF('Obra HR'!G60="","","Obra HR")</f>
        <v/>
      </c>
      <c r="B113" t="str">
        <f>IF('Obra HR'!G60="","",'Obra HR'!G60)</f>
        <v/>
      </c>
      <c r="C113" t="str">
        <f>IF('Obra HR'!G60="","",'Obra HR'!I60)</f>
        <v/>
      </c>
      <c r="D113" t="str">
        <f>IF('Obra HR'!G60="","",'Obra HR'!K60)</f>
        <v/>
      </c>
      <c r="E113" t="str">
        <f>IF('Obra HR'!G60="","",'Obra HR'!L60)</f>
        <v/>
      </c>
      <c r="F113" t="str">
        <f>IF('Obra HR'!G60="","",'Obra HR'!M60)</f>
        <v/>
      </c>
    </row>
    <row r="114" spans="1:6">
      <c r="A114" t="str">
        <f>IF('Obra HR'!G61="","","Obra HR")</f>
        <v/>
      </c>
      <c r="B114" t="str">
        <f>IF('Obra HR'!G61="","",'Obra HR'!G61)</f>
        <v/>
      </c>
      <c r="C114" t="str">
        <f>IF('Obra HR'!G61="","",'Obra HR'!I61)</f>
        <v/>
      </c>
      <c r="D114" t="str">
        <f>IF('Obra HR'!G61="","",'Obra HR'!K61)</f>
        <v/>
      </c>
      <c r="E114" t="str">
        <f>IF('Obra HR'!G61="","",'Obra HR'!L61)</f>
        <v/>
      </c>
      <c r="F114" t="str">
        <f>IF('Obra HR'!G61="","",'Obra HR'!M61)</f>
        <v/>
      </c>
    </row>
    <row r="115" spans="1:6">
      <c r="A115" t="str">
        <f>IF('Obra HR'!G62="","","Obra HR")</f>
        <v/>
      </c>
      <c r="B115" t="str">
        <f>IF('Obra HR'!G62="","",'Obra HR'!G62)</f>
        <v/>
      </c>
      <c r="C115" t="str">
        <f>IF('Obra HR'!G62="","",'Obra HR'!I62)</f>
        <v/>
      </c>
      <c r="D115" t="str">
        <f>IF('Obra HR'!G62="","",'Obra HR'!K62)</f>
        <v/>
      </c>
      <c r="E115" t="str">
        <f>IF('Obra HR'!G62="","",'Obra HR'!L62)</f>
        <v/>
      </c>
      <c r="F115" t="str">
        <f>IF('Obra HR'!G62="","",'Obra HR'!M62)</f>
        <v/>
      </c>
    </row>
    <row r="116" spans="1:6">
      <c r="A116" t="str">
        <f>IF('Obra HR'!G63="","","Obra HR")</f>
        <v/>
      </c>
      <c r="B116" t="str">
        <f>IF('Obra HR'!G63="","",'Obra HR'!G63)</f>
        <v/>
      </c>
      <c r="C116" t="str">
        <f>IF('Obra HR'!G63="","",'Obra HR'!I63)</f>
        <v/>
      </c>
      <c r="D116" t="str">
        <f>IF('Obra HR'!G63="","",'Obra HR'!K63)</f>
        <v/>
      </c>
      <c r="E116" t="str">
        <f>IF('Obra HR'!G63="","",'Obra HR'!L63)</f>
        <v/>
      </c>
      <c r="F116" t="str">
        <f>IF('Obra HR'!G63="","",'Obra HR'!M63)</f>
        <v/>
      </c>
    </row>
    <row r="117" spans="1:6">
      <c r="A117" t="str">
        <f>IF('Obra HR'!G64="","","Obra HR")</f>
        <v/>
      </c>
      <c r="B117" t="str">
        <f>IF('Obra HR'!G64="","",'Obra HR'!G64)</f>
        <v/>
      </c>
      <c r="C117" t="str">
        <f>IF('Obra HR'!G64="","",'Obra HR'!I64)</f>
        <v/>
      </c>
      <c r="D117" t="str">
        <f>IF('Obra HR'!G64="","",'Obra HR'!K64)</f>
        <v/>
      </c>
      <c r="E117" t="str">
        <f>IF('Obra HR'!G64="","",'Obra HR'!L64)</f>
        <v/>
      </c>
      <c r="F117" t="str">
        <f>IF('Obra HR'!G64="","",'Obra HR'!M64)</f>
        <v/>
      </c>
    </row>
    <row r="118" spans="1:6">
      <c r="A118" t="str">
        <f>IF('Obra HR'!G65="","","Obra HR")</f>
        <v/>
      </c>
      <c r="B118" t="str">
        <f>IF('Obra HR'!G65="","",'Obra HR'!G65)</f>
        <v/>
      </c>
      <c r="C118" t="str">
        <f>IF('Obra HR'!G65="","",'Obra HR'!I65)</f>
        <v/>
      </c>
      <c r="D118" t="str">
        <f>IF('Obra HR'!G65="","",'Obra HR'!K65)</f>
        <v/>
      </c>
      <c r="E118" t="str">
        <f>IF('Obra HR'!G65="","",'Obra HR'!L65)</f>
        <v/>
      </c>
      <c r="F118" t="str">
        <f>IF('Obra HR'!G65="","",'Obra HR'!M65)</f>
        <v/>
      </c>
    </row>
    <row r="119" spans="1:6">
      <c r="A119" t="str">
        <f>IF('Obra HR'!G66="","","Obra HR")</f>
        <v/>
      </c>
      <c r="B119" t="str">
        <f>IF('Obra HR'!G66="","",'Obra HR'!G66)</f>
        <v/>
      </c>
      <c r="C119" t="str">
        <f>IF('Obra HR'!G66="","",'Obra HR'!I66)</f>
        <v/>
      </c>
      <c r="D119" t="str">
        <f>IF('Obra HR'!G66="","",'Obra HR'!K66)</f>
        <v/>
      </c>
      <c r="E119" t="str">
        <f>IF('Obra HR'!G66="","",'Obra HR'!L66)</f>
        <v/>
      </c>
      <c r="F119" t="str">
        <f>IF('Obra HR'!G66="","",'Obra HR'!M66)</f>
        <v/>
      </c>
    </row>
    <row r="120" spans="1:6">
      <c r="A120" t="str">
        <f>IF('Obra HR'!G67="","","Obra HR")</f>
        <v/>
      </c>
      <c r="B120" t="str">
        <f>IF('Obra HR'!G67="","",'Obra HR'!G67)</f>
        <v/>
      </c>
      <c r="C120" t="str">
        <f>IF('Obra HR'!G67="","",'Obra HR'!I67)</f>
        <v/>
      </c>
      <c r="D120" t="str">
        <f>IF('Obra HR'!G67="","",'Obra HR'!K67)</f>
        <v/>
      </c>
      <c r="E120" t="str">
        <f>IF('Obra HR'!G67="","",'Obra HR'!L67)</f>
        <v/>
      </c>
      <c r="F120" t="str">
        <f>IF('Obra HR'!G67="","",'Obra HR'!M67)</f>
        <v/>
      </c>
    </row>
    <row r="121" spans="1:6">
      <c r="A121" t="str">
        <f>IF('Obra HR'!G68="","","Obra HR")</f>
        <v/>
      </c>
      <c r="B121" t="str">
        <f>IF('Obra HR'!G68="","",'Obra HR'!G68)</f>
        <v/>
      </c>
      <c r="C121" t="str">
        <f>IF('Obra HR'!G68="","",'Obra HR'!I68)</f>
        <v/>
      </c>
      <c r="D121" t="str">
        <f>IF('Obra HR'!G68="","",'Obra HR'!K68)</f>
        <v/>
      </c>
      <c r="E121" t="str">
        <f>IF('Obra HR'!G68="","",'Obra HR'!L68)</f>
        <v/>
      </c>
      <c r="F121" t="str">
        <f>IF('Obra HR'!G68="","",'Obra HR'!M68)</f>
        <v/>
      </c>
    </row>
    <row r="122" spans="1:6">
      <c r="A122" t="str">
        <f>IF('Obra HR'!G69="","","Obra HR")</f>
        <v/>
      </c>
      <c r="B122" t="str">
        <f>IF('Obra HR'!G69="","",'Obra HR'!G69)</f>
        <v/>
      </c>
      <c r="C122" t="str">
        <f>IF('Obra HR'!G69="","",'Obra HR'!I69)</f>
        <v/>
      </c>
      <c r="D122" t="str">
        <f>IF('Obra HR'!G69="","",'Obra HR'!K69)</f>
        <v/>
      </c>
      <c r="E122" t="str">
        <f>IF('Obra HR'!G69="","",'Obra HR'!L69)</f>
        <v/>
      </c>
      <c r="F122" t="str">
        <f>IF('Obra HR'!G69="","",'Obra HR'!M69)</f>
        <v/>
      </c>
    </row>
    <row r="123" spans="1:6">
      <c r="A123" t="str">
        <f>IF('Obra HR'!G70="","","Obra HR")</f>
        <v/>
      </c>
      <c r="B123" t="str">
        <f>IF('Obra HR'!G70="","",'Obra HR'!G70)</f>
        <v/>
      </c>
      <c r="C123" t="str">
        <f>IF('Obra HR'!G70="","",'Obra HR'!I70)</f>
        <v/>
      </c>
      <c r="D123" t="str">
        <f>IF('Obra HR'!G70="","",'Obra HR'!K70)</f>
        <v/>
      </c>
      <c r="E123" t="str">
        <f>IF('Obra HR'!G70="","",'Obra HR'!L70)</f>
        <v/>
      </c>
      <c r="F123" t="str">
        <f>IF('Obra HR'!G70="","",'Obra HR'!M70)</f>
        <v/>
      </c>
    </row>
    <row r="124" spans="1:6">
      <c r="A124" t="e">
        <f>IF('Obra FAR'!#REF!="","","Obra FAR")</f>
        <v>#REF!</v>
      </c>
      <c r="B124" t="e">
        <f>IF('Obra FAR'!#REF!="","",'Obra FAR'!#REF!)</f>
        <v>#REF!</v>
      </c>
      <c r="C124" t="e">
        <f>IF('Obra FAR'!#REF!="","",'Obra FAR'!#REF!)</f>
        <v>#REF!</v>
      </c>
      <c r="D124" t="e">
        <f>IF('Obra FAR'!#REF!="","",'Obra FAR'!#REF!)</f>
        <v>#REF!</v>
      </c>
      <c r="E124" t="e">
        <f>IF('Obra FAR'!#REF!="","",'Obra FAR'!#REF!)</f>
        <v>#REF!</v>
      </c>
      <c r="F124" t="e">
        <f>IF('Obra FAR'!#REF!="","",'Obra FAR'!#REF!)</f>
        <v>#REF!</v>
      </c>
    </row>
    <row r="125" spans="1:6">
      <c r="A125" t="str">
        <f>IF('Obra FAR'!G10="","","Obra FAR")</f>
        <v>Obra FAR</v>
      </c>
      <c r="B125" t="str">
        <f>IF('Obra FAR'!G10="","",'Obra FAR'!G10)</f>
        <v>Jack</v>
      </c>
      <c r="C125">
        <f>IF('Obra FAR'!G10="","",'Obra FAR'!I10)</f>
        <v>1228234.3500000001</v>
      </c>
      <c r="D125" t="str">
        <f>IF('Obra FAR'!G10="","",'Obra FAR'!L10)</f>
        <v>Pagado</v>
      </c>
      <c r="E125" t="str">
        <f>IF('Obra FAR'!G10="","",'Obra FAR'!M10)</f>
        <v>Pagado</v>
      </c>
      <c r="F125">
        <f>IF('Obra FAR'!G10="","",'Obra FAR'!N10)</f>
        <v>0</v>
      </c>
    </row>
    <row r="126" spans="1:6">
      <c r="A126" t="str">
        <f>IF('Obra FAR'!G11="","","Obra FAR")</f>
        <v>Obra FAR</v>
      </c>
      <c r="B126" t="str">
        <f>IF('Obra FAR'!G11="","",'Obra FAR'!G11)</f>
        <v>Almada</v>
      </c>
      <c r="C126">
        <f>IF('Obra FAR'!G11="","",'Obra FAR'!I11)</f>
        <v>1086246.76</v>
      </c>
      <c r="D126" t="str">
        <f>IF('Obra FAR'!G11="","",'Obra FAR'!L11)</f>
        <v>Pagado</v>
      </c>
      <c r="E126" t="str">
        <f>IF('Obra FAR'!G11="","",'Obra FAR'!M11)</f>
        <v>Pagado</v>
      </c>
      <c r="F126">
        <f>IF('Obra FAR'!G11="","",'Obra FAR'!N11)</f>
        <v>0</v>
      </c>
    </row>
    <row r="127" spans="1:6">
      <c r="A127" t="str">
        <f>IF('Obra FAR'!G12="","","Obra FAR")</f>
        <v>Obra FAR</v>
      </c>
      <c r="B127" t="str">
        <f>IF('Obra FAR'!G12="","",'Obra FAR'!G12)</f>
        <v>Nico Carusso</v>
      </c>
      <c r="C127">
        <f>IF('Obra FAR'!G12="","",'Obra FAR'!I12)</f>
        <v>280000</v>
      </c>
      <c r="D127" t="str">
        <f>IF('Obra FAR'!G12="","",'Obra FAR'!L12)</f>
        <v>Pagado</v>
      </c>
      <c r="E127" t="str">
        <f>IF('Obra FAR'!G12="","",'Obra FAR'!M12)</f>
        <v>Pagado</v>
      </c>
      <c r="F127">
        <f>IF('Obra FAR'!G12="","",'Obra FAR'!N12)</f>
        <v>0</v>
      </c>
    </row>
    <row r="128" spans="1:6">
      <c r="A128" t="str">
        <f>IF('Obra FAR'!G13="","","Obra FAR")</f>
        <v>Obra FAR</v>
      </c>
      <c r="B128" t="str">
        <f>IF('Obra FAR'!G13="","",'Obra FAR'!G13)</f>
        <v>Almada</v>
      </c>
      <c r="C128">
        <f>IF('Obra FAR'!G13="","",'Obra FAR'!I13)</f>
        <v>184187.15</v>
      </c>
      <c r="D128" t="str">
        <f>IF('Obra FAR'!G13="","",'Obra FAR'!L13)</f>
        <v>Pagado</v>
      </c>
      <c r="E128" t="str">
        <f>IF('Obra FAR'!G13="","",'Obra FAR'!M13)</f>
        <v>Pagado</v>
      </c>
      <c r="F128">
        <f>IF('Obra FAR'!G13="","",'Obra FAR'!N13)</f>
        <v>0</v>
      </c>
    </row>
    <row r="129" spans="1:6">
      <c r="A129" t="str">
        <f>IF('Obra FAR'!G14="","","Obra FAR")</f>
        <v>Obra FAR</v>
      </c>
      <c r="B129" t="str">
        <f>IF('Obra FAR'!G14="","",'Obra FAR'!G14)</f>
        <v>Jack</v>
      </c>
      <c r="C129">
        <f>IF('Obra FAR'!G14="","",'Obra FAR'!I14)</f>
        <v>30223.919999999998</v>
      </c>
      <c r="D129" t="str">
        <f>IF('Obra FAR'!G14="","",'Obra FAR'!L14)</f>
        <v>Pagado</v>
      </c>
      <c r="E129" t="str">
        <f>IF('Obra FAR'!G14="","",'Obra FAR'!M14)</f>
        <v>Pagado</v>
      </c>
      <c r="F129">
        <f>IF('Obra FAR'!G14="","",'Obra FAR'!N14)</f>
        <v>0</v>
      </c>
    </row>
    <row r="130" spans="1:6">
      <c r="A130" t="str">
        <f>IF('Obra FAR'!G15="","","Obra FAR")</f>
        <v>Obra FAR</v>
      </c>
      <c r="B130" t="str">
        <f>IF('Obra FAR'!G15="","",'Obra FAR'!G15)</f>
        <v>Goldman</v>
      </c>
      <c r="C130">
        <f>IF('Obra FAR'!G15="","",'Obra FAR'!I15)</f>
        <v>6694875.2599999998</v>
      </c>
      <c r="D130" t="str">
        <f>IF('Obra FAR'!G15="","",'Obra FAR'!L15)</f>
        <v>Pagado</v>
      </c>
      <c r="E130" t="str">
        <f>IF('Obra FAR'!G15="","",'Obra FAR'!M15)</f>
        <v>Pagado</v>
      </c>
      <c r="F130">
        <f>IF('Obra FAR'!G15="","",'Obra FAR'!N15)</f>
        <v>0</v>
      </c>
    </row>
    <row r="131" spans="1:6">
      <c r="A131" t="str">
        <f>IF('Obra FAR'!G16="","","Obra FAR")</f>
        <v>Obra FAR</v>
      </c>
      <c r="B131" t="str">
        <f>IF('Obra FAR'!G16="","",'Obra FAR'!G16)</f>
        <v>Gabriel Bobcat</v>
      </c>
      <c r="C131">
        <f>IF('Obra FAR'!G16="","",'Obra FAR'!I16)</f>
        <v>600000</v>
      </c>
      <c r="D131" t="str">
        <f>IF('Obra FAR'!G16="","",'Obra FAR'!L16)</f>
        <v>Pagado</v>
      </c>
      <c r="E131" t="str">
        <f>IF('Obra FAR'!G16="","",'Obra FAR'!M16)</f>
        <v>Pagado</v>
      </c>
      <c r="F131">
        <f>IF('Obra FAR'!G16="","",'Obra FAR'!N16)</f>
        <v>0</v>
      </c>
    </row>
    <row r="132" spans="1:6">
      <c r="A132" t="str">
        <f>IF('Obra FAR'!G17="","","Obra FAR")</f>
        <v>Obra FAR</v>
      </c>
      <c r="B132" t="str">
        <f>IF('Obra FAR'!G17="","",'Obra FAR'!G17)</f>
        <v>Jack</v>
      </c>
      <c r="C132">
        <f>IF('Obra FAR'!G17="","",'Obra FAR'!I17)</f>
        <v>685091.44</v>
      </c>
      <c r="D132" t="str">
        <f>IF('Obra FAR'!G17="","",'Obra FAR'!L17)</f>
        <v>Pagado</v>
      </c>
      <c r="E132" t="str">
        <f>IF('Obra FAR'!G17="","",'Obra FAR'!M17)</f>
        <v>Pagado</v>
      </c>
      <c r="F132">
        <f>IF('Obra FAR'!G17="","",'Obra FAR'!N17)</f>
        <v>0</v>
      </c>
    </row>
    <row r="133" spans="1:6">
      <c r="A133" t="str">
        <f>IF('Obra FAR'!G18="","","Obra FAR")</f>
        <v>Obra FAR</v>
      </c>
      <c r="B133" t="str">
        <f>IF('Obra FAR'!G18="","",'Obra FAR'!G18)</f>
        <v>Almada</v>
      </c>
      <c r="C133">
        <f>IF('Obra FAR'!G18="","",'Obra FAR'!I18)</f>
        <v>3700000</v>
      </c>
      <c r="D133" t="str">
        <f>IF('Obra FAR'!G18="","",'Obra FAR'!L18)</f>
        <v>Pagado</v>
      </c>
      <c r="E133" t="str">
        <f>IF('Obra FAR'!G18="","",'Obra FAR'!M18)</f>
        <v>Pagado</v>
      </c>
      <c r="F133">
        <f>IF('Obra FAR'!G18="","",'Obra FAR'!N18)</f>
        <v>0</v>
      </c>
    </row>
    <row r="134" spans="1:6">
      <c r="A134" t="str">
        <f>IF('Obra FAR'!G19="","","Obra FAR")</f>
        <v>Obra FAR</v>
      </c>
      <c r="B134" t="str">
        <f>IF('Obra FAR'!G19="","",'Obra FAR'!G19)</f>
        <v>Almada</v>
      </c>
      <c r="C134">
        <f>IF('Obra FAR'!G19="","",'Obra FAR'!I19)</f>
        <v>1200000</v>
      </c>
      <c r="D134" t="str">
        <f>IF('Obra FAR'!G19="","",'Obra FAR'!L19)</f>
        <v>Pagado</v>
      </c>
      <c r="E134" t="str">
        <f>IF('Obra FAR'!G19="","",'Obra FAR'!M19)</f>
        <v>Pagado</v>
      </c>
      <c r="F134">
        <f>IF('Obra FAR'!G19="","",'Obra FAR'!N19)</f>
        <v>0</v>
      </c>
    </row>
    <row r="135" spans="1:6">
      <c r="A135" t="str">
        <f>IF('Obra FAR'!G20="","","Obra FAR")</f>
        <v>Obra FAR</v>
      </c>
      <c r="B135" t="str">
        <f>IF('Obra FAR'!G20="","",'Obra FAR'!G20)</f>
        <v>Almada</v>
      </c>
      <c r="C135">
        <f>IF('Obra FAR'!G20="","",'Obra FAR'!I20)</f>
        <v>49966.44</v>
      </c>
      <c r="D135" t="str">
        <f>IF('Obra FAR'!G20="","",'Obra FAR'!L20)</f>
        <v>Pagado</v>
      </c>
      <c r="E135" t="str">
        <f>IF('Obra FAR'!G20="","",'Obra FAR'!M20)</f>
        <v>Pagado</v>
      </c>
      <c r="F135">
        <f>IF('Obra FAR'!G20="","",'Obra FAR'!N20)</f>
        <v>0</v>
      </c>
    </row>
    <row r="136" spans="1:6">
      <c r="A136" t="str">
        <f>IF('Obra FAR'!G21="","","Obra FAR")</f>
        <v>Obra FAR</v>
      </c>
      <c r="B136" t="str">
        <f>IF('Obra FAR'!G21="","",'Obra FAR'!G21)</f>
        <v>Adrian Giordano</v>
      </c>
      <c r="C136">
        <f>IF('Obra FAR'!G21="","",'Obra FAR'!I21)</f>
        <v>3773588</v>
      </c>
      <c r="D136" t="str">
        <f>IF('Obra FAR'!G21="","",'Obra FAR'!L21)</f>
        <v>Pagado</v>
      </c>
      <c r="E136" t="str">
        <f>IF('Obra FAR'!G21="","",'Obra FAR'!M21)</f>
        <v>Pagado</v>
      </c>
      <c r="F136">
        <f>IF('Obra FAR'!G21="","",'Obra FAR'!N21)</f>
        <v>0</v>
      </c>
    </row>
    <row r="137" spans="1:6">
      <c r="A137" t="str">
        <f>IF('Obra FAR'!G22="","","Obra FAR")</f>
        <v>Obra FAR</v>
      </c>
      <c r="B137" t="str">
        <f>IF('Obra FAR'!G22="","",'Obra FAR'!G22)</f>
        <v>Adrian Giordano</v>
      </c>
      <c r="C137">
        <f>IF('Obra FAR'!G22="","",'Obra FAR'!I22)</f>
        <v>780000</v>
      </c>
      <c r="D137" t="str">
        <f>IF('Obra FAR'!G22="","",'Obra FAR'!L22)</f>
        <v>Pagado</v>
      </c>
      <c r="E137" t="str">
        <f>IF('Obra FAR'!G22="","",'Obra FAR'!M22)</f>
        <v>Pagado</v>
      </c>
      <c r="F137">
        <f>IF('Obra FAR'!G22="","",'Obra FAR'!N22)</f>
        <v>0</v>
      </c>
    </row>
    <row r="138" spans="1:6">
      <c r="A138" t="str">
        <f>IF('Obra FAR'!G23="","","Obra FAR")</f>
        <v>Obra FAR</v>
      </c>
      <c r="B138" t="str">
        <f>IF('Obra FAR'!G23="","",'Obra FAR'!G23)</f>
        <v>Feyro</v>
      </c>
      <c r="C138">
        <f>IF('Obra FAR'!G23="","",'Obra FAR'!I23)</f>
        <v>630433.74</v>
      </c>
      <c r="D138" t="str">
        <f>IF('Obra FAR'!G23="","",'Obra FAR'!L23)</f>
        <v>Pagado</v>
      </c>
      <c r="E138" t="str">
        <f>IF('Obra FAR'!G23="","",'Obra FAR'!M23)</f>
        <v>Pagado</v>
      </c>
      <c r="F138">
        <f>IF('Obra FAR'!G23="","",'Obra FAR'!N23)</f>
        <v>0</v>
      </c>
    </row>
    <row r="139" spans="1:6">
      <c r="A139" t="str">
        <f>IF('Obra FAR'!G24="","","Obra FAR")</f>
        <v>Obra FAR</v>
      </c>
      <c r="B139" t="str">
        <f>IF('Obra FAR'!G24="","",'Obra FAR'!G24)</f>
        <v>Jack</v>
      </c>
      <c r="C139">
        <f>IF('Obra FAR'!G24="","",'Obra FAR'!I24)</f>
        <v>-8294</v>
      </c>
      <c r="D139" t="str">
        <f>IF('Obra FAR'!G24="","",'Obra FAR'!L24)</f>
        <v>Pagado</v>
      </c>
      <c r="E139" t="str">
        <f>IF('Obra FAR'!G24="","",'Obra FAR'!M24)</f>
        <v>Pagado</v>
      </c>
      <c r="F139">
        <f>IF('Obra FAR'!G24="","",'Obra FAR'!N24)</f>
        <v>0</v>
      </c>
    </row>
    <row r="140" spans="1:6">
      <c r="A140" t="str">
        <f>IF('Obra FAR'!G25="","","Obra FAR")</f>
        <v>Obra FAR</v>
      </c>
      <c r="B140" t="str">
        <f>IF('Obra FAR'!G25="","",'Obra FAR'!G25)</f>
        <v>Jack</v>
      </c>
      <c r="C140">
        <f>IF('Obra FAR'!G25="","",'Obra FAR'!I25)</f>
        <v>61470</v>
      </c>
      <c r="D140" t="str">
        <f>IF('Obra FAR'!G25="","",'Obra FAR'!L25)</f>
        <v>Pagado</v>
      </c>
      <c r="E140" t="str">
        <f>IF('Obra FAR'!G25="","",'Obra FAR'!M25)</f>
        <v>Pagado</v>
      </c>
      <c r="F140">
        <f>IF('Obra FAR'!G25="","",'Obra FAR'!N25)</f>
        <v>0</v>
      </c>
    </row>
    <row r="141" spans="1:6">
      <c r="A141" t="str">
        <f>IF('Obra FAR'!G26="","","Obra FAR")</f>
        <v>Obra FAR</v>
      </c>
      <c r="B141" t="str">
        <f>IF('Obra FAR'!G26="","",'Obra FAR'!G26)</f>
        <v>Jack</v>
      </c>
      <c r="C141">
        <f>IF('Obra FAR'!G26="","",'Obra FAR'!I26)</f>
        <v>227142.84</v>
      </c>
      <c r="D141" t="str">
        <f>IF('Obra FAR'!G26="","",'Obra FAR'!L26)</f>
        <v>Pagado</v>
      </c>
      <c r="E141" t="str">
        <f>IF('Obra FAR'!G26="","",'Obra FAR'!M26)</f>
        <v>Pagado</v>
      </c>
      <c r="F141">
        <f>IF('Obra FAR'!G26="","",'Obra FAR'!N26)</f>
        <v>0</v>
      </c>
    </row>
    <row r="142" spans="1:6">
      <c r="A142" t="str">
        <f>IF('Obra FAR'!G27="","","Obra FAR")</f>
        <v>Obra FAR</v>
      </c>
      <c r="B142" t="str">
        <f>IF('Obra FAR'!G27="","",'Obra FAR'!G27)</f>
        <v>Feyro</v>
      </c>
      <c r="C142">
        <f>IF('Obra FAR'!G27="","",'Obra FAR'!I27)</f>
        <v>220346.18</v>
      </c>
      <c r="D142" t="str">
        <f>IF('Obra FAR'!G27="","",'Obra FAR'!L27)</f>
        <v>Pagado</v>
      </c>
      <c r="E142" t="str">
        <f>IF('Obra FAR'!G27="","",'Obra FAR'!M27)</f>
        <v>Pagado</v>
      </c>
      <c r="F142">
        <f>IF('Obra FAR'!G27="","",'Obra FAR'!N27)</f>
        <v>0</v>
      </c>
    </row>
    <row r="143" spans="1:6">
      <c r="A143" t="str">
        <f>IF('Obra FAR'!G28="","","Obra FAR")</f>
        <v>Obra FAR</v>
      </c>
      <c r="B143" t="str">
        <f>IF('Obra FAR'!G28="","",'Obra FAR'!G28)</f>
        <v>Cerroplast</v>
      </c>
      <c r="C143">
        <f>IF('Obra FAR'!G28="","",'Obra FAR'!I28)</f>
        <v>89997.68</v>
      </c>
      <c r="D143" t="str">
        <f>IF('Obra FAR'!G28="","",'Obra FAR'!L28)</f>
        <v>Pagado</v>
      </c>
      <c r="E143" t="str">
        <f>IF('Obra FAR'!G28="","",'Obra FAR'!M28)</f>
        <v>Pagado</v>
      </c>
      <c r="F143">
        <f>IF('Obra FAR'!G28="","",'Obra FAR'!N28)</f>
        <v>0</v>
      </c>
    </row>
    <row r="144" spans="1:6">
      <c r="A144" t="str">
        <f>IF('Obra FAR'!G29="","","Obra FAR")</f>
        <v>Obra FAR</v>
      </c>
      <c r="B144" t="str">
        <f>IF('Obra FAR'!G29="","",'Obra FAR'!G29)</f>
        <v>Hormiblock</v>
      </c>
      <c r="C144">
        <f>IF('Obra FAR'!G29="","",'Obra FAR'!I29)</f>
        <v>1018800</v>
      </c>
      <c r="D144" t="str">
        <f>IF('Obra FAR'!G29="","",'Obra FAR'!L29)</f>
        <v>Pagado</v>
      </c>
      <c r="E144" t="str">
        <f>IF('Obra FAR'!G29="","",'Obra FAR'!M29)</f>
        <v>Pagado</v>
      </c>
      <c r="F144">
        <f>IF('Obra FAR'!G29="","",'Obra FAR'!N29)</f>
        <v>0</v>
      </c>
    </row>
    <row r="145" spans="1:6">
      <c r="A145" t="str">
        <f>IF('Obra FAR'!G30="","","Obra FAR")</f>
        <v>Obra FAR</v>
      </c>
      <c r="B145" t="str">
        <f>IF('Obra FAR'!G30="","",'Obra FAR'!G30)</f>
        <v>Hormiblock</v>
      </c>
      <c r="C145">
        <f>IF('Obra FAR'!G30="","",'Obra FAR'!I30)</f>
        <v>439200</v>
      </c>
      <c r="D145" t="str">
        <f>IF('Obra FAR'!G30="","",'Obra FAR'!L30)</f>
        <v>Pagado</v>
      </c>
      <c r="E145" t="str">
        <f>IF('Obra FAR'!G30="","",'Obra FAR'!M30)</f>
        <v>Pagado</v>
      </c>
      <c r="F145">
        <f>IF('Obra FAR'!G30="","",'Obra FAR'!N30)</f>
        <v>0</v>
      </c>
    </row>
    <row r="146" spans="1:6">
      <c r="A146" t="str">
        <f>IF('Obra FAR'!G31="","","Obra FAR")</f>
        <v>Obra FAR</v>
      </c>
      <c r="B146" t="str">
        <f>IF('Obra FAR'!G31="","",'Obra FAR'!G31)</f>
        <v>Deplano</v>
      </c>
      <c r="C146">
        <f>IF('Obra FAR'!G31="","",'Obra FAR'!I31)</f>
        <v>707214.44</v>
      </c>
      <c r="D146" t="str">
        <f>IF('Obra FAR'!G31="","",'Obra FAR'!L31)</f>
        <v>Pagado</v>
      </c>
      <c r="E146" t="str">
        <f>IF('Obra FAR'!G31="","",'Obra FAR'!M31)</f>
        <v>Pagado</v>
      </c>
      <c r="F146" t="str">
        <f>IF('Obra FAR'!G31="","",'Obra FAR'!N31)</f>
        <v>Recibido en obra</v>
      </c>
    </row>
    <row r="147" spans="1:6">
      <c r="A147" t="str">
        <f>IF('Obra FAR'!G32="","","Obra FAR")</f>
        <v>Obra FAR</v>
      </c>
      <c r="B147" t="str">
        <f>IF('Obra FAR'!G32="","",'Obra FAR'!G32)</f>
        <v>Nico Carusso</v>
      </c>
      <c r="C147">
        <f>IF('Obra FAR'!G32="","",'Obra FAR'!I32)</f>
        <v>130000</v>
      </c>
      <c r="D147" t="str">
        <f>IF('Obra FAR'!G32="","",'Obra FAR'!L32)</f>
        <v>Pagado</v>
      </c>
      <c r="E147" t="str">
        <f>IF('Obra FAR'!G32="","",'Obra FAR'!M32)</f>
        <v>Pagado</v>
      </c>
      <c r="F147">
        <f>IF('Obra FAR'!G32="","",'Obra FAR'!N32)</f>
        <v>0</v>
      </c>
    </row>
    <row r="148" spans="1:6">
      <c r="A148" t="str">
        <f>IF('Obra FAR'!G33="","","Obra FAR")</f>
        <v>Obra FAR</v>
      </c>
      <c r="B148" t="str">
        <f>IF('Obra FAR'!G33="","",'Obra FAR'!G33)</f>
        <v>Seguridad Centro</v>
      </c>
      <c r="C148">
        <f>IF('Obra FAR'!G33="","",'Obra FAR'!I33)</f>
        <v>218500</v>
      </c>
      <c r="D148" t="str">
        <f>IF('Obra FAR'!G33="","",'Obra FAR'!L33)</f>
        <v>Pagado</v>
      </c>
      <c r="E148" t="str">
        <f>IF('Obra FAR'!G33="","",'Obra FAR'!M33)</f>
        <v>Pagado</v>
      </c>
      <c r="F148">
        <f>IF('Obra FAR'!G33="","",'Obra FAR'!N33)</f>
        <v>0</v>
      </c>
    </row>
    <row r="149" spans="1:6">
      <c r="A149" t="str">
        <f>IF('Obra FAR'!G34="","","Obra FAR")</f>
        <v>Obra FAR</v>
      </c>
      <c r="B149" t="str">
        <f>IF('Obra FAR'!G34="","",'Obra FAR'!G34)</f>
        <v>Deplano</v>
      </c>
      <c r="C149">
        <f>IF('Obra FAR'!G34="","",'Obra FAR'!I34)</f>
        <v>11897.06</v>
      </c>
      <c r="D149" t="str">
        <f>IF('Obra FAR'!G34="","",'Obra FAR'!L34)</f>
        <v>Pagado</v>
      </c>
      <c r="E149" t="str">
        <f>IF('Obra FAR'!G34="","",'Obra FAR'!M34)</f>
        <v>Pagado</v>
      </c>
      <c r="F149" t="str">
        <f>IF('Obra FAR'!G34="","",'Obra FAR'!N34)</f>
        <v>Recibido en obra</v>
      </c>
    </row>
    <row r="150" spans="1:6">
      <c r="A150" t="str">
        <f>IF('Obra FAR'!G35="","","Obra FAR")</f>
        <v>Obra FAR</v>
      </c>
      <c r="B150" t="str">
        <f>IF('Obra FAR'!G35="","",'Obra FAR'!G35)</f>
        <v>Deplano</v>
      </c>
      <c r="C150">
        <f>IF('Obra FAR'!G35="","",'Obra FAR'!I35)</f>
        <v>40920</v>
      </c>
      <c r="D150" t="str">
        <f>IF('Obra FAR'!G35="","",'Obra FAR'!L35)</f>
        <v>Pagado</v>
      </c>
      <c r="E150" t="str">
        <f>IF('Obra FAR'!G35="","",'Obra FAR'!M35)</f>
        <v>Pagado</v>
      </c>
      <c r="F150" t="str">
        <f>IF('Obra FAR'!G35="","",'Obra FAR'!N35)</f>
        <v>Recibido en obra</v>
      </c>
    </row>
    <row r="151" spans="1:6">
      <c r="A151" t="str">
        <f>IF('Obra FAR'!G36="","","Obra FAR")</f>
        <v>Obra FAR</v>
      </c>
      <c r="B151" t="str">
        <f>IF('Obra FAR'!G36="","",'Obra FAR'!G36)</f>
        <v>Deplano</v>
      </c>
      <c r="C151">
        <f>IF('Obra FAR'!G36="","",'Obra FAR'!I36)</f>
        <v>348461.78</v>
      </c>
      <c r="D151" t="str">
        <f>IF('Obra FAR'!G36="","",'Obra FAR'!L36)</f>
        <v>Pagado</v>
      </c>
      <c r="E151" t="str">
        <f>IF('Obra FAR'!G36="","",'Obra FAR'!M36)</f>
        <v>Pagado</v>
      </c>
      <c r="F151" t="str">
        <f>IF('Obra FAR'!G36="","",'Obra FAR'!N36)</f>
        <v>Recibido en obra</v>
      </c>
    </row>
    <row r="152" spans="1:6">
      <c r="A152" t="str">
        <f>IF('Obra FAR'!G37="","","Obra FAR")</f>
        <v>Obra FAR</v>
      </c>
      <c r="B152" t="str">
        <f>IF('Obra FAR'!G37="","",'Obra FAR'!G37)</f>
        <v>Deplano</v>
      </c>
      <c r="C152">
        <f>IF('Obra FAR'!G37="","",'Obra FAR'!I37)</f>
        <v>239753.93</v>
      </c>
      <c r="D152" t="str">
        <f>IF('Obra FAR'!G37="","",'Obra FAR'!L37)</f>
        <v>Pagado</v>
      </c>
      <c r="E152" t="str">
        <f>IF('Obra FAR'!G37="","",'Obra FAR'!M37)</f>
        <v>Pagado</v>
      </c>
      <c r="F152" t="str">
        <f>IF('Obra FAR'!G37="","",'Obra FAR'!N37)</f>
        <v>Recibido en obra</v>
      </c>
    </row>
    <row r="153" spans="1:6">
      <c r="A153" t="str">
        <f>IF('Obra FAR'!G38="","","Obra FAR")</f>
        <v>Obra FAR</v>
      </c>
      <c r="B153" t="str">
        <f>IF('Obra FAR'!G38="","",'Obra FAR'!G38)</f>
        <v>Nico Carusso</v>
      </c>
      <c r="C153">
        <f>IF('Obra FAR'!G38="","",'Obra FAR'!I38)</f>
        <v>160000</v>
      </c>
      <c r="D153" t="str">
        <f>IF('Obra FAR'!G38="","",'Obra FAR'!L38)</f>
        <v>Pagado</v>
      </c>
      <c r="E153" t="str">
        <f>IF('Obra FAR'!G38="","",'Obra FAR'!M38)</f>
        <v>Pagado</v>
      </c>
      <c r="F153">
        <f>IF('Obra FAR'!G38="","",'Obra FAR'!N38)</f>
        <v>0</v>
      </c>
    </row>
    <row r="154" spans="1:6">
      <c r="A154" t="str">
        <f>IF('Obra FAR'!G39="","","Obra FAR")</f>
        <v>Obra FAR</v>
      </c>
      <c r="B154" t="str">
        <f>IF('Obra FAR'!G39="","",'Obra FAR'!G39)</f>
        <v>Garin</v>
      </c>
      <c r="C154">
        <f>IF('Obra FAR'!G39="","",'Obra FAR'!I39)</f>
        <v>10538.6</v>
      </c>
      <c r="D154" t="str">
        <f>IF('Obra FAR'!G39="","",'Obra FAR'!L39)</f>
        <v>Pagado</v>
      </c>
      <c r="E154" t="str">
        <f>IF('Obra FAR'!G39="","",'Obra FAR'!M39)</f>
        <v>Pagado</v>
      </c>
      <c r="F154">
        <f>IF('Obra FAR'!G39="","",'Obra FAR'!N39)</f>
        <v>0</v>
      </c>
    </row>
    <row r="155" spans="1:6">
      <c r="A155" t="str">
        <f>IF('Obra FAR'!G40="","","Obra FAR")</f>
        <v>Obra FAR</v>
      </c>
      <c r="B155" t="str">
        <f>IF('Obra FAR'!G40="","",'Obra FAR'!G40)</f>
        <v>Feyro</v>
      </c>
      <c r="C155">
        <f>IF('Obra FAR'!G40="","",'Obra FAR'!I40)</f>
        <v>664000.02</v>
      </c>
      <c r="D155" t="str">
        <f>IF('Obra FAR'!G40="","",'Obra FAR'!L40)</f>
        <v>Pagado</v>
      </c>
      <c r="E155" t="str">
        <f>IF('Obra FAR'!G40="","",'Obra FAR'!M40)</f>
        <v>Pagado</v>
      </c>
      <c r="F155">
        <f>IF('Obra FAR'!G40="","",'Obra FAR'!N40)</f>
        <v>0</v>
      </c>
    </row>
    <row r="156" spans="1:6">
      <c r="A156" t="str">
        <f>IF('Obra FAR'!G41="","","Obra FAR")</f>
        <v>Obra FAR</v>
      </c>
      <c r="B156" t="str">
        <f>IF('Obra FAR'!G41="","",'Obra FAR'!G41)</f>
        <v>Almada</v>
      </c>
      <c r="C156">
        <f>IF('Obra FAR'!G41="","",'Obra FAR'!I41)</f>
        <v>671534.8</v>
      </c>
      <c r="D156" t="str">
        <f>IF('Obra FAR'!G41="","",'Obra FAR'!L41)</f>
        <v>Pagado</v>
      </c>
      <c r="E156" t="str">
        <f>IF('Obra FAR'!G41="","",'Obra FAR'!M41)</f>
        <v>Pagado</v>
      </c>
      <c r="F156">
        <f>IF('Obra FAR'!G41="","",'Obra FAR'!N41)</f>
        <v>0</v>
      </c>
    </row>
    <row r="157" spans="1:6">
      <c r="A157" t="str">
        <f>IF('Obra FAR'!G42="","","Obra FAR")</f>
        <v>Obra FAR</v>
      </c>
      <c r="B157" t="str">
        <f>IF('Obra FAR'!G42="","",'Obra FAR'!G42)</f>
        <v>Nico Carusso</v>
      </c>
      <c r="C157">
        <f>IF('Obra FAR'!G42="","",'Obra FAR'!I42)</f>
        <v>140000</v>
      </c>
      <c r="D157" t="str">
        <f>IF('Obra FAR'!G42="","",'Obra FAR'!L42)</f>
        <v>Pagado</v>
      </c>
      <c r="E157" t="str">
        <f>IF('Obra FAR'!G42="","",'Obra FAR'!M42)</f>
        <v>Pagado</v>
      </c>
      <c r="F157">
        <f>IF('Obra FAR'!G42="","",'Obra FAR'!N42)</f>
        <v>0</v>
      </c>
    </row>
    <row r="158" spans="1:6">
      <c r="A158" t="str">
        <f>IF('Obra FAR'!G43="","","Obra FAR")</f>
        <v>Obra FAR</v>
      </c>
      <c r="B158" t="str">
        <f>IF('Obra FAR'!G43="","",'Obra FAR'!G43)</f>
        <v>Almada</v>
      </c>
      <c r="C158">
        <f>IF('Obra FAR'!G43="","",'Obra FAR'!I43)</f>
        <v>2723000</v>
      </c>
      <c r="D158" t="str">
        <f>IF('Obra FAR'!G43="","",'Obra FAR'!L43)</f>
        <v>Pagado</v>
      </c>
      <c r="E158" t="str">
        <f>IF('Obra FAR'!G43="","",'Obra FAR'!M43)</f>
        <v>Pagado</v>
      </c>
      <c r="F158">
        <f>IF('Obra FAR'!G43="","",'Obra FAR'!N43)</f>
        <v>0</v>
      </c>
    </row>
    <row r="159" spans="1:6">
      <c r="A159" t="str">
        <f>IF('Obra FAR'!G44="","","Obra FAR")</f>
        <v>Obra FAR</v>
      </c>
      <c r="B159" t="str">
        <f>IF('Obra FAR'!G44="","",'Obra FAR'!G44)</f>
        <v>Nico Carusso</v>
      </c>
      <c r="C159">
        <f>IF('Obra FAR'!G44="","",'Obra FAR'!I44)</f>
        <v>140000</v>
      </c>
      <c r="D159" t="str">
        <f>IF('Obra FAR'!G44="","",'Obra FAR'!L44)</f>
        <v>Pagado</v>
      </c>
      <c r="E159" t="str">
        <f>IF('Obra FAR'!G44="","",'Obra FAR'!M44)</f>
        <v>Pagado</v>
      </c>
      <c r="F159">
        <f>IF('Obra FAR'!G44="","",'Obra FAR'!N44)</f>
        <v>0</v>
      </c>
    </row>
    <row r="160" spans="1:6">
      <c r="A160" t="str">
        <f>IF('Obra FAR'!G45="","","Obra FAR")</f>
        <v>Obra FAR</v>
      </c>
      <c r="B160" t="str">
        <f>IF('Obra FAR'!G45="","",'Obra FAR'!G45)</f>
        <v>Almada</v>
      </c>
      <c r="C160">
        <f>IF('Obra FAR'!G45="","",'Obra FAR'!I45)</f>
        <v>52339.83</v>
      </c>
      <c r="D160" t="str">
        <f>IF('Obra FAR'!G45="","",'Obra FAR'!L45)</f>
        <v>Pagado</v>
      </c>
      <c r="E160" t="str">
        <f>IF('Obra FAR'!G45="","",'Obra FAR'!M45)</f>
        <v>Pagado</v>
      </c>
      <c r="F160">
        <f>IF('Obra FAR'!G45="","",'Obra FAR'!N45)</f>
        <v>0</v>
      </c>
    </row>
    <row r="161" spans="1:6">
      <c r="A161" t="str">
        <f>IF('Obra FAR'!G46="","","Obra FAR")</f>
        <v>Obra FAR</v>
      </c>
      <c r="B161" t="str">
        <f>IF('Obra FAR'!G46="","",'Obra FAR'!G46)</f>
        <v>Almada</v>
      </c>
      <c r="C161">
        <f>IF('Obra FAR'!G46="","",'Obra FAR'!I46)</f>
        <v>3181511.64</v>
      </c>
      <c r="D161" t="str">
        <f>IF('Obra FAR'!G46="","",'Obra FAR'!L46)</f>
        <v>Pagado</v>
      </c>
      <c r="E161" t="str">
        <f>IF('Obra FAR'!G46="","",'Obra FAR'!M46)</f>
        <v>Pagado</v>
      </c>
      <c r="F161">
        <f>IF('Obra FAR'!G46="","",'Obra FAR'!N46)</f>
        <v>0</v>
      </c>
    </row>
    <row r="162" spans="1:6">
      <c r="A162" t="str">
        <f>IF('Obra FAR'!G47="","","Obra FAR")</f>
        <v>Obra FAR</v>
      </c>
      <c r="B162" t="str">
        <f>IF('Obra FAR'!G47="","",'Obra FAR'!G47)</f>
        <v>Nico Carusso</v>
      </c>
      <c r="C162">
        <f>IF('Obra FAR'!G47="","",'Obra FAR'!I47)</f>
        <v>140000</v>
      </c>
      <c r="D162" t="str">
        <f>IF('Obra FAR'!G47="","",'Obra FAR'!L47)</f>
        <v>Pagado</v>
      </c>
      <c r="E162" t="str">
        <f>IF('Obra FAR'!G47="","",'Obra FAR'!M47)</f>
        <v>Pagado</v>
      </c>
      <c r="F162">
        <f>IF('Obra FAR'!G47="","",'Obra FAR'!N47)</f>
        <v>0</v>
      </c>
    </row>
    <row r="163" spans="1:6">
      <c r="A163" t="str">
        <f>IF('Obra FAR'!G48="","","Obra FAR")</f>
        <v>Obra FAR</v>
      </c>
      <c r="B163" t="str">
        <f>IF('Obra FAR'!G48="","",'Obra FAR'!G48)</f>
        <v>Nico Carusso</v>
      </c>
      <c r="C163">
        <f>IF('Obra FAR'!G48="","",'Obra FAR'!I48)</f>
        <v>140000</v>
      </c>
      <c r="D163" t="str">
        <f>IF('Obra FAR'!G48="","",'Obra FAR'!L48)</f>
        <v>Pagado</v>
      </c>
      <c r="E163" t="str">
        <f>IF('Obra FAR'!G48="","",'Obra FAR'!M48)</f>
        <v>Pagado</v>
      </c>
      <c r="F163">
        <f>IF('Obra FAR'!G48="","",'Obra FAR'!N48)</f>
        <v>0</v>
      </c>
    </row>
    <row r="164" spans="1:6">
      <c r="A164" t="str">
        <f>IF('Obra FAR'!G49="","","Obra FAR")</f>
        <v>Obra FAR</v>
      </c>
      <c r="B164" t="str">
        <f>IF('Obra FAR'!G49="","",'Obra FAR'!G49)</f>
        <v>Nico Carusso</v>
      </c>
      <c r="C164">
        <f>IF('Obra FAR'!G49="","",'Obra FAR'!I49)</f>
        <v>210000</v>
      </c>
      <c r="D164" t="str">
        <f>IF('Obra FAR'!G49="","",'Obra FAR'!L49)</f>
        <v>Pagado</v>
      </c>
      <c r="E164" t="str">
        <f>IF('Obra FAR'!G49="","",'Obra FAR'!M49)</f>
        <v>Pagado</v>
      </c>
      <c r="F164">
        <f>IF('Obra FAR'!G49="","",'Obra FAR'!N49)</f>
        <v>0</v>
      </c>
    </row>
    <row r="165" spans="1:6">
      <c r="A165" t="str">
        <f>IF('Obra FAR'!G50="","","Obra FAR")</f>
        <v>Obra FAR</v>
      </c>
      <c r="B165" t="str">
        <f>IF('Obra FAR'!G50="","",'Obra FAR'!G50)</f>
        <v>Boccolini Aridos</v>
      </c>
      <c r="C165">
        <f>IF('Obra FAR'!G50="","",'Obra FAR'!I50)</f>
        <v>147000</v>
      </c>
      <c r="D165" t="str">
        <f>IF('Obra FAR'!G50="","",'Obra FAR'!L50)</f>
        <v>Pagado</v>
      </c>
      <c r="E165" t="str">
        <f>IF('Obra FAR'!G50="","",'Obra FAR'!M50)</f>
        <v>Pagado</v>
      </c>
      <c r="F165">
        <f>IF('Obra FAR'!G50="","",'Obra FAR'!N50)</f>
        <v>0</v>
      </c>
    </row>
    <row r="166" spans="1:6">
      <c r="A166" t="str">
        <f>IF('Obra FAR'!G51="","","Obra FAR")</f>
        <v>Obra FAR</v>
      </c>
      <c r="B166" t="str">
        <f>IF('Obra FAR'!G51="","",'Obra FAR'!G51)</f>
        <v>Almada</v>
      </c>
      <c r="C166">
        <f>IF('Obra FAR'!G51="","",'Obra FAR'!I51)</f>
        <v>110000</v>
      </c>
      <c r="D166" t="str">
        <f>IF('Obra FAR'!G51="","",'Obra FAR'!L51)</f>
        <v>Pagado</v>
      </c>
      <c r="E166" t="str">
        <f>IF('Obra FAR'!G51="","",'Obra FAR'!M51)</f>
        <v>Pagado</v>
      </c>
      <c r="F166">
        <f>IF('Obra FAR'!G51="","",'Obra FAR'!N51)</f>
        <v>0</v>
      </c>
    </row>
    <row r="167" spans="1:6">
      <c r="A167" t="str">
        <f>IF('Obra FAR'!G52="","","Obra FAR")</f>
        <v/>
      </c>
      <c r="B167" t="str">
        <f>IF('Obra FAR'!G52="","",'Obra FAR'!G52)</f>
        <v/>
      </c>
      <c r="C167" t="str">
        <f>IF('Obra FAR'!G52="","",'Obra FAR'!I52)</f>
        <v/>
      </c>
      <c r="D167" t="str">
        <f>IF('Obra FAR'!G52="","",'Obra FAR'!L52)</f>
        <v/>
      </c>
      <c r="E167" t="str">
        <f>IF('Obra FAR'!G52="","",'Obra FAR'!M52)</f>
        <v/>
      </c>
      <c r="F167" t="str">
        <f>IF('Obra FAR'!G52="","",'Obra FAR'!N52)</f>
        <v/>
      </c>
    </row>
    <row r="168" spans="1:6">
      <c r="A168" t="str">
        <f>IF('Obra FAR'!G53="","","Obra FAR")</f>
        <v>Obra FAR</v>
      </c>
      <c r="B168" t="str">
        <f>IF('Obra FAR'!G53="","",'Obra FAR'!G53)</f>
        <v>Flete Hugo Godoy</v>
      </c>
      <c r="C168">
        <f>IF('Obra FAR'!G53="","",'Obra FAR'!I53)</f>
        <v>52000</v>
      </c>
      <c r="D168" t="str">
        <f>IF('Obra FAR'!G53="","",'Obra FAR'!L53)</f>
        <v>Pagado</v>
      </c>
      <c r="E168" t="str">
        <f>IF('Obra FAR'!G53="","",'Obra FAR'!M53)</f>
        <v>Pagado</v>
      </c>
      <c r="F168">
        <f>IF('Obra FAR'!G53="","",'Obra FAR'!N53)</f>
        <v>0</v>
      </c>
    </row>
    <row r="169" spans="1:6">
      <c r="A169" t="str">
        <f>IF('Obra FAR'!G54="","","Obra FAR")</f>
        <v>Obra FAR</v>
      </c>
      <c r="B169" t="str">
        <f>IF('Obra FAR'!G54="","",'Obra FAR'!G54)</f>
        <v>Boccolini Aridos</v>
      </c>
      <c r="C169">
        <f>IF('Obra FAR'!G54="","",'Obra FAR'!I54)</f>
        <v>147000</v>
      </c>
      <c r="D169" t="str">
        <f>IF('Obra FAR'!G54="","",'Obra FAR'!L54)</f>
        <v>Pagado</v>
      </c>
      <c r="E169" t="str">
        <f>IF('Obra FAR'!G54="","",'Obra FAR'!M54)</f>
        <v>Pagado</v>
      </c>
      <c r="F169">
        <f>IF('Obra FAR'!G54="","",'Obra FAR'!N54)</f>
        <v>0</v>
      </c>
    </row>
    <row r="170" spans="1:6">
      <c r="A170" t="str">
        <f>IF('Obra FAR'!G55="","","Obra FAR")</f>
        <v>Obra FAR</v>
      </c>
      <c r="B170" t="str">
        <f>IF('Obra FAR'!G55="","",'Obra FAR'!G55)</f>
        <v>Garin</v>
      </c>
      <c r="C170">
        <f>IF('Obra FAR'!G55="","",'Obra FAR'!I55)</f>
        <v>210564.26</v>
      </c>
      <c r="D170" t="str">
        <f>IF('Obra FAR'!G55="","",'Obra FAR'!L55)</f>
        <v>Pagado</v>
      </c>
      <c r="E170" t="str">
        <f>IF('Obra FAR'!G55="","",'Obra FAR'!M55)</f>
        <v>Pagado</v>
      </c>
      <c r="F170">
        <f>IF('Obra FAR'!G55="","",'Obra FAR'!N55)</f>
        <v>0</v>
      </c>
    </row>
    <row r="171" spans="1:6">
      <c r="A171" t="str">
        <f>IF('Obra FAR'!G56="","","Obra FAR")</f>
        <v>Obra FAR</v>
      </c>
      <c r="B171" t="str">
        <f>IF('Obra FAR'!G56="","",'Obra FAR'!G56)</f>
        <v>Claudio</v>
      </c>
      <c r="C171">
        <f>IF('Obra FAR'!G56="","",'Obra FAR'!I56)</f>
        <v>1350000</v>
      </c>
      <c r="D171" t="str">
        <f>IF('Obra FAR'!G56="","",'Obra FAR'!L56)</f>
        <v>Pagado</v>
      </c>
      <c r="E171" t="str">
        <f>IF('Obra FAR'!G56="","",'Obra FAR'!M56)</f>
        <v>Pagado</v>
      </c>
      <c r="F171">
        <f>IF('Obra FAR'!G56="","",'Obra FAR'!N56)</f>
        <v>0</v>
      </c>
    </row>
    <row r="172" spans="1:6">
      <c r="A172" t="str">
        <f>IF('Obra FAR'!G57="","","Obra FAR")</f>
        <v>Obra FAR</v>
      </c>
      <c r="B172" t="str">
        <f>IF('Obra FAR'!G57="","",'Obra FAR'!G57)</f>
        <v>Boccolini Aridos</v>
      </c>
      <c r="C172">
        <f>IF('Obra FAR'!G57="","",'Obra FAR'!I57)</f>
        <v>147000</v>
      </c>
      <c r="D172" t="str">
        <f>IF('Obra FAR'!G57="","",'Obra FAR'!L57)</f>
        <v>Pagado</v>
      </c>
      <c r="E172" t="str">
        <f>IF('Obra FAR'!G57="","",'Obra FAR'!M57)</f>
        <v>Pagado</v>
      </c>
      <c r="F172">
        <f>IF('Obra FAR'!G57="","",'Obra FAR'!N57)</f>
        <v>0</v>
      </c>
    </row>
    <row r="173" spans="1:6">
      <c r="A173" t="str">
        <f>IF('Obra FAR'!G58="","","Obra FAR")</f>
        <v/>
      </c>
      <c r="B173" t="str">
        <f>IF('Obra FAR'!G58="","",'Obra FAR'!G58)</f>
        <v/>
      </c>
      <c r="C173" t="str">
        <f>IF('Obra FAR'!G58="","",'Obra FAR'!I58)</f>
        <v/>
      </c>
      <c r="D173" t="str">
        <f>IF('Obra FAR'!G58="","",'Obra FAR'!L58)</f>
        <v/>
      </c>
      <c r="E173" t="str">
        <f>IF('Obra FAR'!G58="","",'Obra FAR'!M58)</f>
        <v/>
      </c>
      <c r="F173" t="str">
        <f>IF('Obra FAR'!G58="","",'Obra FAR'!N58)</f>
        <v/>
      </c>
    </row>
    <row r="174" spans="1:6">
      <c r="A174" t="str">
        <f>IF('Obra FAR'!G59="","","Obra FAR")</f>
        <v>Obra FAR</v>
      </c>
      <c r="B174" t="str">
        <f>IF('Obra FAR'!G59="","",'Obra FAR'!G59)</f>
        <v>Feyro</v>
      </c>
      <c r="C174">
        <f>IF('Obra FAR'!G59="","",'Obra FAR'!I59)</f>
        <v>1245940.9099999999</v>
      </c>
      <c r="D174" t="str">
        <f>IF('Obra FAR'!G59="","",'Obra FAR'!L59)</f>
        <v>Pagado</v>
      </c>
      <c r="E174" t="str">
        <f>IF('Obra FAR'!G59="","",'Obra FAR'!M59)</f>
        <v>Pagado</v>
      </c>
      <c r="F174">
        <f>IF('Obra FAR'!G59="","",'Obra FAR'!N59)</f>
        <v>0</v>
      </c>
    </row>
    <row r="175" spans="1:6">
      <c r="A175" t="str">
        <f>IF('Obra FAR'!G60="","","Obra FAR")</f>
        <v>Obra FAR</v>
      </c>
      <c r="B175" t="str">
        <f>IF('Obra FAR'!G60="","",'Obra FAR'!G60)</f>
        <v>Almada</v>
      </c>
      <c r="C175">
        <f>IF('Obra FAR'!G60="","",'Obra FAR'!I60)</f>
        <v>850250.94</v>
      </c>
      <c r="D175" t="str">
        <f>IF('Obra FAR'!G60="","",'Obra FAR'!L60)</f>
        <v>Pagado</v>
      </c>
      <c r="E175" t="str">
        <f>IF('Obra FAR'!G60="","",'Obra FAR'!M60)</f>
        <v>Pagado</v>
      </c>
      <c r="F175">
        <f>IF('Obra FAR'!G60="","",'Obra FAR'!N60)</f>
        <v>0</v>
      </c>
    </row>
    <row r="176" spans="1:6">
      <c r="A176" t="str">
        <f>IF('Obra FAR'!G61="","","Obra FAR")</f>
        <v>Obra FAR</v>
      </c>
      <c r="B176" t="str">
        <f>IF('Obra FAR'!G61="","",'Obra FAR'!G61)</f>
        <v>Boccolini Aridos</v>
      </c>
      <c r="C176">
        <f>IF('Obra FAR'!G61="","",'Obra FAR'!I61)</f>
        <v>80000</v>
      </c>
      <c r="D176" t="str">
        <f>IF('Obra FAR'!G61="","",'Obra FAR'!L61)</f>
        <v>Pagado</v>
      </c>
      <c r="E176" t="str">
        <f>IF('Obra FAR'!G61="","",'Obra FAR'!M61)</f>
        <v>Pagado</v>
      </c>
      <c r="F176">
        <f>IF('Obra FAR'!G61="","",'Obra FAR'!N61)</f>
        <v>0</v>
      </c>
    </row>
    <row r="177" spans="1:6">
      <c r="A177" t="str">
        <f>IF('Obra FAR'!G62="","","Obra FAR")</f>
        <v/>
      </c>
      <c r="B177" t="str">
        <f>IF('Obra FAR'!G62="","",'Obra FAR'!G62)</f>
        <v/>
      </c>
      <c r="C177" t="str">
        <f>IF('Obra FAR'!G62="","",'Obra FAR'!I62)</f>
        <v/>
      </c>
      <c r="D177" t="str">
        <f>IF('Obra FAR'!G62="","",'Obra FAR'!L62)</f>
        <v/>
      </c>
      <c r="E177" t="str">
        <f>IF('Obra FAR'!G62="","",'Obra FAR'!M62)</f>
        <v/>
      </c>
      <c r="F177" t="str">
        <f>IF('Obra FAR'!G62="","",'Obra FAR'!N62)</f>
        <v/>
      </c>
    </row>
    <row r="178" spans="1:6">
      <c r="A178" t="str">
        <f>IF('Obra FAR'!G63="","","Obra FAR")</f>
        <v>Obra FAR</v>
      </c>
      <c r="B178" t="str">
        <f>IF('Obra FAR'!G63="","",'Obra FAR'!G63)</f>
        <v>Almada</v>
      </c>
      <c r="C178">
        <f>IF('Obra FAR'!G63="","",'Obra FAR'!I63)</f>
        <v>570312.13</v>
      </c>
      <c r="D178" t="str">
        <f>IF('Obra FAR'!G63="","",'Obra FAR'!L63)</f>
        <v>Pagado</v>
      </c>
      <c r="E178" t="str">
        <f>IF('Obra FAR'!G63="","",'Obra FAR'!M63)</f>
        <v>Pagado</v>
      </c>
      <c r="F178">
        <f>IF('Obra FAR'!G63="","",'Obra FAR'!N63)</f>
        <v>0</v>
      </c>
    </row>
    <row r="179" spans="1:6">
      <c r="A179" t="str">
        <f>IF('Obra FAR'!G64="","","Obra FAR")</f>
        <v>Obra FAR</v>
      </c>
      <c r="B179" t="str">
        <f>IF('Obra FAR'!G64="","",'Obra FAR'!G64)</f>
        <v>Claudio</v>
      </c>
      <c r="C179">
        <f>IF('Obra FAR'!G64="","",'Obra FAR'!I64)</f>
        <v>850000</v>
      </c>
      <c r="D179" t="str">
        <f>IF('Obra FAR'!G64="","",'Obra FAR'!L64)</f>
        <v>Pagado</v>
      </c>
      <c r="E179" t="str">
        <f>IF('Obra FAR'!G64="","",'Obra FAR'!M64)</f>
        <v>Pagado</v>
      </c>
      <c r="F179">
        <f>IF('Obra FAR'!G64="","",'Obra FAR'!N64)</f>
        <v>0</v>
      </c>
    </row>
    <row r="180" spans="1:6">
      <c r="A180" t="str">
        <f>IF('Obra FAR'!G65="","","Obra FAR")</f>
        <v>Obra FAR</v>
      </c>
      <c r="B180" t="str">
        <f>IF('Obra FAR'!G65="","",'Obra FAR'!G65)</f>
        <v>Deplano</v>
      </c>
      <c r="C180">
        <f>IF('Obra FAR'!G65="","",'Obra FAR'!I65)</f>
        <v>232408.6</v>
      </c>
      <c r="D180" t="str">
        <f>IF('Obra FAR'!G65="","",'Obra FAR'!L65)</f>
        <v>Pagado</v>
      </c>
      <c r="E180" t="str">
        <f>IF('Obra FAR'!G65="","",'Obra FAR'!M65)</f>
        <v>Pagado</v>
      </c>
      <c r="F180" t="str">
        <f>IF('Obra FAR'!G65="","",'Obra FAR'!N65)</f>
        <v>Recibido en obra</v>
      </c>
    </row>
    <row r="181" spans="1:6">
      <c r="A181" t="str">
        <f>IF('Obra FAR'!G66="","","Obra FAR")</f>
        <v>Obra FAR</v>
      </c>
      <c r="B181" t="str">
        <f>IF('Obra FAR'!G66="","",'Obra FAR'!G66)</f>
        <v>Flete Hugo Godoy</v>
      </c>
      <c r="C181">
        <f>IF('Obra FAR'!G66="","",'Obra FAR'!I66)</f>
        <v>37500</v>
      </c>
      <c r="D181" t="str">
        <f>IF('Obra FAR'!G66="","",'Obra FAR'!L66)</f>
        <v>Pagado</v>
      </c>
      <c r="E181" t="str">
        <f>IF('Obra FAR'!G66="","",'Obra FAR'!M66)</f>
        <v>Pagado</v>
      </c>
      <c r="F181">
        <f>IF('Obra FAR'!G66="","",'Obra FAR'!N66)</f>
        <v>0</v>
      </c>
    </row>
    <row r="182" spans="1:6">
      <c r="A182" t="str">
        <f>IF('Obra FAR'!G67="","","Obra FAR")</f>
        <v>Obra FAR</v>
      </c>
      <c r="B182" t="str">
        <f>IF('Obra FAR'!G67="","",'Obra FAR'!G67)</f>
        <v>Boccolini Aridos</v>
      </c>
      <c r="C182">
        <f>IF('Obra FAR'!G67="","",'Obra FAR'!I67)</f>
        <v>135000</v>
      </c>
      <c r="D182" t="str">
        <f>IF('Obra FAR'!G67="","",'Obra FAR'!L67)</f>
        <v>Pagado</v>
      </c>
      <c r="E182" t="str">
        <f>IF('Obra FAR'!G67="","",'Obra FAR'!M67)</f>
        <v>Pagado</v>
      </c>
      <c r="F182">
        <f>IF('Obra FAR'!G67="","",'Obra FAR'!N67)</f>
        <v>0</v>
      </c>
    </row>
    <row r="183" spans="1:6">
      <c r="A183" t="str">
        <f>IF('Obra FAR'!G68="","","Obra FAR")</f>
        <v>Obra FAR</v>
      </c>
      <c r="B183" t="str">
        <f>IF('Obra FAR'!G68="","",'Obra FAR'!G68)</f>
        <v>Almada</v>
      </c>
      <c r="C183">
        <f>IF('Obra FAR'!G68="","",'Obra FAR'!I68)</f>
        <v>693000</v>
      </c>
      <c r="D183" t="str">
        <f>IF('Obra FAR'!G68="","",'Obra FAR'!L68)</f>
        <v>Pagado</v>
      </c>
      <c r="E183" t="str">
        <f>IF('Obra FAR'!G68="","",'Obra FAR'!M68)</f>
        <v>Pagado</v>
      </c>
      <c r="F183">
        <f>IF('Obra FAR'!G68="","",'Obra FAR'!N68)</f>
        <v>0</v>
      </c>
    </row>
    <row r="184" spans="1:6">
      <c r="A184" t="str">
        <f>IF('Obra FAR'!G69="","","Obra FAR")</f>
        <v/>
      </c>
      <c r="B184" t="str">
        <f>IF('Obra FAR'!G69="","",'Obra FAR'!G69)</f>
        <v/>
      </c>
      <c r="C184" t="str">
        <f>IF('Obra FAR'!G69="","",'Obra FAR'!I69)</f>
        <v/>
      </c>
      <c r="D184" t="str">
        <f>IF('Obra FAR'!G69="","",'Obra FAR'!L69)</f>
        <v/>
      </c>
      <c r="E184" t="str">
        <f>IF('Obra FAR'!G69="","",'Obra FAR'!M69)</f>
        <v/>
      </c>
      <c r="F184" t="str">
        <f>IF('Obra FAR'!G69="","",'Obra FAR'!N69)</f>
        <v/>
      </c>
    </row>
    <row r="185" spans="1:6">
      <c r="A185" t="str">
        <f>IF('Obra JS'!G10="","","Obra JS")</f>
        <v>Obra JS</v>
      </c>
      <c r="B185" t="str">
        <f>IF('Obra JS'!G10="","",'Obra JS'!G10)</f>
        <v>Mendio</v>
      </c>
      <c r="C185">
        <f>IF('Obra JS'!G10="","",'Obra JS'!I10)</f>
        <v>295210.23</v>
      </c>
      <c r="D185" t="str">
        <f>IF('Obra JS'!G10="","",'Obra JS'!L10)</f>
        <v>Pagado</v>
      </c>
      <c r="E185" t="str">
        <f>IF('Obra JS'!G10="","",'Obra JS'!M10)</f>
        <v>Pagado</v>
      </c>
      <c r="F185" t="str">
        <f>IF('Obra JS'!G10="","",'Obra JS'!N10)</f>
        <v>Recibido en obra</v>
      </c>
    </row>
    <row r="186" spans="1:6">
      <c r="A186" t="str">
        <f>IF('Obra JS'!G11="","","Obra JS")</f>
        <v>Obra JS</v>
      </c>
      <c r="B186" t="str">
        <f>IF('Obra JS'!G11="","",'Obra JS'!G11)</f>
        <v>Cerroplast</v>
      </c>
      <c r="C186">
        <f>IF('Obra JS'!G11="","",'Obra JS'!I11)</f>
        <v>247755.37</v>
      </c>
      <c r="D186" t="str">
        <f>IF('Obra JS'!G11="","",'Obra JS'!L11)</f>
        <v>Pagado</v>
      </c>
      <c r="E186" t="str">
        <f>IF('Obra JS'!G11="","",'Obra JS'!M11)</f>
        <v>Pagado</v>
      </c>
      <c r="F186" t="str">
        <f>IF('Obra JS'!G11="","",'Obra JS'!N11)</f>
        <v>Recibido en obra</v>
      </c>
    </row>
    <row r="187" spans="1:6">
      <c r="A187" t="str">
        <f>IF('Obra JS'!G12="","","Obra JS")</f>
        <v>Obra JS</v>
      </c>
      <c r="B187" t="str">
        <f>IF('Obra JS'!G12="","",'Obra JS'!G12)</f>
        <v>Serin</v>
      </c>
      <c r="C187">
        <f>IF('Obra JS'!G12="","",'Obra JS'!I12)</f>
        <v>18176362.170000002</v>
      </c>
      <c r="D187" t="str">
        <f>IF('Obra JS'!G12="","",'Obra JS'!L12)</f>
        <v>Pagado</v>
      </c>
      <c r="E187" t="str">
        <f>IF('Obra JS'!G12="","",'Obra JS'!M12)</f>
        <v>Pagado</v>
      </c>
      <c r="F187" t="str">
        <f>IF('Obra JS'!G12="","",'Obra JS'!N12)</f>
        <v>Recibido en obra</v>
      </c>
    </row>
    <row r="188" spans="1:6">
      <c r="A188" t="str">
        <f>IF('Obra JS'!G13="","","Obra JS")</f>
        <v>Obra JS</v>
      </c>
      <c r="B188" t="str">
        <f>IF('Obra JS'!G13="","",'Obra JS'!G13)</f>
        <v>Serin</v>
      </c>
      <c r="C188">
        <f>IF('Obra JS'!G13="","",'Obra JS'!I13)</f>
        <v>895017.35</v>
      </c>
      <c r="D188" t="str">
        <f>IF('Obra JS'!G13="","",'Obra JS'!L13)</f>
        <v>Pagado</v>
      </c>
      <c r="E188" t="str">
        <f>IF('Obra JS'!G13="","",'Obra JS'!M13)</f>
        <v>Pagado</v>
      </c>
      <c r="F188" t="str">
        <f>IF('Obra JS'!G13="","",'Obra JS'!N13)</f>
        <v>Recibido en obra</v>
      </c>
    </row>
    <row r="189" spans="1:6">
      <c r="A189" t="str">
        <f>IF('Obra JS'!G14="","","Obra JS")</f>
        <v>Obra JS</v>
      </c>
      <c r="B189" t="str">
        <f>IF('Obra JS'!G14="","",'Obra JS'!G14)</f>
        <v>Serin</v>
      </c>
      <c r="C189">
        <f>IF('Obra JS'!G14="","",'Obra JS'!I14)</f>
        <v>222592.8</v>
      </c>
      <c r="D189" t="str">
        <f>IF('Obra JS'!G14="","",'Obra JS'!L14)</f>
        <v>Pagado</v>
      </c>
      <c r="E189" t="str">
        <f>IF('Obra JS'!G14="","",'Obra JS'!M14)</f>
        <v>Pagado</v>
      </c>
      <c r="F189" t="str">
        <f>IF('Obra JS'!G14="","",'Obra JS'!N14)</f>
        <v>Recibido en obra</v>
      </c>
    </row>
    <row r="190" spans="1:6">
      <c r="A190" t="str">
        <f>IF('Obra JS'!G15="","","Obra JS")</f>
        <v>Obra JS</v>
      </c>
      <c r="B190" t="str">
        <f>IF('Obra JS'!G15="","",'Obra JS'!G15)</f>
        <v>Natalia Obrador</v>
      </c>
      <c r="C190">
        <f>IF('Obra JS'!G15="","",'Obra JS'!I15)</f>
        <v>1100000</v>
      </c>
      <c r="D190" t="str">
        <f>IF('Obra JS'!G15="","",'Obra JS'!L15)</f>
        <v>Pagado</v>
      </c>
      <c r="E190" t="str">
        <f>IF('Obra JS'!G15="","",'Obra JS'!M15)</f>
        <v>Pagado</v>
      </c>
      <c r="F190" t="str">
        <f>IF('Obra JS'!G15="","",'Obra JS'!N15)</f>
        <v>Recibido en obra</v>
      </c>
    </row>
    <row r="191" spans="1:6">
      <c r="A191" t="str">
        <f>IF('Obra JS'!G16="","","Obra JS")</f>
        <v>Obra JS</v>
      </c>
      <c r="B191" t="str">
        <f>IF('Obra JS'!G16="","",'Obra JS'!G16)</f>
        <v>Mendio</v>
      </c>
      <c r="C191">
        <f>IF('Obra JS'!G16="","",'Obra JS'!I16)</f>
        <v>622770</v>
      </c>
      <c r="D191" t="str">
        <f>IF('Obra JS'!G16="","",'Obra JS'!L16)</f>
        <v>Pagado</v>
      </c>
      <c r="E191" t="str">
        <f>IF('Obra JS'!G16="","",'Obra JS'!M16)</f>
        <v>Pagado</v>
      </c>
      <c r="F191" t="str">
        <f>IF('Obra JS'!G16="","",'Obra JS'!N16)</f>
        <v>Recibido en obra</v>
      </c>
    </row>
    <row r="192" spans="1:6">
      <c r="A192" t="str">
        <f>IF('Obra JS'!G17="","","Obra JS")</f>
        <v>Obra JS</v>
      </c>
      <c r="B192" t="str">
        <f>IF('Obra JS'!G17="","",'Obra JS'!G17)</f>
        <v>Hormiblock</v>
      </c>
      <c r="C192">
        <f>IF('Obra JS'!G17="","",'Obra JS'!I17)</f>
        <v>8960000</v>
      </c>
      <c r="D192" t="str">
        <f>IF('Obra JS'!G17="","",'Obra JS'!L17)</f>
        <v>Pagado</v>
      </c>
      <c r="E192" t="str">
        <f>IF('Obra JS'!G17="","",'Obra JS'!M17)</f>
        <v>Pagado</v>
      </c>
      <c r="F192" t="str">
        <f>IF('Obra JS'!G17="","",'Obra JS'!N17)</f>
        <v>Recibido en obra</v>
      </c>
    </row>
    <row r="193" spans="1:6">
      <c r="A193" t="str">
        <f>IF('Obra JS'!G18="","","Obra JS")</f>
        <v/>
      </c>
      <c r="B193" t="str">
        <f>IF('Obra JS'!G18="","",'Obra JS'!G18)</f>
        <v/>
      </c>
      <c r="C193" t="str">
        <f>IF('Obra JS'!G18="","",'Obra JS'!I18)</f>
        <v/>
      </c>
      <c r="D193" t="str">
        <f>IF('Obra JS'!G18="","",'Obra JS'!L18)</f>
        <v/>
      </c>
      <c r="E193" t="str">
        <f>IF('Obra JS'!G18="","",'Obra JS'!M18)</f>
        <v/>
      </c>
      <c r="F193" t="str">
        <f>IF('Obra JS'!G18="","",'Obra JS'!N18)</f>
        <v/>
      </c>
    </row>
    <row r="194" spans="1:6">
      <c r="A194" t="str">
        <f>IF('Obra JS'!G19="","","Obra JS")</f>
        <v>Obra JS</v>
      </c>
      <c r="B194" t="str">
        <f>IF('Obra JS'!G19="","",'Obra JS'!G19)</f>
        <v>Hormiblock</v>
      </c>
      <c r="C194">
        <f>IF('Obra JS'!G19="","",'Obra JS'!I19)</f>
        <v>6305000</v>
      </c>
      <c r="D194" t="str">
        <f>IF('Obra JS'!G19="","",'Obra JS'!L19)</f>
        <v>Pagado</v>
      </c>
      <c r="E194" t="str">
        <f>IF('Obra JS'!G19="","",'Obra JS'!M19)</f>
        <v>Pagado</v>
      </c>
      <c r="F194" t="str">
        <f>IF('Obra JS'!G19="","",'Obra JS'!N19)</f>
        <v>Recibido en obra</v>
      </c>
    </row>
    <row r="195" spans="1:6">
      <c r="A195" t="str">
        <f>IF('Obra JS'!G20="","","Obra JS")</f>
        <v>Obra JS</v>
      </c>
      <c r="B195" t="str">
        <f>IF('Obra JS'!G20="","",'Obra JS'!G20)</f>
        <v>Mendio</v>
      </c>
      <c r="C195">
        <f>IF('Obra JS'!G20="","",'Obra JS'!I20)</f>
        <v>5900970</v>
      </c>
      <c r="D195" t="str">
        <f>IF('Obra JS'!G20="","",'Obra JS'!L20)</f>
        <v>Pagado</v>
      </c>
      <c r="E195" t="str">
        <f>IF('Obra JS'!G20="","",'Obra JS'!M20)</f>
        <v>Pagado</v>
      </c>
      <c r="F195" t="str">
        <f>IF('Obra JS'!G20="","",'Obra JS'!N20)</f>
        <v>Recibido en obra</v>
      </c>
    </row>
    <row r="196" spans="1:6">
      <c r="A196" t="str">
        <f>IF('Obra JS'!G21="","","Obra JS")</f>
        <v>Obra JS</v>
      </c>
      <c r="B196" t="str">
        <f>IF('Obra JS'!G21="","",'Obra JS'!G21)</f>
        <v>Roncaglia</v>
      </c>
      <c r="C196">
        <f>IF('Obra JS'!G21="","",'Obra JS'!I21)</f>
        <v>73000</v>
      </c>
      <c r="D196" t="str">
        <f>IF('Obra JS'!G21="","",'Obra JS'!L21)</f>
        <v>Pagado</v>
      </c>
      <c r="E196" t="str">
        <f>IF('Obra JS'!G21="","",'Obra JS'!M21)</f>
        <v>Pagado</v>
      </c>
      <c r="F196" t="str">
        <f>IF('Obra JS'!G21="","",'Obra JS'!N21)</f>
        <v>Recibido en obra</v>
      </c>
    </row>
    <row r="197" spans="1:6">
      <c r="A197" t="str">
        <f>IF('Obra JS'!G22="","","Obra JS")</f>
        <v>Obra JS</v>
      </c>
      <c r="B197" t="str">
        <f>IF('Obra JS'!G22="","",'Obra JS'!G22)</f>
        <v>Serin</v>
      </c>
      <c r="C197">
        <f>IF('Obra JS'!G22="","",'Obra JS'!I22)</f>
        <v>907493.44</v>
      </c>
      <c r="D197" t="str">
        <f>IF('Obra JS'!G22="","",'Obra JS'!L22)</f>
        <v>Pagado</v>
      </c>
      <c r="E197" t="str">
        <f>IF('Obra JS'!G22="","",'Obra JS'!M22)</f>
        <v>Pagado</v>
      </c>
      <c r="F197" t="str">
        <f>IF('Obra JS'!G22="","",'Obra JS'!N22)</f>
        <v>Recibido en obra</v>
      </c>
    </row>
    <row r="198" spans="1:6">
      <c r="A198" t="str">
        <f>IF('Obra JS'!G23="","","Obra JS")</f>
        <v>Obra JS</v>
      </c>
      <c r="B198" t="str">
        <f>IF('Obra JS'!G23="","",'Obra JS'!G23)</f>
        <v>Serin</v>
      </c>
      <c r="C198">
        <f>IF('Obra JS'!G23="","",'Obra JS'!I23)</f>
        <v>1327719.69</v>
      </c>
      <c r="D198" t="str">
        <f>IF('Obra JS'!G23="","",'Obra JS'!L23)</f>
        <v>Pagado</v>
      </c>
      <c r="E198" t="str">
        <f>IF('Obra JS'!G23="","",'Obra JS'!M23)</f>
        <v>Pagado</v>
      </c>
      <c r="F198" t="str">
        <f>IF('Obra JS'!G23="","",'Obra JS'!N23)</f>
        <v>Recibido en obra</v>
      </c>
    </row>
    <row r="199" spans="1:6">
      <c r="A199" t="str">
        <f>IF('Obra JS'!G24="","","Obra JS")</f>
        <v>Obra JS</v>
      </c>
      <c r="B199" t="str">
        <f>IF('Obra JS'!G24="","",'Obra JS'!G24)</f>
        <v>Apromax</v>
      </c>
      <c r="C199">
        <f>IF('Obra JS'!G24="","",'Obra JS'!I24)</f>
        <v>12500000</v>
      </c>
      <c r="D199" t="str">
        <f>IF('Obra JS'!G24="","",'Obra JS'!L24)</f>
        <v>Pagado</v>
      </c>
      <c r="E199" t="str">
        <f>IF('Obra JS'!G24="","",'Obra JS'!M24)</f>
        <v>Pagado</v>
      </c>
      <c r="F199" t="str">
        <f>IF('Obra JS'!G24="","",'Obra JS'!N24)</f>
        <v>Recibido en obra</v>
      </c>
    </row>
    <row r="200" spans="1:6">
      <c r="A200" t="str">
        <f>IF('Obra JS'!G25="","","Obra JS")</f>
        <v>Obra JS</v>
      </c>
      <c r="B200" t="str">
        <f>IF('Obra JS'!G25="","",'Obra JS'!G25)</f>
        <v>Apromax</v>
      </c>
      <c r="C200">
        <f>IF('Obra JS'!G25="","",'Obra JS'!I25)</f>
        <v>12598800</v>
      </c>
      <c r="D200" t="str">
        <f>IF('Obra JS'!G25="","",'Obra JS'!L25)</f>
        <v>Pagado</v>
      </c>
      <c r="E200" t="str">
        <f>IF('Obra JS'!G25="","",'Obra JS'!M25)</f>
        <v>Pagado</v>
      </c>
      <c r="F200" t="str">
        <f>IF('Obra JS'!G25="","",'Obra JS'!N25)</f>
        <v>Recibido en obra</v>
      </c>
    </row>
    <row r="201" spans="1:6">
      <c r="A201" t="str">
        <f>IF('Obra JS'!G26="","","Obra JS")</f>
        <v>Obra JS</v>
      </c>
      <c r="B201" t="str">
        <f>IF('Obra JS'!G26="","",'Obra JS'!G26)</f>
        <v>Serin</v>
      </c>
      <c r="C201">
        <f>IF('Obra JS'!G26="","",'Obra JS'!I26)</f>
        <v>3471631.06</v>
      </c>
      <c r="D201" t="str">
        <f>IF('Obra JS'!G26="","",'Obra JS'!L26)</f>
        <v>Pagado</v>
      </c>
      <c r="E201" t="str">
        <f>IF('Obra JS'!G26="","",'Obra JS'!M26)</f>
        <v>Pagado</v>
      </c>
      <c r="F201" t="str">
        <f>IF('Obra JS'!G26="","",'Obra JS'!N26)</f>
        <v>Recibido en obra</v>
      </c>
    </row>
    <row r="202" spans="1:6">
      <c r="A202" t="str">
        <f>IF('Obra JS'!G27="","","Obra JS")</f>
        <v>Obra JS</v>
      </c>
      <c r="B202" t="str">
        <f>IF('Obra JS'!G27="","",'Obra JS'!G27)</f>
        <v>San Cayetano</v>
      </c>
      <c r="C202">
        <f>IF('Obra JS'!G27="","",'Obra JS'!I27)</f>
        <v>3200000</v>
      </c>
      <c r="D202" t="str">
        <f>IF('Obra JS'!G27="","",'Obra JS'!L27)</f>
        <v>Pagado</v>
      </c>
      <c r="E202" t="str">
        <f>IF('Obra JS'!G27="","",'Obra JS'!M27)</f>
        <v>Pagado</v>
      </c>
      <c r="F202" t="str">
        <f>IF('Obra JS'!G27="","",'Obra JS'!N27)</f>
        <v>Acopio</v>
      </c>
    </row>
    <row r="203" spans="1:6">
      <c r="A203" t="str">
        <f>IF('Obra JS'!G28="","","Obra JS")</f>
        <v>Obra JS</v>
      </c>
      <c r="B203" t="str">
        <f>IF('Obra JS'!G28="","",'Obra JS'!G28)</f>
        <v>ENAS</v>
      </c>
      <c r="C203">
        <f>IF('Obra JS'!G28="","",'Obra JS'!I28)</f>
        <v>4862385</v>
      </c>
      <c r="D203" t="str">
        <f>IF('Obra JS'!G28="","",'Obra JS'!L28)</f>
        <v>Pagado</v>
      </c>
      <c r="E203" t="str">
        <f>IF('Obra JS'!G28="","",'Obra JS'!M28)</f>
        <v>Pagado</v>
      </c>
      <c r="F203" t="str">
        <f>IF('Obra JS'!G28="","",'Obra JS'!N28)</f>
        <v>Recibido en obra</v>
      </c>
    </row>
    <row r="204" spans="1:6">
      <c r="A204" t="str">
        <f>IF('Obra JS'!G29="","","Obra JS")</f>
        <v>Obra JS</v>
      </c>
      <c r="B204" t="str">
        <f>IF('Obra JS'!G29="","",'Obra JS'!G29)</f>
        <v>Hormiblock</v>
      </c>
      <c r="C204">
        <f>IF('Obra JS'!G29="","",'Obra JS'!I29)</f>
        <v>1158000</v>
      </c>
      <c r="D204" t="str">
        <f>IF('Obra JS'!G29="","",'Obra JS'!L29)</f>
        <v>Pagado</v>
      </c>
      <c r="E204" t="str">
        <f>IF('Obra JS'!G29="","",'Obra JS'!M29)</f>
        <v>Pagado</v>
      </c>
      <c r="F204" t="str">
        <f>IF('Obra JS'!G29="","",'Obra JS'!N29)</f>
        <v>Recibido en obra</v>
      </c>
    </row>
    <row r="205" spans="1:6">
      <c r="A205" t="str">
        <f>IF('Obra JS'!G30="","","Obra JS")</f>
        <v>Obra JS</v>
      </c>
      <c r="B205" t="str">
        <f>IF('Obra JS'!G30="","",'Obra JS'!G30)</f>
        <v>Flete Hugo Godoy</v>
      </c>
      <c r="C205">
        <f>IF('Obra JS'!G30="","",'Obra JS'!I30)</f>
        <v>73500</v>
      </c>
      <c r="D205" t="str">
        <f>IF('Obra JS'!G30="","",'Obra JS'!L30)</f>
        <v>Pagado</v>
      </c>
      <c r="E205" t="str">
        <f>IF('Obra JS'!G30="","",'Obra JS'!M30)</f>
        <v>Pagado</v>
      </c>
      <c r="F205" t="str">
        <f>IF('Obra JS'!G30="","",'Obra JS'!N30)</f>
        <v>Recibido en obra</v>
      </c>
    </row>
    <row r="206" spans="1:6">
      <c r="A206" t="str">
        <f>IF('Obra JS'!G31="","","Obra JS")</f>
        <v>Obra JS</v>
      </c>
      <c r="B206" t="str">
        <f>IF('Obra JS'!G31="","",'Obra JS'!G31)</f>
        <v>Mendio</v>
      </c>
      <c r="C206">
        <f>IF('Obra JS'!G31="","",'Obra JS'!I31)</f>
        <v>2290647</v>
      </c>
      <c r="D206" t="str">
        <f>IF('Obra JS'!G31="","",'Obra JS'!L31)</f>
        <v>Pagado</v>
      </c>
      <c r="E206" t="str">
        <f>IF('Obra JS'!G31="","",'Obra JS'!M31)</f>
        <v>Pagado</v>
      </c>
      <c r="F206" t="str">
        <f>IF('Obra JS'!G31="","",'Obra JS'!N31)</f>
        <v>Recibido en obra</v>
      </c>
    </row>
    <row r="207" spans="1:6">
      <c r="A207" t="str">
        <f>IF('Obra JS'!G32="","","Obra JS")</f>
        <v>Obra JS</v>
      </c>
      <c r="B207" t="str">
        <f>IF('Obra JS'!G32="","",'Obra JS'!G32)</f>
        <v>Flete Hugo Godoy</v>
      </c>
      <c r="C207">
        <f>IF('Obra JS'!G32="","",'Obra JS'!I32)</f>
        <v>77000</v>
      </c>
      <c r="D207" t="str">
        <f>IF('Obra JS'!G32="","",'Obra JS'!L32)</f>
        <v>Pagado</v>
      </c>
      <c r="E207" t="str">
        <f>IF('Obra JS'!G32="","",'Obra JS'!M32)</f>
        <v>Pagado</v>
      </c>
      <c r="F207" t="str">
        <f>IF('Obra JS'!G32="","",'Obra JS'!N32)</f>
        <v>Recibido en obra</v>
      </c>
    </row>
    <row r="208" spans="1:6">
      <c r="A208" t="str">
        <f>IF('Obra JS'!G33="","","Obra JS")</f>
        <v>Obra JS</v>
      </c>
      <c r="B208" t="str">
        <f>IF('Obra JS'!G33="","",'Obra JS'!G33)</f>
        <v>Hierros Industriales</v>
      </c>
      <c r="C208">
        <f>IF('Obra JS'!G33="","",'Obra JS'!I33)</f>
        <v>735262.65</v>
      </c>
      <c r="D208" t="str">
        <f>IF('Obra JS'!G33="","",'Obra JS'!L33)</f>
        <v>Pagado</v>
      </c>
      <c r="E208" t="str">
        <f>IF('Obra JS'!G33="","",'Obra JS'!M33)</f>
        <v>Pagado</v>
      </c>
      <c r="F208" t="str">
        <f>IF('Obra JS'!G33="","",'Obra JS'!N33)</f>
        <v>Recibido en obra</v>
      </c>
    </row>
    <row r="209" spans="1:6">
      <c r="A209" t="str">
        <f>IF('Obra JS'!G34="","","Obra JS")</f>
        <v>Obra JS</v>
      </c>
      <c r="B209" t="str">
        <f>IF('Obra JS'!G34="","",'Obra JS'!G34)</f>
        <v>Pilca</v>
      </c>
      <c r="C209">
        <f>IF('Obra JS'!G34="","",'Obra JS'!I34)</f>
        <v>8519290.3000000007</v>
      </c>
      <c r="D209" t="str">
        <f>IF('Obra JS'!G34="","",'Obra JS'!L34)</f>
        <v>Pagado</v>
      </c>
      <c r="E209" t="str">
        <f>IF('Obra JS'!G34="","",'Obra JS'!M34)</f>
        <v>Pagado</v>
      </c>
      <c r="F209" t="str">
        <f>IF('Obra JS'!G34="","",'Obra JS'!N34)</f>
        <v>Recibido en obra</v>
      </c>
    </row>
    <row r="210" spans="1:6">
      <c r="A210" t="str">
        <f>IF('Obra JS'!G35="","","Obra JS")</f>
        <v>Obra JS</v>
      </c>
      <c r="B210" t="str">
        <f>IF('Obra JS'!G35="","",'Obra JS'!G35)</f>
        <v>Mendio</v>
      </c>
      <c r="C210">
        <f>IF('Obra JS'!G35="","",'Obra JS'!I35)</f>
        <v>1335620</v>
      </c>
      <c r="D210" t="str">
        <f>IF('Obra JS'!G35="","",'Obra JS'!L35)</f>
        <v>Pagado</v>
      </c>
      <c r="E210" t="str">
        <f>IF('Obra JS'!G35="","",'Obra JS'!M35)</f>
        <v>Pagado</v>
      </c>
      <c r="F210" t="str">
        <f>IF('Obra JS'!G35="","",'Obra JS'!N35)</f>
        <v>Recibido en obra</v>
      </c>
    </row>
    <row r="211" spans="1:6">
      <c r="A211" t="str">
        <f>IF('Obra JS'!G36="","","Obra JS")</f>
        <v>Obra JS</v>
      </c>
      <c r="B211" t="str">
        <f>IF('Obra JS'!G36="","",'Obra JS'!G36)</f>
        <v>Saniplast</v>
      </c>
      <c r="C211">
        <f>IF('Obra JS'!G36="","",'Obra JS'!I36)</f>
        <v>548433.93999999994</v>
      </c>
      <c r="D211" t="str">
        <f>IF('Obra JS'!G36="","",'Obra JS'!L36)</f>
        <v>Pagado</v>
      </c>
      <c r="E211" t="str">
        <f>IF('Obra JS'!G36="","",'Obra JS'!M36)</f>
        <v>Pagado</v>
      </c>
      <c r="F211" t="str">
        <f>IF('Obra JS'!G36="","",'Obra JS'!N36)</f>
        <v>Recibido en obra</v>
      </c>
    </row>
    <row r="212" spans="1:6">
      <c r="A212" t="str">
        <f>IF('Obra JS'!G37="","","Obra JS")</f>
        <v>Obra JS</v>
      </c>
      <c r="B212" t="str">
        <f>IF('Obra JS'!G37="","",'Obra JS'!G37)</f>
        <v>Saniplast</v>
      </c>
      <c r="C212">
        <f>IF('Obra JS'!G37="","",'Obra JS'!I37)</f>
        <v>1828865.77</v>
      </c>
      <c r="D212" t="str">
        <f>IF('Obra JS'!G37="","",'Obra JS'!L37)</f>
        <v>Pagado</v>
      </c>
      <c r="E212" t="str">
        <f>IF('Obra JS'!G37="","",'Obra JS'!M37)</f>
        <v>Pagado</v>
      </c>
      <c r="F212" t="str">
        <f>IF('Obra JS'!G37="","",'Obra JS'!N37)</f>
        <v>Recibido en obra</v>
      </c>
    </row>
    <row r="213" spans="1:6">
      <c r="A213" t="str">
        <f>IF('Obra JS'!G38="","","Obra JS")</f>
        <v>Obra JS</v>
      </c>
      <c r="B213" t="str">
        <f>IF('Obra JS'!G38="","",'Obra JS'!G38)</f>
        <v>Saniplast</v>
      </c>
      <c r="C213">
        <f>IF('Obra JS'!G38="","",'Obra JS'!I38)</f>
        <v>3804058.39</v>
      </c>
      <c r="D213" t="str">
        <f>IF('Obra JS'!G38="","",'Obra JS'!L38)</f>
        <v>Pagado</v>
      </c>
      <c r="E213" t="str">
        <f>IF('Obra JS'!G38="","",'Obra JS'!M38)</f>
        <v>Pagado</v>
      </c>
      <c r="F213" t="str">
        <f>IF('Obra JS'!G38="","",'Obra JS'!N38)</f>
        <v>Recibido en obra</v>
      </c>
    </row>
    <row r="214" spans="1:6">
      <c r="A214" t="str">
        <f>IF('Obra JS'!G39="","","Obra JS")</f>
        <v>Obra JS</v>
      </c>
      <c r="B214" t="str">
        <f>IF('Obra JS'!G39="","",'Obra JS'!G39)</f>
        <v>Natalia Obrador</v>
      </c>
      <c r="C214">
        <f>IF('Obra JS'!G39="","",'Obra JS'!I39)</f>
        <v>1420000</v>
      </c>
      <c r="D214" t="str">
        <f>IF('Obra JS'!G39="","",'Obra JS'!L39)</f>
        <v>Pagado</v>
      </c>
      <c r="E214" t="str">
        <f>IF('Obra JS'!G39="","",'Obra JS'!M39)</f>
        <v>Pagado</v>
      </c>
      <c r="F214" t="str">
        <f>IF('Obra JS'!G39="","",'Obra JS'!N39)</f>
        <v>Recibido en obra</v>
      </c>
    </row>
    <row r="215" spans="1:6">
      <c r="A215" t="str">
        <f>IF('Obra JS'!G40="","","Obra JS")</f>
        <v>Obra JS</v>
      </c>
      <c r="B215" t="str">
        <f>IF('Obra JS'!G40="","",'Obra JS'!G40)</f>
        <v>Enas</v>
      </c>
      <c r="C215">
        <f>IF('Obra JS'!G40="","",'Obra JS'!I40)</f>
        <v>4465123.25</v>
      </c>
      <c r="D215" t="str">
        <f>IF('Obra JS'!G40="","",'Obra JS'!L40)</f>
        <v>Pagado</v>
      </c>
      <c r="E215" t="str">
        <f>IF('Obra JS'!G40="","",'Obra JS'!M40)</f>
        <v>Pagado</v>
      </c>
      <c r="F215" t="str">
        <f>IF('Obra JS'!G40="","",'Obra JS'!N40)</f>
        <v>Recibido en obra</v>
      </c>
    </row>
    <row r="216" spans="1:6">
      <c r="A216" t="str">
        <f>IF('Obra JS'!G41="","","Obra JS")</f>
        <v>Obra JS</v>
      </c>
      <c r="B216" t="str">
        <f>IF('Obra JS'!G41="","",'Obra JS'!G41)</f>
        <v>Feyro</v>
      </c>
      <c r="C216">
        <f>IF('Obra JS'!G41="","",'Obra JS'!I41)</f>
        <v>1402888.99</v>
      </c>
      <c r="D216" t="str">
        <f>IF('Obra JS'!G41="","",'Obra JS'!L41)</f>
        <v>Pagado</v>
      </c>
      <c r="E216" t="str">
        <f>IF('Obra JS'!G41="","",'Obra JS'!M41)</f>
        <v>Pagado</v>
      </c>
      <c r="F216" t="str">
        <f>IF('Obra JS'!G41="","",'Obra JS'!N41)</f>
        <v>Pendiente</v>
      </c>
    </row>
    <row r="217" spans="1:6">
      <c r="A217" t="str">
        <f>IF('Obra JS'!G42="","","Obra JS")</f>
        <v>Obra JS</v>
      </c>
      <c r="B217" t="str">
        <f>IF('Obra JS'!G42="","",'Obra JS'!G42)</f>
        <v>Roncaglia</v>
      </c>
      <c r="C217">
        <f>IF('Obra JS'!G42="","",'Obra JS'!I42)</f>
        <v>61000</v>
      </c>
      <c r="D217" t="str">
        <f>IF('Obra JS'!G42="","",'Obra JS'!L42)</f>
        <v>Pagado</v>
      </c>
      <c r="E217" t="str">
        <f>IF('Obra JS'!G42="","",'Obra JS'!M42)</f>
        <v>Pagado</v>
      </c>
      <c r="F217" t="str">
        <f>IF('Obra JS'!G42="","",'Obra JS'!N42)</f>
        <v>Recibido en obra</v>
      </c>
    </row>
    <row r="218" spans="1:6">
      <c r="A218" t="str">
        <f>IF('Obra JS'!G43="","","Obra JS")</f>
        <v>Obra JS</v>
      </c>
      <c r="B218" t="str">
        <f>IF('Obra JS'!G43="","",'Obra JS'!G43)</f>
        <v>Saniplast</v>
      </c>
      <c r="C218">
        <f>IF('Obra JS'!G43="","",'Obra JS'!I43)</f>
        <v>523474.34</v>
      </c>
      <c r="D218" t="str">
        <f>IF('Obra JS'!G43="","",'Obra JS'!L43)</f>
        <v>Pagado</v>
      </c>
      <c r="E218" t="str">
        <f>IF('Obra JS'!G43="","",'Obra JS'!M43)</f>
        <v>Pagado</v>
      </c>
      <c r="F218" t="str">
        <f>IF('Obra JS'!G43="","",'Obra JS'!N43)</f>
        <v>Recibido en obra</v>
      </c>
    </row>
    <row r="219" spans="1:6">
      <c r="A219" t="str">
        <f>IF('Obra JS'!G44="","","Obra JS")</f>
        <v>Obra JS</v>
      </c>
      <c r="B219" t="str">
        <f>IF('Obra JS'!G44="","",'Obra JS'!G44)</f>
        <v>Alquilo Todo VGB</v>
      </c>
      <c r="C219">
        <f>IF('Obra JS'!G44="","",'Obra JS'!I44)</f>
        <v>112300</v>
      </c>
      <c r="D219" t="str">
        <f>IF('Obra JS'!G44="","",'Obra JS'!L44)</f>
        <v>Pagado</v>
      </c>
      <c r="E219" t="str">
        <f>IF('Obra JS'!G44="","",'Obra JS'!M44)</f>
        <v>Pagado</v>
      </c>
      <c r="F219" t="str">
        <f>IF('Obra JS'!G44="","",'Obra JS'!N44)</f>
        <v>Recibido en obra</v>
      </c>
    </row>
    <row r="220" spans="1:6">
      <c r="A220" t="str">
        <f>IF('Obra JS'!G45="","","Obra JS")</f>
        <v>Obra JS</v>
      </c>
      <c r="B220" t="str">
        <f>IF('Obra JS'!G45="","",'Obra JS'!G45)</f>
        <v>Alquilo Todo CBA</v>
      </c>
      <c r="C220">
        <f>IF('Obra JS'!G45="","",'Obra JS'!I45)</f>
        <v>50000</v>
      </c>
      <c r="D220" t="str">
        <f>IF('Obra JS'!G45="","",'Obra JS'!L45)</f>
        <v>Pagado</v>
      </c>
      <c r="E220" t="str">
        <f>IF('Obra JS'!G45="","",'Obra JS'!M45)</f>
        <v>Pagado</v>
      </c>
      <c r="F220" t="str">
        <f>IF('Obra JS'!G45="","",'Obra JS'!N45)</f>
        <v>Recibido en obra</v>
      </c>
    </row>
    <row r="221" spans="1:6">
      <c r="A221" t="str">
        <f>IF('Obra JS'!G46="","","Obra JS")</f>
        <v>Obra JS</v>
      </c>
      <c r="B221" t="str">
        <f>IF('Obra JS'!G46="","",'Obra JS'!G46)</f>
        <v>Flete Hugo Godoy</v>
      </c>
      <c r="C221">
        <f>IF('Obra JS'!G46="","",'Obra JS'!I46)</f>
        <v>87500</v>
      </c>
      <c r="D221" t="str">
        <f>IF('Obra JS'!G46="","",'Obra JS'!L46)</f>
        <v>Pagado</v>
      </c>
      <c r="E221" t="str">
        <f>IF('Obra JS'!G46="","",'Obra JS'!M46)</f>
        <v>Pagado</v>
      </c>
      <c r="F221" t="str">
        <f>IF('Obra JS'!G46="","",'Obra JS'!N46)</f>
        <v>Recibido en obra</v>
      </c>
    </row>
    <row r="222" spans="1:6">
      <c r="A222" t="str">
        <f>IF('Obra JS'!G47="","","Obra JS")</f>
        <v>Obra JS</v>
      </c>
      <c r="B222" t="str">
        <f>IF('Obra JS'!G47="","",'Obra JS'!G47)</f>
        <v>Pilca</v>
      </c>
      <c r="C222">
        <f>IF('Obra JS'!G47="","",'Obra JS'!I47)</f>
        <v>7724578</v>
      </c>
      <c r="D222" t="str">
        <f>IF('Obra JS'!G47="","",'Obra JS'!L47)</f>
        <v>Pagado</v>
      </c>
      <c r="E222" t="str">
        <f>IF('Obra JS'!G47="","",'Obra JS'!M47)</f>
        <v>Pagado</v>
      </c>
      <c r="F222" t="str">
        <f>IF('Obra JS'!G47="","",'Obra JS'!N47)</f>
        <v>Recibido en obra</v>
      </c>
    </row>
    <row r="223" spans="1:6">
      <c r="A223" t="str">
        <f>IF('Obra JS'!G48="","","Obra JS")</f>
        <v>Obra JS</v>
      </c>
      <c r="B223" t="str">
        <f>IF('Obra JS'!G48="","",'Obra JS'!G48)</f>
        <v>Mendio</v>
      </c>
      <c r="C223">
        <f>IF('Obra JS'!G48="","",'Obra JS'!I48)</f>
        <v>1140622.5</v>
      </c>
      <c r="D223" t="str">
        <f>IF('Obra JS'!G48="","",'Obra JS'!L48)</f>
        <v>Pagado</v>
      </c>
      <c r="E223" t="str">
        <f>IF('Obra JS'!G48="","",'Obra JS'!M48)</f>
        <v>Pagado</v>
      </c>
      <c r="F223" t="str">
        <f>IF('Obra JS'!G48="","",'Obra JS'!N48)</f>
        <v>Recibido en obra</v>
      </c>
    </row>
    <row r="224" spans="1:6">
      <c r="A224" t="str">
        <f>IF('Obra JS'!G49="","","Obra JS")</f>
        <v>Obra JS</v>
      </c>
      <c r="B224" t="str">
        <f>IF('Obra JS'!G49="","",'Obra JS'!G49)</f>
        <v>Enas</v>
      </c>
      <c r="C224">
        <f>IF('Obra JS'!G49="","",'Obra JS'!I49)</f>
        <v>3909464.87</v>
      </c>
      <c r="D224" t="str">
        <f>IF('Obra JS'!G49="","",'Obra JS'!L49)</f>
        <v>Pagado</v>
      </c>
      <c r="E224" t="str">
        <f>IF('Obra JS'!G49="","",'Obra JS'!M49)</f>
        <v>Pagado</v>
      </c>
      <c r="F224" t="str">
        <f>IF('Obra JS'!G49="","",'Obra JS'!N49)</f>
        <v>Recibido en obra</v>
      </c>
    </row>
    <row r="225" spans="1:6">
      <c r="A225" t="str">
        <f>IF('Obra JS'!G50="","","Obra JS")</f>
        <v>Obra JS</v>
      </c>
      <c r="B225" t="str">
        <f>IF('Obra JS'!G50="","",'Obra JS'!G50)</f>
        <v>Hierros Industriales</v>
      </c>
      <c r="C225">
        <f>IF('Obra JS'!G50="","",'Obra JS'!I50)</f>
        <v>667677.59</v>
      </c>
      <c r="D225" t="str">
        <f>IF('Obra JS'!G50="","",'Obra JS'!L50)</f>
        <v>Pagado</v>
      </c>
      <c r="E225" t="str">
        <f>IF('Obra JS'!G50="","",'Obra JS'!M50)</f>
        <v>Pagado</v>
      </c>
      <c r="F225" t="str">
        <f>IF('Obra JS'!G50="","",'Obra JS'!N50)</f>
        <v>Recibido en obra</v>
      </c>
    </row>
    <row r="226" spans="1:6">
      <c r="A226" t="str">
        <f>IF('Obra JS'!G51="","","Obra JS")</f>
        <v>Obra JS</v>
      </c>
      <c r="B226" t="str">
        <f>IF('Obra JS'!G51="","",'Obra JS'!G51)</f>
        <v>Serin</v>
      </c>
      <c r="C226">
        <f>IF('Obra JS'!G51="","",'Obra JS'!I51)</f>
        <v>6227635.54</v>
      </c>
      <c r="D226" t="str">
        <f>IF('Obra JS'!G51="","",'Obra JS'!L51)</f>
        <v>Pagado</v>
      </c>
      <c r="E226" t="str">
        <f>IF('Obra JS'!G51="","",'Obra JS'!M51)</f>
        <v>Pagado</v>
      </c>
      <c r="F226" t="str">
        <f>IF('Obra JS'!G51="","",'Obra JS'!N51)</f>
        <v>Recibido en obra</v>
      </c>
    </row>
    <row r="227" spans="1:6">
      <c r="A227" t="str">
        <f>IF('Obra JS'!G52="","","Obra JS")</f>
        <v>Obra JS</v>
      </c>
      <c r="B227" t="str">
        <f>IF('Obra JS'!G52="","",'Obra JS'!G52)</f>
        <v>Serin</v>
      </c>
      <c r="C227">
        <f>IF('Obra JS'!G52="","",'Obra JS'!I52)</f>
        <v>1444109.54</v>
      </c>
      <c r="D227" t="str">
        <f>IF('Obra JS'!G52="","",'Obra JS'!L52)</f>
        <v>Pagado</v>
      </c>
      <c r="E227" t="str">
        <f>IF('Obra JS'!G52="","",'Obra JS'!M52)</f>
        <v>Pagado</v>
      </c>
      <c r="F227" t="str">
        <f>IF('Obra JS'!G52="","",'Obra JS'!N52)</f>
        <v>Recibido en obra</v>
      </c>
    </row>
    <row r="228" spans="1:6">
      <c r="A228" t="str">
        <f>IF('Obra JS'!G53="","","Obra JS")</f>
        <v>Obra JS</v>
      </c>
      <c r="B228" t="str">
        <f>IF('Obra JS'!G53="","",'Obra JS'!G53)</f>
        <v>Holcim</v>
      </c>
      <c r="C228">
        <f>IF('Obra JS'!G53="","",'Obra JS'!I53)</f>
        <v>919600</v>
      </c>
      <c r="D228" t="str">
        <f>IF('Obra JS'!G53="","",'Obra JS'!L53)</f>
        <v>Pagado</v>
      </c>
      <c r="E228" t="str">
        <f>IF('Obra JS'!G53="","",'Obra JS'!M53)</f>
        <v>Pagado</v>
      </c>
      <c r="F228" t="str">
        <f>IF('Obra JS'!G53="","",'Obra JS'!N53)</f>
        <v>Recibido en obra</v>
      </c>
    </row>
    <row r="229" spans="1:6">
      <c r="A229" t="str">
        <f>IF('Obra JS'!G54="","","Obra JS")</f>
        <v>Obra JS</v>
      </c>
      <c r="B229" t="str">
        <f>IF('Obra JS'!G54="","",'Obra JS'!G54)</f>
        <v>Holcim</v>
      </c>
      <c r="C229">
        <f>IF('Obra JS'!G54="","",'Obra JS'!I54)</f>
        <v>326700</v>
      </c>
      <c r="D229" t="str">
        <f>IF('Obra JS'!G54="","",'Obra JS'!L54)</f>
        <v>Pagado</v>
      </c>
      <c r="E229" t="str">
        <f>IF('Obra JS'!G54="","",'Obra JS'!M54)</f>
        <v>Pagado</v>
      </c>
      <c r="F229" t="str">
        <f>IF('Obra JS'!G54="","",'Obra JS'!N54)</f>
        <v>Recibido en obra</v>
      </c>
    </row>
    <row r="230" spans="1:6">
      <c r="A230" t="str">
        <f>IF('Obra JS'!G55="","","Obra JS")</f>
        <v>Obra JS</v>
      </c>
      <c r="B230" t="str">
        <f>IF('Obra JS'!G55="","",'Obra JS'!G55)</f>
        <v>Holcim</v>
      </c>
      <c r="C230">
        <f>IF('Obra JS'!G55="","",'Obra JS'!I55)</f>
        <v>5227200</v>
      </c>
      <c r="D230" t="str">
        <f>IF('Obra JS'!G55="","",'Obra JS'!L55)</f>
        <v>Pagado</v>
      </c>
      <c r="E230" t="str">
        <f>IF('Obra JS'!G55="","",'Obra JS'!M55)</f>
        <v>Pagado</v>
      </c>
      <c r="F230" t="str">
        <f>IF('Obra JS'!G55="","",'Obra JS'!N55)</f>
        <v>Recibido en obra</v>
      </c>
    </row>
    <row r="231" spans="1:6">
      <c r="A231" t="str">
        <f>IF('Obra JS'!G56="","","Obra JS")</f>
        <v>Obra JS</v>
      </c>
      <c r="B231" t="str">
        <f>IF('Obra JS'!G56="","",'Obra JS'!G56)</f>
        <v>Saniplast</v>
      </c>
      <c r="C231">
        <f>IF('Obra JS'!G56="","",'Obra JS'!I56)</f>
        <v>-488080</v>
      </c>
      <c r="D231" t="str">
        <f>IF('Obra JS'!G56="","",'Obra JS'!L56)</f>
        <v>Pagado</v>
      </c>
      <c r="E231" t="str">
        <f>IF('Obra JS'!G56="","",'Obra JS'!M56)</f>
        <v>Pagado</v>
      </c>
      <c r="F231">
        <f>IF('Obra JS'!G56="","",'Obra JS'!N56)</f>
        <v>0</v>
      </c>
    </row>
    <row r="232" spans="1:6">
      <c r="A232" t="str">
        <f>IF('Obra JS'!G57="","","Obra JS")</f>
        <v>Obra JS</v>
      </c>
      <c r="B232" t="str">
        <f>IF('Obra JS'!G57="","",'Obra JS'!G57)</f>
        <v>Feyro</v>
      </c>
      <c r="C232">
        <f>IF('Obra JS'!G57="","",'Obra JS'!I57)</f>
        <v>541000.71</v>
      </c>
      <c r="D232" t="str">
        <f>IF('Obra JS'!G57="","",'Obra JS'!L57)</f>
        <v>Pagado</v>
      </c>
      <c r="E232" t="str">
        <f>IF('Obra JS'!G57="","",'Obra JS'!M57)</f>
        <v>Pagado</v>
      </c>
      <c r="F232" t="str">
        <f>IF('Obra JS'!G57="","",'Obra JS'!N57)</f>
        <v>Recibido en obra</v>
      </c>
    </row>
    <row r="233" spans="1:6">
      <c r="A233" t="str">
        <f>IF('Obra JS'!G58="","","Obra JS")</f>
        <v/>
      </c>
      <c r="B233" t="str">
        <f>IF('Obra JS'!G58="","",'Obra JS'!G58)</f>
        <v/>
      </c>
      <c r="C233" t="str">
        <f>IF('Obra JS'!G58="","",'Obra JS'!I58)</f>
        <v/>
      </c>
      <c r="D233" t="str">
        <f>IF('Obra JS'!G58="","",'Obra JS'!L58)</f>
        <v/>
      </c>
      <c r="E233" t="str">
        <f>IF('Obra JS'!G58="","",'Obra JS'!M58)</f>
        <v/>
      </c>
      <c r="F233" t="str">
        <f>IF('Obra JS'!G58="","",'Obra JS'!N58)</f>
        <v/>
      </c>
    </row>
    <row r="234" spans="1:6">
      <c r="A234" t="str">
        <f>IF('Obra JS'!G59="","","Obra JS")</f>
        <v>Obra JS</v>
      </c>
      <c r="B234" t="str">
        <f>IF('Obra JS'!G59="","",'Obra JS'!G59)</f>
        <v>Mendio</v>
      </c>
      <c r="C234">
        <f>IF('Obra JS'!G59="","",'Obra JS'!I59)</f>
        <v>3751773.8</v>
      </c>
      <c r="D234" t="str">
        <f>IF('Obra JS'!G59="","",'Obra JS'!L59)</f>
        <v>Pagado</v>
      </c>
      <c r="E234" t="str">
        <f>IF('Obra JS'!G59="","",'Obra JS'!M59)</f>
        <v>Pagado</v>
      </c>
      <c r="F234" t="str">
        <f>IF('Obra JS'!G59="","",'Obra JS'!N59)</f>
        <v>Recibido en obra</v>
      </c>
    </row>
    <row r="235" spans="1:6">
      <c r="A235" t="str">
        <f>IF('Obra JS'!G60="","","Obra JS")</f>
        <v>Obra JS</v>
      </c>
      <c r="B235" t="str">
        <f>IF('Obra JS'!G60="","",'Obra JS'!G60)</f>
        <v>Serin</v>
      </c>
      <c r="C235">
        <f>IF('Obra JS'!G60="","",'Obra JS'!I60)</f>
        <v>2612931.37</v>
      </c>
      <c r="D235" t="str">
        <f>IF('Obra JS'!G60="","",'Obra JS'!L60)</f>
        <v>Pagado</v>
      </c>
      <c r="E235" t="str">
        <f>IF('Obra JS'!G60="","",'Obra JS'!M60)</f>
        <v>Pagado</v>
      </c>
      <c r="F235" t="str">
        <f>IF('Obra JS'!G60="","",'Obra JS'!N60)</f>
        <v>Recibido en obra</v>
      </c>
    </row>
    <row r="236" spans="1:6">
      <c r="A236" t="str">
        <f>IF('Obra JS'!G61="","","Obra JS")</f>
        <v>Obra JS</v>
      </c>
      <c r="B236" t="str">
        <f>IF('Obra JS'!G61="","",'Obra JS'!G61)</f>
        <v>Roncaglia</v>
      </c>
      <c r="C236">
        <f>IF('Obra JS'!G61="","",'Obra JS'!I61)</f>
        <v>29000</v>
      </c>
      <c r="D236" t="str">
        <f>IF('Obra JS'!G61="","",'Obra JS'!L61)</f>
        <v>Pagado</v>
      </c>
      <c r="E236" t="str">
        <f>IF('Obra JS'!G61="","",'Obra JS'!M61)</f>
        <v>Pagado</v>
      </c>
      <c r="F236" t="str">
        <f>IF('Obra JS'!G61="","",'Obra JS'!N61)</f>
        <v>Recibido en obra</v>
      </c>
    </row>
    <row r="237" spans="1:6">
      <c r="A237" t="str">
        <f>IF('Obra JS'!G62="","","Obra JS")</f>
        <v>Obra JS</v>
      </c>
      <c r="B237" t="str">
        <f>IF('Obra JS'!G62="","",'Obra JS'!G62)</f>
        <v>Maderas Colón</v>
      </c>
      <c r="C237">
        <f>IF('Obra JS'!G62="","",'Obra JS'!I62)</f>
        <v>74954.850000000006</v>
      </c>
      <c r="D237" t="str">
        <f>IF('Obra JS'!G62="","",'Obra JS'!L62)</f>
        <v>Pagado</v>
      </c>
      <c r="E237" t="str">
        <f>IF('Obra JS'!G62="","",'Obra JS'!M62)</f>
        <v>Pagado</v>
      </c>
      <c r="F237" t="str">
        <f>IF('Obra JS'!G62="","",'Obra JS'!N62)</f>
        <v>Recibido en obra</v>
      </c>
    </row>
    <row r="238" spans="1:6">
      <c r="A238" t="str">
        <f>IF('Obra JS'!G63="","","Obra JS")</f>
        <v>Obra JS</v>
      </c>
      <c r="B238" t="str">
        <f>IF('Obra JS'!G63="","",'Obra JS'!G63)</f>
        <v>Pilca</v>
      </c>
      <c r="C238">
        <f>IF('Obra JS'!G63="","",'Obra JS'!I63)</f>
        <v>8224776.46</v>
      </c>
      <c r="D238" t="str">
        <f>IF('Obra JS'!G63="","",'Obra JS'!L63)</f>
        <v>Pagado</v>
      </c>
      <c r="E238" t="str">
        <f>IF('Obra JS'!G63="","",'Obra JS'!M63)</f>
        <v>Pagado</v>
      </c>
      <c r="F238" t="str">
        <f>IF('Obra JS'!G63="","",'Obra JS'!N63)</f>
        <v>Pendiente</v>
      </c>
    </row>
    <row r="239" spans="1:6">
      <c r="A239" t="str">
        <f>IF('Obra JS'!G64="","","Obra JS")</f>
        <v>Obra JS</v>
      </c>
      <c r="B239" t="str">
        <f>IF('Obra JS'!G64="","",'Obra JS'!G64)</f>
        <v>Saniplast</v>
      </c>
      <c r="C239">
        <f>IF('Obra JS'!G64="","",'Obra JS'!I64)</f>
        <v>1846912.64</v>
      </c>
      <c r="D239" t="str">
        <f>IF('Obra JS'!G64="","",'Obra JS'!L64)</f>
        <v>Pagado</v>
      </c>
      <c r="E239" t="str">
        <f>IF('Obra JS'!G64="","",'Obra JS'!M64)</f>
        <v>Pagado</v>
      </c>
      <c r="F239" t="str">
        <f>IF('Obra JS'!G64="","",'Obra JS'!N64)</f>
        <v>Recibido en obra</v>
      </c>
    </row>
    <row r="240" spans="1:6">
      <c r="A240" t="str">
        <f>IF('Obra JS'!G65="","","Obra JS")</f>
        <v>Obra JS</v>
      </c>
      <c r="B240" t="str">
        <f>IF('Obra JS'!G65="","",'Obra JS'!G65)</f>
        <v>Hierros Industriales</v>
      </c>
      <c r="C240">
        <f>IF('Obra JS'!G65="","",'Obra JS'!I65)</f>
        <v>1273790.2</v>
      </c>
      <c r="D240" t="str">
        <f>IF('Obra JS'!G65="","",'Obra JS'!L65)</f>
        <v>Pagado</v>
      </c>
      <c r="E240" t="str">
        <f>IF('Obra JS'!G65="","",'Obra JS'!M65)</f>
        <v>Pagado</v>
      </c>
      <c r="F240" t="str">
        <f>IF('Obra JS'!G65="","",'Obra JS'!N65)</f>
        <v>Recibido en obra</v>
      </c>
    </row>
    <row r="241" spans="1:6">
      <c r="A241" t="str">
        <f>IF('Obra JS'!G66="","","Obra JS")</f>
        <v/>
      </c>
      <c r="B241" t="str">
        <f>IF('Obra JS'!G66="","",'Obra JS'!G66)</f>
        <v/>
      </c>
      <c r="C241" t="str">
        <f>IF('Obra JS'!G66="","",'Obra JS'!I66)</f>
        <v/>
      </c>
      <c r="D241" t="str">
        <f>IF('Obra JS'!G66="","",'Obra JS'!L66)</f>
        <v/>
      </c>
      <c r="E241" t="str">
        <f>IF('Obra JS'!G66="","",'Obra JS'!M66)</f>
        <v/>
      </c>
      <c r="F241" t="str">
        <f>IF('Obra JS'!G66="","",'Obra JS'!N66)</f>
        <v/>
      </c>
    </row>
    <row r="242" spans="1:6">
      <c r="A242" t="str">
        <f>IF('Obra JS'!G67="","","Obra JS")</f>
        <v>Obra JS</v>
      </c>
      <c r="B242" t="str">
        <f>IF('Obra JS'!G67="","",'Obra JS'!G67)</f>
        <v>Flete Hugo Godoy</v>
      </c>
      <c r="C242">
        <f>IF('Obra JS'!G67="","",'Obra JS'!I67)</f>
        <v>95000</v>
      </c>
      <c r="D242" t="str">
        <f>IF('Obra JS'!G67="","",'Obra JS'!L67)</f>
        <v>Pagado</v>
      </c>
      <c r="E242" t="str">
        <f>IF('Obra JS'!G67="","",'Obra JS'!M67)</f>
        <v>Pagado</v>
      </c>
      <c r="F242" t="str">
        <f>IF('Obra JS'!G67="","",'Obra JS'!N67)</f>
        <v>Recibido en obra</v>
      </c>
    </row>
    <row r="243" spans="1:6">
      <c r="A243" t="str">
        <f>IF('Obra JS'!G68="","","Obra JS")</f>
        <v/>
      </c>
      <c r="B243" t="str">
        <f>IF('Obra JS'!G68="","",'Obra JS'!G68)</f>
        <v/>
      </c>
      <c r="C243" t="str">
        <f>IF('Obra JS'!G68="","",'Obra JS'!I68)</f>
        <v/>
      </c>
      <c r="D243" t="str">
        <f>IF('Obra JS'!G68="","",'Obra JS'!L68)</f>
        <v/>
      </c>
      <c r="E243" t="str">
        <f>IF('Obra JS'!G68="","",'Obra JS'!M68)</f>
        <v/>
      </c>
      <c r="F243" t="str">
        <f>IF('Obra JS'!G68="","",'Obra JS'!N68)</f>
        <v/>
      </c>
    </row>
    <row r="244" spans="1:6">
      <c r="A244" t="str">
        <f>IF('Obra JS'!G69="","","Obra JS")</f>
        <v>Obra JS</v>
      </c>
      <c r="B244" t="str">
        <f>IF('Obra JS'!G69="","",'Obra JS'!G69)</f>
        <v>Cristian Canziani</v>
      </c>
      <c r="C244">
        <f>IF('Obra JS'!G69="","",'Obra JS'!I69)</f>
        <v>60000</v>
      </c>
      <c r="D244" t="str">
        <f>IF('Obra JS'!G69="","",'Obra JS'!L69)</f>
        <v>Pagado</v>
      </c>
      <c r="E244" t="str">
        <f>IF('Obra JS'!G69="","",'Obra JS'!M69)</f>
        <v>Pagado</v>
      </c>
      <c r="F244" t="str">
        <f>IF('Obra JS'!G69="","",'Obra JS'!N69)</f>
        <v>Recibido en obra</v>
      </c>
    </row>
    <row r="245" spans="1:6">
      <c r="A245" t="str">
        <f>IF('Obra JS'!G70="","","Obra JS")</f>
        <v>Obra JS</v>
      </c>
      <c r="B245" t="str">
        <f>IF('Obra JS'!G70="","",'Obra JS'!G70)</f>
        <v>Alquilo Todo VGB</v>
      </c>
      <c r="C245">
        <f>IF('Obra JS'!G70="","",'Obra JS'!I70)</f>
        <v>160000</v>
      </c>
      <c r="D245" t="str">
        <f>IF('Obra JS'!G70="","",'Obra JS'!L70)</f>
        <v>Pagado</v>
      </c>
      <c r="E245" t="str">
        <f>IF('Obra JS'!G70="","",'Obra JS'!M70)</f>
        <v>Pagado</v>
      </c>
      <c r="F245" t="str">
        <f>IF('Obra JS'!G70="","",'Obra JS'!N70)</f>
        <v>Recibido en obra</v>
      </c>
    </row>
    <row r="246" spans="1:6">
      <c r="A246" t="str">
        <f>IF('Obra Cañuelas'!G10="","","Obra Cañuelas")</f>
        <v>Obra Cañuelas</v>
      </c>
      <c r="B246" t="str">
        <f>IF('Obra Cañuelas'!G10="","",'Obra Cañuelas'!G10)</f>
        <v>Feyro</v>
      </c>
      <c r="C246">
        <f>IF('Obra Cañuelas'!G10="","",'Obra Cañuelas'!I10)</f>
        <v>5295.3</v>
      </c>
      <c r="D246" t="str">
        <f>IF('Obra Cañuelas'!G10="","",'Obra Cañuelas'!L10)</f>
        <v>Pagado</v>
      </c>
      <c r="E246" t="str">
        <f>IF('Obra Cañuelas'!G10="","",'Obra Cañuelas'!N10)</f>
        <v>Recibido en obra</v>
      </c>
      <c r="F246" t="str">
        <f>IF('Obra Cañuelas'!G10="","",'Obra Cañuelas'!O10)</f>
        <v>No Pagado</v>
      </c>
    </row>
    <row r="247" spans="1:6">
      <c r="A247" t="str">
        <f>IF('Obra Cañuelas'!G11="","","Obra Cañuelas")</f>
        <v>Obra Cañuelas</v>
      </c>
      <c r="B247" t="str">
        <f>IF('Obra Cañuelas'!G11="","",'Obra Cañuelas'!G11)</f>
        <v>Feyro</v>
      </c>
      <c r="C247">
        <f>IF('Obra Cañuelas'!G11="","",'Obra Cañuelas'!I11)</f>
        <v>67820.75</v>
      </c>
      <c r="D247" t="str">
        <f>IF('Obra Cañuelas'!G11="","",'Obra Cañuelas'!L11)</f>
        <v>Pagado</v>
      </c>
      <c r="E247" t="str">
        <f>IF('Obra Cañuelas'!G11="","",'Obra Cañuelas'!N11)</f>
        <v>Recibido en obra</v>
      </c>
      <c r="F247" t="str">
        <f>IF('Obra Cañuelas'!G11="","",'Obra Cañuelas'!O11)</f>
        <v>No Pagado</v>
      </c>
    </row>
    <row r="248" spans="1:6">
      <c r="A248" t="str">
        <f>IF('Obra Cañuelas'!G12="","","Obra Cañuelas")</f>
        <v>Obra Cañuelas</v>
      </c>
      <c r="B248" t="str">
        <f>IF('Obra Cañuelas'!G12="","",'Obra Cañuelas'!G12)</f>
        <v>Feyro</v>
      </c>
      <c r="C248">
        <f>IF('Obra Cañuelas'!G12="","",'Obra Cañuelas'!I12)</f>
        <v>15476.44</v>
      </c>
      <c r="D248" t="str">
        <f>IF('Obra Cañuelas'!G12="","",'Obra Cañuelas'!L12)</f>
        <v>Pagado</v>
      </c>
      <c r="E248" t="str">
        <f>IF('Obra Cañuelas'!G12="","",'Obra Cañuelas'!N12)</f>
        <v>Recibido en obra</v>
      </c>
      <c r="F248" t="str">
        <f>IF('Obra Cañuelas'!G12="","",'Obra Cañuelas'!O12)</f>
        <v>No Pagado</v>
      </c>
    </row>
    <row r="249" spans="1:6">
      <c r="A249" t="str">
        <f>IF('Obra Cañuelas'!G13="","","Obra Cañuelas")</f>
        <v>Obra Cañuelas</v>
      </c>
      <c r="B249" t="str">
        <f>IF('Obra Cañuelas'!G13="","",'Obra Cañuelas'!G13)</f>
        <v>Feyro</v>
      </c>
      <c r="C249">
        <f>IF('Obra Cañuelas'!G13="","",'Obra Cañuelas'!I13)</f>
        <v>9900</v>
      </c>
      <c r="D249" t="str">
        <f>IF('Obra Cañuelas'!G13="","",'Obra Cañuelas'!L13)</f>
        <v>Pagado</v>
      </c>
      <c r="E249" t="str">
        <f>IF('Obra Cañuelas'!G13="","",'Obra Cañuelas'!N13)</f>
        <v>Recibido en obra</v>
      </c>
      <c r="F249" t="str">
        <f>IF('Obra Cañuelas'!G13="","",'Obra Cañuelas'!O13)</f>
        <v>No Pagado</v>
      </c>
    </row>
    <row r="250" spans="1:6">
      <c r="A250" t="str">
        <f>IF('Obra Cañuelas'!G14="","","Obra Cañuelas")</f>
        <v/>
      </c>
      <c r="B250" t="str">
        <f>IF('Obra Cañuelas'!G14="","",'Obra Cañuelas'!G14)</f>
        <v/>
      </c>
      <c r="C250" t="str">
        <f>IF('Obra Cañuelas'!G14="","",'Obra Cañuelas'!I14)</f>
        <v/>
      </c>
      <c r="D250" t="str">
        <f>IF('Obra Cañuelas'!G14="","",'Obra Cañuelas'!L14)</f>
        <v/>
      </c>
      <c r="E250" t="str">
        <f>IF('Obra Cañuelas'!G14="","",'Obra Cañuelas'!N14)</f>
        <v/>
      </c>
      <c r="F250" t="str">
        <f>IF('Obra Cañuelas'!G14="","",'Obra Cañuelas'!O14)</f>
        <v/>
      </c>
    </row>
    <row r="251" spans="1:6">
      <c r="A251" t="str">
        <f>IF('Obra Cañuelas'!G15="","","Obra Cañuelas")</f>
        <v>Obra Cañuelas</v>
      </c>
      <c r="B251" t="str">
        <f>IF('Obra Cañuelas'!G15="","",'Obra Cañuelas'!G15)</f>
        <v>Alquilo Todo</v>
      </c>
      <c r="C251">
        <f>IF('Obra Cañuelas'!G15="","",'Obra Cañuelas'!I15)</f>
        <v>20000</v>
      </c>
      <c r="D251" t="str">
        <f>IF('Obra Cañuelas'!G15="","",'Obra Cañuelas'!L15)</f>
        <v>Pagado</v>
      </c>
      <c r="E251" t="str">
        <f>IF('Obra Cañuelas'!G15="","",'Obra Cañuelas'!N15)</f>
        <v>Recibido en obra</v>
      </c>
      <c r="F251">
        <f>IF('Obra Cañuelas'!G15="","",'Obra Cañuelas'!O15)</f>
        <v>0</v>
      </c>
    </row>
    <row r="252" spans="1:6">
      <c r="A252" t="str">
        <f>IF('Obra Cañuelas'!G16="","","Obra Cañuelas")</f>
        <v>Obra Cañuelas</v>
      </c>
      <c r="B252" t="str">
        <f>IF('Obra Cañuelas'!G16="","",'Obra Cañuelas'!G16)</f>
        <v>Pintecord</v>
      </c>
      <c r="C252">
        <f>IF('Obra Cañuelas'!G16="","",'Obra Cañuelas'!I16)</f>
        <v>23639.46</v>
      </c>
      <c r="D252" t="str">
        <f>IF('Obra Cañuelas'!G16="","",'Obra Cañuelas'!L16)</f>
        <v>Pagado</v>
      </c>
      <c r="E252" t="str">
        <f>IF('Obra Cañuelas'!G16="","",'Obra Cañuelas'!N16)</f>
        <v>Recibido en obra</v>
      </c>
      <c r="F252" t="str">
        <f>IF('Obra Cañuelas'!G16="","",'Obra Cañuelas'!O16)</f>
        <v>No Pagado</v>
      </c>
    </row>
    <row r="253" spans="1:6">
      <c r="A253" t="str">
        <f>IF('Obra Cañuelas'!G17="","","Obra Cañuelas")</f>
        <v/>
      </c>
      <c r="B253" t="str">
        <f>IF('Obra Cañuelas'!G17="","",'Obra Cañuelas'!G17)</f>
        <v/>
      </c>
      <c r="C253" t="str">
        <f>IF('Obra Cañuelas'!G17="","",'Obra Cañuelas'!I17)</f>
        <v/>
      </c>
      <c r="D253" t="str">
        <f>IF('Obra Cañuelas'!G17="","",'Obra Cañuelas'!L17)</f>
        <v/>
      </c>
      <c r="E253" t="str">
        <f>IF('Obra Cañuelas'!G17="","",'Obra Cañuelas'!N17)</f>
        <v/>
      </c>
      <c r="F253" t="str">
        <f>IF('Obra Cañuelas'!G17="","",'Obra Cañuelas'!O17)</f>
        <v/>
      </c>
    </row>
    <row r="254" spans="1:6">
      <c r="A254" t="str">
        <f>IF('Obra Cañuelas'!G18="","","Obra Cañuelas")</f>
        <v>Obra Cañuelas</v>
      </c>
      <c r="B254" t="str">
        <f>IF('Obra Cañuelas'!G18="","",'Obra Cañuelas'!G18)</f>
        <v>Pintecord</v>
      </c>
      <c r="C254">
        <f>IF('Obra Cañuelas'!G18="","",'Obra Cañuelas'!I18)</f>
        <v>11436.26</v>
      </c>
      <c r="D254" t="str">
        <f>IF('Obra Cañuelas'!G18="","",'Obra Cañuelas'!L18)</f>
        <v>Pagado</v>
      </c>
      <c r="E254" t="str">
        <f>IF('Obra Cañuelas'!G18="","",'Obra Cañuelas'!N18)</f>
        <v>Recibido en obra</v>
      </c>
      <c r="F254" t="str">
        <f>IF('Obra Cañuelas'!G18="","",'Obra Cañuelas'!O18)</f>
        <v>No Pagado</v>
      </c>
    </row>
    <row r="255" spans="1:6">
      <c r="A255" t="str">
        <f>IF('Obra Cañuelas'!G19="","","Obra Cañuelas")</f>
        <v/>
      </c>
      <c r="B255" t="str">
        <f>IF('Obra Cañuelas'!G19="","",'Obra Cañuelas'!G19)</f>
        <v/>
      </c>
      <c r="C255" t="str">
        <f>IF('Obra Cañuelas'!G19="","",'Obra Cañuelas'!I19)</f>
        <v/>
      </c>
      <c r="D255" t="str">
        <f>IF('Obra Cañuelas'!G19="","",'Obra Cañuelas'!L19)</f>
        <v/>
      </c>
      <c r="E255" t="str">
        <f>IF('Obra Cañuelas'!G19="","",'Obra Cañuelas'!N19)</f>
        <v/>
      </c>
      <c r="F255" t="str">
        <f>IF('Obra Cañuelas'!G19="","",'Obra Cañuelas'!O19)</f>
        <v/>
      </c>
    </row>
    <row r="256" spans="1:6">
      <c r="A256" t="str">
        <f>IF('Obra Cañuelas'!G20="","","Obra Cañuelas")</f>
        <v/>
      </c>
      <c r="B256" t="str">
        <f>IF('Obra Cañuelas'!G20="","",'Obra Cañuelas'!G20)</f>
        <v/>
      </c>
      <c r="C256" t="str">
        <f>IF('Obra Cañuelas'!G20="","",'Obra Cañuelas'!I20)</f>
        <v/>
      </c>
      <c r="D256" t="str">
        <f>IF('Obra Cañuelas'!G20="","",'Obra Cañuelas'!L20)</f>
        <v/>
      </c>
      <c r="E256" t="str">
        <f>IF('Obra Cañuelas'!G20="","",'Obra Cañuelas'!N20)</f>
        <v/>
      </c>
      <c r="F256" t="str">
        <f>IF('Obra Cañuelas'!G20="","",'Obra Cañuelas'!O20)</f>
        <v/>
      </c>
    </row>
    <row r="257" spans="1:6">
      <c r="A257" t="str">
        <f>IF('Obra Cañuelas'!G22="","","Obra Cañuelas")</f>
        <v/>
      </c>
      <c r="B257" t="str">
        <f>IF('Obra Cañuelas'!G22="","",'Obra Cañuelas'!G22)</f>
        <v/>
      </c>
      <c r="C257" t="str">
        <f>IF('Obra Cañuelas'!G22="","",'Obra Cañuelas'!I22)</f>
        <v/>
      </c>
      <c r="D257" t="str">
        <f>IF('Obra Cañuelas'!G22="","",'Obra Cañuelas'!L22)</f>
        <v/>
      </c>
      <c r="E257" t="str">
        <f>IF('Obra Cañuelas'!G22="","",'Obra Cañuelas'!N22)</f>
        <v/>
      </c>
      <c r="F257" t="str">
        <f>IF('Obra Cañuelas'!G22="","",'Obra Cañuelas'!O22)</f>
        <v/>
      </c>
    </row>
    <row r="258" spans="1:6">
      <c r="A258" t="str">
        <f>IF('Obra Cañuelas'!G23="","","Obra Cañuelas")</f>
        <v/>
      </c>
      <c r="B258" t="str">
        <f>IF('Obra Cañuelas'!G23="","",'Obra Cañuelas'!G23)</f>
        <v/>
      </c>
      <c r="C258" t="str">
        <f>IF('Obra Cañuelas'!G23="","",'Obra Cañuelas'!I23)</f>
        <v/>
      </c>
      <c r="D258" t="str">
        <f>IF('Obra Cañuelas'!G23="","",'Obra Cañuelas'!L23)</f>
        <v/>
      </c>
      <c r="E258" t="str">
        <f>IF('Obra Cañuelas'!G23="","",'Obra Cañuelas'!N23)</f>
        <v/>
      </c>
      <c r="F258" t="str">
        <f>IF('Obra Cañuelas'!G23="","",'Obra Cañuelas'!O23)</f>
        <v/>
      </c>
    </row>
    <row r="259" spans="1:6">
      <c r="A259" t="str">
        <f>IF('Obra Cañuelas'!G24="","","Obra Cañuelas")</f>
        <v/>
      </c>
      <c r="B259" t="str">
        <f>IF('Obra Cañuelas'!G24="","",'Obra Cañuelas'!G24)</f>
        <v/>
      </c>
      <c r="C259" t="str">
        <f>IF('Obra Cañuelas'!G24="","",'Obra Cañuelas'!I24)</f>
        <v/>
      </c>
      <c r="D259" t="str">
        <f>IF('Obra Cañuelas'!G24="","",'Obra Cañuelas'!L24)</f>
        <v/>
      </c>
      <c r="E259" t="str">
        <f>IF('Obra Cañuelas'!G24="","",'Obra Cañuelas'!N24)</f>
        <v/>
      </c>
      <c r="F259" t="str">
        <f>IF('Obra Cañuelas'!G24="","",'Obra Cañuelas'!O24)</f>
        <v/>
      </c>
    </row>
    <row r="260" spans="1:6">
      <c r="A260" t="str">
        <f>IF('Obra Cañuelas'!G26="","","Obra Cañuelas")</f>
        <v/>
      </c>
      <c r="B260" t="str">
        <f>IF('Obra Cañuelas'!G26="","",'Obra Cañuelas'!G26)</f>
        <v/>
      </c>
      <c r="C260" t="str">
        <f>IF('Obra Cañuelas'!G26="","",'Obra Cañuelas'!I26)</f>
        <v/>
      </c>
      <c r="D260" t="str">
        <f>IF('Obra Cañuelas'!G26="","",'Obra Cañuelas'!L26)</f>
        <v/>
      </c>
      <c r="E260" t="str">
        <f>IF('Obra Cañuelas'!G26="","",'Obra Cañuelas'!N26)</f>
        <v/>
      </c>
      <c r="F260" t="str">
        <f>IF('Obra Cañuelas'!G26="","",'Obra Cañuelas'!O26)</f>
        <v/>
      </c>
    </row>
    <row r="261" spans="1:6">
      <c r="A261" t="str">
        <f>IF('Obra Cañuelas'!G27="","","Obra Cañuelas")</f>
        <v/>
      </c>
      <c r="B261" t="str">
        <f>IF('Obra Cañuelas'!G27="","",'Obra Cañuelas'!G27)</f>
        <v/>
      </c>
      <c r="C261" t="str">
        <f>IF('Obra Cañuelas'!G27="","",'Obra Cañuelas'!I27)</f>
        <v/>
      </c>
      <c r="D261" t="str">
        <f>IF('Obra Cañuelas'!G27="","",'Obra Cañuelas'!L27)</f>
        <v/>
      </c>
      <c r="E261" t="str">
        <f>IF('Obra Cañuelas'!G27="","",'Obra Cañuelas'!N27)</f>
        <v/>
      </c>
      <c r="F261" t="str">
        <f>IF('Obra Cañuelas'!G27="","",'Obra Cañuelas'!O27)</f>
        <v/>
      </c>
    </row>
    <row r="262" spans="1:6">
      <c r="A262" t="str">
        <f>IF('Obra Cañuelas'!G28="","","Obra Cañuelas")</f>
        <v/>
      </c>
      <c r="B262" t="str">
        <f>IF('Obra Cañuelas'!G28="","",'Obra Cañuelas'!G28)</f>
        <v/>
      </c>
      <c r="C262" t="str">
        <f>IF('Obra Cañuelas'!G28="","",'Obra Cañuelas'!I28)</f>
        <v/>
      </c>
      <c r="D262" t="str">
        <f>IF('Obra Cañuelas'!G28="","",'Obra Cañuelas'!L28)</f>
        <v/>
      </c>
      <c r="E262" t="str">
        <f>IF('Obra Cañuelas'!G28="","",'Obra Cañuelas'!N28)</f>
        <v/>
      </c>
      <c r="F262" t="str">
        <f>IF('Obra Cañuelas'!G28="","",'Obra Cañuelas'!O28)</f>
        <v/>
      </c>
    </row>
    <row r="263" spans="1:6">
      <c r="A263" t="str">
        <f>IF('Obra Cañuelas'!G29="","","Obra Cañuelas")</f>
        <v/>
      </c>
      <c r="B263" t="str">
        <f>IF('Obra Cañuelas'!G29="","",'Obra Cañuelas'!G29)</f>
        <v/>
      </c>
      <c r="C263" t="str">
        <f>IF('Obra Cañuelas'!G29="","",'Obra Cañuelas'!I29)</f>
        <v/>
      </c>
      <c r="D263" t="str">
        <f>IF('Obra Cañuelas'!G29="","",'Obra Cañuelas'!L29)</f>
        <v/>
      </c>
      <c r="E263" t="str">
        <f>IF('Obra Cañuelas'!G29="","",'Obra Cañuelas'!N29)</f>
        <v/>
      </c>
      <c r="F263" t="str">
        <f>IF('Obra Cañuelas'!G29="","",'Obra Cañuelas'!O29)</f>
        <v/>
      </c>
    </row>
    <row r="264" spans="1:6">
      <c r="A264" t="str">
        <f>IF('Obra Cañuelas'!G30="","","Obra Cañuelas")</f>
        <v/>
      </c>
      <c r="B264" t="str">
        <f>IF('Obra Cañuelas'!G30="","",'Obra Cañuelas'!G30)</f>
        <v/>
      </c>
      <c r="C264" t="str">
        <f>IF('Obra Cañuelas'!G30="","",'Obra Cañuelas'!I30)</f>
        <v/>
      </c>
      <c r="D264" t="str">
        <f>IF('Obra Cañuelas'!G30="","",'Obra Cañuelas'!L30)</f>
        <v/>
      </c>
      <c r="E264" t="str">
        <f>IF('Obra Cañuelas'!G30="","",'Obra Cañuelas'!N30)</f>
        <v/>
      </c>
      <c r="F264" t="str">
        <f>IF('Obra Cañuelas'!G30="","",'Obra Cañuelas'!O30)</f>
        <v/>
      </c>
    </row>
    <row r="265" spans="1:6">
      <c r="A265" t="str">
        <f>IF('Obra Cañuelas'!G31="","","Obra Cañuelas")</f>
        <v/>
      </c>
      <c r="B265" t="str">
        <f>IF('Obra Cañuelas'!G31="","",'Obra Cañuelas'!G31)</f>
        <v/>
      </c>
      <c r="C265" t="str">
        <f>IF('Obra Cañuelas'!G31="","",'Obra Cañuelas'!I31)</f>
        <v/>
      </c>
      <c r="D265" t="str">
        <f>IF('Obra Cañuelas'!G31="","",'Obra Cañuelas'!L31)</f>
        <v/>
      </c>
      <c r="E265" t="str">
        <f>IF('Obra Cañuelas'!G31="","",'Obra Cañuelas'!N31)</f>
        <v/>
      </c>
      <c r="F265" t="str">
        <f>IF('Obra Cañuelas'!G31="","",'Obra Cañuelas'!O31)</f>
        <v/>
      </c>
    </row>
    <row r="266" spans="1:6">
      <c r="A266" t="str">
        <f>IF('Obra Cañuelas'!G32="","","Obra Cañuelas")</f>
        <v/>
      </c>
      <c r="B266" t="str">
        <f>IF('Obra Cañuelas'!G32="","",'Obra Cañuelas'!G32)</f>
        <v/>
      </c>
      <c r="C266" t="str">
        <f>IF('Obra Cañuelas'!G32="","",'Obra Cañuelas'!I32)</f>
        <v/>
      </c>
      <c r="D266" t="str">
        <f>IF('Obra Cañuelas'!G32="","",'Obra Cañuelas'!L32)</f>
        <v/>
      </c>
      <c r="E266" t="str">
        <f>IF('Obra Cañuelas'!G32="","",'Obra Cañuelas'!N32)</f>
        <v/>
      </c>
      <c r="F266" t="str">
        <f>IF('Obra Cañuelas'!G32="","",'Obra Cañuelas'!O32)</f>
        <v/>
      </c>
    </row>
    <row r="267" spans="1:6">
      <c r="A267" t="str">
        <f>IF('Obra Cañuelas'!G33="","","Obra Cañuelas")</f>
        <v/>
      </c>
      <c r="B267" t="str">
        <f>IF('Obra Cañuelas'!G33="","",'Obra Cañuelas'!G33)</f>
        <v/>
      </c>
      <c r="C267" t="str">
        <f>IF('Obra Cañuelas'!G33="","",'Obra Cañuelas'!I33)</f>
        <v/>
      </c>
      <c r="D267" t="str">
        <f>IF('Obra Cañuelas'!G33="","",'Obra Cañuelas'!L33)</f>
        <v/>
      </c>
      <c r="E267" t="str">
        <f>IF('Obra Cañuelas'!G33="","",'Obra Cañuelas'!N33)</f>
        <v/>
      </c>
      <c r="F267" t="str">
        <f>IF('Obra Cañuelas'!G33="","",'Obra Cañuelas'!O33)</f>
        <v/>
      </c>
    </row>
    <row r="268" spans="1:6">
      <c r="A268" t="str">
        <f>IF('Obra Cañuelas'!G34="","","Obra Cañuelas")</f>
        <v/>
      </c>
      <c r="B268" t="str">
        <f>IF('Obra Cañuelas'!G34="","",'Obra Cañuelas'!G34)</f>
        <v/>
      </c>
      <c r="C268" t="str">
        <f>IF('Obra Cañuelas'!G34="","",'Obra Cañuelas'!I34)</f>
        <v/>
      </c>
      <c r="D268" t="str">
        <f>IF('Obra Cañuelas'!G34="","",'Obra Cañuelas'!L34)</f>
        <v/>
      </c>
      <c r="E268" t="str">
        <f>IF('Obra Cañuelas'!G34="","",'Obra Cañuelas'!N34)</f>
        <v/>
      </c>
      <c r="F268" t="str">
        <f>IF('Obra Cañuelas'!G34="","",'Obra Cañuelas'!O34)</f>
        <v/>
      </c>
    </row>
    <row r="269" spans="1:6">
      <c r="A269" t="str">
        <f>IF('Obra Cañuelas'!G35="","","Obra Cañuelas")</f>
        <v/>
      </c>
      <c r="B269" t="str">
        <f>IF('Obra Cañuelas'!G35="","",'Obra Cañuelas'!G35)</f>
        <v/>
      </c>
      <c r="C269" t="str">
        <f>IF('Obra Cañuelas'!G35="","",'Obra Cañuelas'!I35)</f>
        <v/>
      </c>
      <c r="D269" t="str">
        <f>IF('Obra Cañuelas'!G35="","",'Obra Cañuelas'!L35)</f>
        <v/>
      </c>
      <c r="E269" t="str">
        <f>IF('Obra Cañuelas'!G35="","",'Obra Cañuelas'!N35)</f>
        <v/>
      </c>
      <c r="F269" t="str">
        <f>IF('Obra Cañuelas'!G35="","",'Obra Cañuelas'!O35)</f>
        <v/>
      </c>
    </row>
    <row r="270" spans="1:6">
      <c r="A270" t="str">
        <f>IF('Obra Cañuelas'!G36="","","Obra Cañuelas")</f>
        <v/>
      </c>
      <c r="B270" t="str">
        <f>IF('Obra Cañuelas'!G36="","",'Obra Cañuelas'!G36)</f>
        <v/>
      </c>
      <c r="C270" t="str">
        <f>IF('Obra Cañuelas'!G36="","",'Obra Cañuelas'!I36)</f>
        <v/>
      </c>
      <c r="D270" t="str">
        <f>IF('Obra Cañuelas'!G36="","",'Obra Cañuelas'!L36)</f>
        <v/>
      </c>
      <c r="E270" t="str">
        <f>IF('Obra Cañuelas'!G36="","",'Obra Cañuelas'!N36)</f>
        <v/>
      </c>
      <c r="F270" t="str">
        <f>IF('Obra Cañuelas'!G36="","",'Obra Cañuelas'!O36)</f>
        <v/>
      </c>
    </row>
    <row r="271" spans="1:6">
      <c r="A271" t="str">
        <f>IF('Obra Cañuelas'!G37="","","Obra Cañuelas")</f>
        <v/>
      </c>
      <c r="B271" t="str">
        <f>IF('Obra Cañuelas'!G37="","",'Obra Cañuelas'!G37)</f>
        <v/>
      </c>
      <c r="C271" t="str">
        <f>IF('Obra Cañuelas'!G37="","",'Obra Cañuelas'!I37)</f>
        <v/>
      </c>
      <c r="D271" t="str">
        <f>IF('Obra Cañuelas'!G37="","",'Obra Cañuelas'!L37)</f>
        <v/>
      </c>
      <c r="E271" t="str">
        <f>IF('Obra Cañuelas'!G37="","",'Obra Cañuelas'!N37)</f>
        <v/>
      </c>
      <c r="F271" t="str">
        <f>IF('Obra Cañuelas'!G37="","",'Obra Cañuelas'!O37)</f>
        <v/>
      </c>
    </row>
    <row r="272" spans="1:6">
      <c r="A272" t="str">
        <f>IF('Obra Cañuelas'!G38="","","Obra Cañuelas")</f>
        <v/>
      </c>
      <c r="B272" t="str">
        <f>IF('Obra Cañuelas'!G38="","",'Obra Cañuelas'!G38)</f>
        <v/>
      </c>
      <c r="C272" t="str">
        <f>IF('Obra Cañuelas'!G38="","",'Obra Cañuelas'!I38)</f>
        <v/>
      </c>
      <c r="D272" t="str">
        <f>IF('Obra Cañuelas'!G38="","",'Obra Cañuelas'!L38)</f>
        <v/>
      </c>
      <c r="E272" t="str">
        <f>IF('Obra Cañuelas'!G38="","",'Obra Cañuelas'!N38)</f>
        <v/>
      </c>
      <c r="F272" t="str">
        <f>IF('Obra Cañuelas'!G38="","",'Obra Cañuelas'!O38)</f>
        <v/>
      </c>
    </row>
    <row r="273" spans="1:6">
      <c r="A273" t="str">
        <f>IF('Obra Cañuelas'!G39="","","Obra Cañuelas")</f>
        <v/>
      </c>
      <c r="B273" t="str">
        <f>IF('Obra Cañuelas'!G39="","",'Obra Cañuelas'!G39)</f>
        <v/>
      </c>
      <c r="C273" t="str">
        <f>IF('Obra Cañuelas'!G39="","",'Obra Cañuelas'!I39)</f>
        <v/>
      </c>
      <c r="D273" t="str">
        <f>IF('Obra Cañuelas'!G39="","",'Obra Cañuelas'!L39)</f>
        <v/>
      </c>
      <c r="E273" t="str">
        <f>IF('Obra Cañuelas'!G39="","",'Obra Cañuelas'!N39)</f>
        <v/>
      </c>
      <c r="F273" t="str">
        <f>IF('Obra Cañuelas'!G39="","",'Obra Cañuelas'!O39)</f>
        <v/>
      </c>
    </row>
    <row r="274" spans="1:6">
      <c r="A274" t="str">
        <f>IF('Obra Cañuelas'!G40="","","Obra Cañuelas")</f>
        <v/>
      </c>
      <c r="B274" t="str">
        <f>IF('Obra Cañuelas'!G40="","",'Obra Cañuelas'!G40)</f>
        <v/>
      </c>
      <c r="C274" t="str">
        <f>IF('Obra Cañuelas'!G40="","",'Obra Cañuelas'!I40)</f>
        <v/>
      </c>
      <c r="D274" t="str">
        <f>IF('Obra Cañuelas'!G40="","",'Obra Cañuelas'!L40)</f>
        <v/>
      </c>
      <c r="E274" t="str">
        <f>IF('Obra Cañuelas'!G40="","",'Obra Cañuelas'!N40)</f>
        <v/>
      </c>
      <c r="F274" t="str">
        <f>IF('Obra Cañuelas'!G40="","",'Obra Cañuelas'!O40)</f>
        <v/>
      </c>
    </row>
    <row r="275" spans="1:6">
      <c r="A275" t="str">
        <f>IF('Obra Cañuelas'!G41="","","Obra Cañuelas")</f>
        <v/>
      </c>
      <c r="B275" t="str">
        <f>IF('Obra Cañuelas'!G41="","",'Obra Cañuelas'!G41)</f>
        <v/>
      </c>
      <c r="C275" t="str">
        <f>IF('Obra Cañuelas'!G41="","",'Obra Cañuelas'!I41)</f>
        <v/>
      </c>
      <c r="D275" t="str">
        <f>IF('Obra Cañuelas'!G41="","",'Obra Cañuelas'!L41)</f>
        <v/>
      </c>
      <c r="E275" t="str">
        <f>IF('Obra Cañuelas'!G41="","",'Obra Cañuelas'!N41)</f>
        <v/>
      </c>
      <c r="F275" t="str">
        <f>IF('Obra Cañuelas'!G41="","",'Obra Cañuelas'!O41)</f>
        <v/>
      </c>
    </row>
    <row r="276" spans="1:6">
      <c r="A276" t="str">
        <f>IF('Obra Cañuelas'!G42="","","Obra Cañuelas")</f>
        <v/>
      </c>
      <c r="B276" t="str">
        <f>IF('Obra Cañuelas'!G42="","",'Obra Cañuelas'!G42)</f>
        <v/>
      </c>
      <c r="C276" t="str">
        <f>IF('Obra Cañuelas'!G42="","",'Obra Cañuelas'!I42)</f>
        <v/>
      </c>
      <c r="D276" t="str">
        <f>IF('Obra Cañuelas'!G42="","",'Obra Cañuelas'!L42)</f>
        <v/>
      </c>
      <c r="E276" t="str">
        <f>IF('Obra Cañuelas'!G42="","",'Obra Cañuelas'!N42)</f>
        <v/>
      </c>
      <c r="F276" t="str">
        <f>IF('Obra Cañuelas'!G42="","",'Obra Cañuelas'!O42)</f>
        <v/>
      </c>
    </row>
    <row r="277" spans="1:6">
      <c r="A277" t="str">
        <f>IF('Obra Cañuelas'!G43="","","Obra Cañuelas")</f>
        <v/>
      </c>
      <c r="B277" t="str">
        <f>IF('Obra Cañuelas'!G43="","",'Obra Cañuelas'!G43)</f>
        <v/>
      </c>
      <c r="C277" t="str">
        <f>IF('Obra Cañuelas'!G43="","",'Obra Cañuelas'!I43)</f>
        <v/>
      </c>
      <c r="D277" t="str">
        <f>IF('Obra Cañuelas'!G43="","",'Obra Cañuelas'!L43)</f>
        <v/>
      </c>
      <c r="E277" t="str">
        <f>IF('Obra Cañuelas'!G43="","",'Obra Cañuelas'!N43)</f>
        <v/>
      </c>
      <c r="F277" t="str">
        <f>IF('Obra Cañuelas'!G43="","",'Obra Cañuelas'!O43)</f>
        <v/>
      </c>
    </row>
    <row r="278" spans="1:6">
      <c r="A278" t="str">
        <f>IF('Obra Cañuelas'!G44="","","Obra Cañuelas")</f>
        <v/>
      </c>
      <c r="B278" t="str">
        <f>IF('Obra Cañuelas'!G44="","",'Obra Cañuelas'!G44)</f>
        <v/>
      </c>
      <c r="C278" t="str">
        <f>IF('Obra Cañuelas'!G44="","",'Obra Cañuelas'!I44)</f>
        <v/>
      </c>
      <c r="D278" t="str">
        <f>IF('Obra Cañuelas'!G44="","",'Obra Cañuelas'!L44)</f>
        <v/>
      </c>
      <c r="E278" t="str">
        <f>IF('Obra Cañuelas'!G44="","",'Obra Cañuelas'!N44)</f>
        <v/>
      </c>
      <c r="F278" t="str">
        <f>IF('Obra Cañuelas'!G44="","",'Obra Cañuelas'!O44)</f>
        <v/>
      </c>
    </row>
    <row r="279" spans="1:6">
      <c r="A279" t="str">
        <f>IF('Obra Cañuelas'!G45="","","Obra Cañuelas")</f>
        <v/>
      </c>
      <c r="B279" t="str">
        <f>IF('Obra Cañuelas'!G45="","",'Obra Cañuelas'!G45)</f>
        <v/>
      </c>
      <c r="C279" t="str">
        <f>IF('Obra Cañuelas'!G45="","",'Obra Cañuelas'!I45)</f>
        <v/>
      </c>
      <c r="D279" t="str">
        <f>IF('Obra Cañuelas'!G45="","",'Obra Cañuelas'!L45)</f>
        <v/>
      </c>
      <c r="E279" t="str">
        <f>IF('Obra Cañuelas'!G45="","",'Obra Cañuelas'!N45)</f>
        <v/>
      </c>
      <c r="F279" t="str">
        <f>IF('Obra Cañuelas'!G45="","",'Obra Cañuelas'!O45)</f>
        <v/>
      </c>
    </row>
    <row r="280" spans="1:6">
      <c r="A280" t="str">
        <f>IF('Obra Cañuelas'!G46="","","Obra Cañuelas")</f>
        <v/>
      </c>
      <c r="B280" t="str">
        <f>IF('Obra Cañuelas'!G46="","",'Obra Cañuelas'!G46)</f>
        <v/>
      </c>
      <c r="C280" t="str">
        <f>IF('Obra Cañuelas'!G46="","",'Obra Cañuelas'!I46)</f>
        <v/>
      </c>
      <c r="D280" t="str">
        <f>IF('Obra Cañuelas'!G46="","",'Obra Cañuelas'!L46)</f>
        <v/>
      </c>
      <c r="E280" t="str">
        <f>IF('Obra Cañuelas'!G46="","",'Obra Cañuelas'!N46)</f>
        <v/>
      </c>
      <c r="F280" t="str">
        <f>IF('Obra Cañuelas'!G46="","",'Obra Cañuelas'!O46)</f>
        <v/>
      </c>
    </row>
    <row r="281" spans="1:6">
      <c r="A281" t="str">
        <f>IF('Obra Cañuelas'!G47="","","Obra Cañuelas")</f>
        <v/>
      </c>
      <c r="B281" t="str">
        <f>IF('Obra Cañuelas'!G47="","",'Obra Cañuelas'!G47)</f>
        <v/>
      </c>
      <c r="C281" t="str">
        <f>IF('Obra Cañuelas'!G47="","",'Obra Cañuelas'!I47)</f>
        <v/>
      </c>
      <c r="D281" t="str">
        <f>IF('Obra Cañuelas'!G47="","",'Obra Cañuelas'!L47)</f>
        <v/>
      </c>
      <c r="E281" t="str">
        <f>IF('Obra Cañuelas'!G47="","",'Obra Cañuelas'!N47)</f>
        <v/>
      </c>
      <c r="F281" t="str">
        <f>IF('Obra Cañuelas'!G47="","",'Obra Cañuelas'!O47)</f>
        <v/>
      </c>
    </row>
    <row r="282" spans="1:6">
      <c r="A282" t="str">
        <f>IF('Obra Cañuelas'!G48="","","Obra Cañuelas")</f>
        <v/>
      </c>
      <c r="B282" t="str">
        <f>IF('Obra Cañuelas'!G48="","",'Obra Cañuelas'!G48)</f>
        <v/>
      </c>
      <c r="C282" t="str">
        <f>IF('Obra Cañuelas'!G48="","",'Obra Cañuelas'!I48)</f>
        <v/>
      </c>
      <c r="D282" t="str">
        <f>IF('Obra Cañuelas'!G48="","",'Obra Cañuelas'!L48)</f>
        <v/>
      </c>
      <c r="E282" t="str">
        <f>IF('Obra Cañuelas'!G48="","",'Obra Cañuelas'!N48)</f>
        <v/>
      </c>
      <c r="F282" t="str">
        <f>IF('Obra Cañuelas'!G48="","",'Obra Cañuelas'!O48)</f>
        <v/>
      </c>
    </row>
    <row r="283" spans="1:6">
      <c r="A283" t="str">
        <f>IF('Obra Cañuelas'!G49="","","Obra Cañuelas")</f>
        <v/>
      </c>
      <c r="B283" t="str">
        <f>IF('Obra Cañuelas'!G49="","",'Obra Cañuelas'!G49)</f>
        <v/>
      </c>
      <c r="C283" t="str">
        <f>IF('Obra Cañuelas'!G49="","",'Obra Cañuelas'!I49)</f>
        <v/>
      </c>
      <c r="D283" t="str">
        <f>IF('Obra Cañuelas'!G49="","",'Obra Cañuelas'!L49)</f>
        <v/>
      </c>
      <c r="E283" t="str">
        <f>IF('Obra Cañuelas'!G49="","",'Obra Cañuelas'!N49)</f>
        <v/>
      </c>
      <c r="F283" t="str">
        <f>IF('Obra Cañuelas'!G49="","",'Obra Cañuelas'!O49)</f>
        <v/>
      </c>
    </row>
    <row r="284" spans="1:6">
      <c r="A284" t="str">
        <f>IF('Obra Cañuelas'!G50="","","Obra Cañuelas")</f>
        <v/>
      </c>
      <c r="B284" t="str">
        <f>IF('Obra Cañuelas'!G50="","",'Obra Cañuelas'!G50)</f>
        <v/>
      </c>
      <c r="C284" t="str">
        <f>IF('Obra Cañuelas'!G50="","",'Obra Cañuelas'!I50)</f>
        <v/>
      </c>
      <c r="D284" t="str">
        <f>IF('Obra Cañuelas'!G50="","",'Obra Cañuelas'!L50)</f>
        <v/>
      </c>
      <c r="E284" t="str">
        <f>IF('Obra Cañuelas'!G50="","",'Obra Cañuelas'!N50)</f>
        <v/>
      </c>
      <c r="F284" t="str">
        <f>IF('Obra Cañuelas'!G50="","",'Obra Cañuelas'!O50)</f>
        <v/>
      </c>
    </row>
    <row r="285" spans="1:6">
      <c r="A285" t="str">
        <f>IF('Obra Cañuelas'!G51="","","Obra Cañuelas")</f>
        <v/>
      </c>
      <c r="B285" t="str">
        <f>IF('Obra Cañuelas'!G51="","",'Obra Cañuelas'!G51)</f>
        <v/>
      </c>
      <c r="C285" t="str">
        <f>IF('Obra Cañuelas'!G51="","",'Obra Cañuelas'!I51)</f>
        <v/>
      </c>
      <c r="D285" t="str">
        <f>IF('Obra Cañuelas'!G51="","",'Obra Cañuelas'!L51)</f>
        <v/>
      </c>
      <c r="E285" t="str">
        <f>IF('Obra Cañuelas'!G51="","",'Obra Cañuelas'!N51)</f>
        <v/>
      </c>
      <c r="F285" t="str">
        <f>IF('Obra Cañuelas'!G51="","",'Obra Cañuelas'!O51)</f>
        <v/>
      </c>
    </row>
    <row r="286" spans="1:6">
      <c r="A286" t="str">
        <f>IF('Obra Cañuelas'!G52="","","Obra Cañuelas")</f>
        <v/>
      </c>
      <c r="B286" t="str">
        <f>IF('Obra Cañuelas'!G52="","",'Obra Cañuelas'!G52)</f>
        <v/>
      </c>
      <c r="C286" t="str">
        <f>IF('Obra Cañuelas'!G52="","",'Obra Cañuelas'!I52)</f>
        <v/>
      </c>
      <c r="D286" t="str">
        <f>IF('Obra Cañuelas'!G52="","",'Obra Cañuelas'!K52)</f>
        <v/>
      </c>
      <c r="E286" t="str">
        <f>IF('Obra Cañuelas'!G52="","",'Obra Cañuelas'!M52)</f>
        <v/>
      </c>
      <c r="F286" t="str">
        <f>IF('Obra Cañuelas'!G52="","",'Obra Cañuelas'!N52)</f>
        <v/>
      </c>
    </row>
    <row r="287" spans="1:6">
      <c r="A287" t="str">
        <f>IF('Obra Cañuelas'!G53="","","Obra Cañuelas")</f>
        <v>Obra Cañuelas</v>
      </c>
      <c r="B287" t="str">
        <f>IF('Obra Cañuelas'!G53="","",'Obra Cañuelas'!G53)</f>
        <v>TOTAL</v>
      </c>
      <c r="C287">
        <f>IF('Obra Cañuelas'!G53="","",'Obra Cañuelas'!I53)</f>
        <v>0</v>
      </c>
      <c r="D287">
        <f>IF('Obra Cañuelas'!G53="","",'Obra Cañuelas'!K53)</f>
        <v>0</v>
      </c>
      <c r="E287">
        <f>IF('Obra Cañuelas'!G53="","",'Obra Cañuelas'!M53)</f>
        <v>0</v>
      </c>
      <c r="F287">
        <f>IF('Obra Cañuelas'!G53="","",'Obra Cañuelas'!N53)</f>
        <v>0</v>
      </c>
    </row>
    <row r="288" spans="1:6">
      <c r="A288" t="str">
        <f>IF('Obra Cañuelas'!G54="","","Obra Cañuelas")</f>
        <v/>
      </c>
      <c r="B288" t="str">
        <f>IF('Obra Cañuelas'!G54="","",'Obra Cañuelas'!G54)</f>
        <v/>
      </c>
      <c r="C288" t="str">
        <f>IF('Obra Cañuelas'!G54="","",'Obra Cañuelas'!I54)</f>
        <v/>
      </c>
      <c r="D288" t="str">
        <f>IF('Obra Cañuelas'!G54="","",'Obra Cañuelas'!K54)</f>
        <v/>
      </c>
      <c r="E288" t="str">
        <f>IF('Obra Cañuelas'!G54="","",'Obra Cañuelas'!M54)</f>
        <v/>
      </c>
      <c r="F288" t="str">
        <f>IF('Obra Cañuelas'!G54="","",'Obra Cañuelas'!N54)</f>
        <v/>
      </c>
    </row>
    <row r="289" spans="1:6">
      <c r="A289" t="str">
        <f>IF('Obra Cañuelas'!G55="","","Obra Cañuelas")</f>
        <v/>
      </c>
      <c r="B289" t="str">
        <f>IF('Obra Cañuelas'!G55="","",'Obra Cañuelas'!G55)</f>
        <v/>
      </c>
      <c r="C289" t="str">
        <f>IF('Obra Cañuelas'!G55="","",'Obra Cañuelas'!I55)</f>
        <v/>
      </c>
      <c r="D289" t="str">
        <f>IF('Obra Cañuelas'!G55="","",'Obra Cañuelas'!K55)</f>
        <v/>
      </c>
      <c r="E289" t="str">
        <f>IF('Obra Cañuelas'!G55="","",'Obra Cañuelas'!M55)</f>
        <v/>
      </c>
      <c r="F289" t="str">
        <f>IF('Obra Cañuelas'!G55="","",'Obra Cañuelas'!N55)</f>
        <v/>
      </c>
    </row>
    <row r="290" spans="1:6">
      <c r="A290" t="str">
        <f>IF('Obra Cañuelas'!G56="","","Obra Cañuelas")</f>
        <v/>
      </c>
      <c r="B290" t="str">
        <f>IF('Obra Cañuelas'!G56="","",'Obra Cañuelas'!G56)</f>
        <v/>
      </c>
      <c r="C290" t="str">
        <f>IF('Obra Cañuelas'!G56="","",'Obra Cañuelas'!I56)</f>
        <v/>
      </c>
      <c r="D290" t="str">
        <f>IF('Obra Cañuelas'!G56="","",'Obra Cañuelas'!K56)</f>
        <v/>
      </c>
      <c r="E290" t="str">
        <f>IF('Obra Cañuelas'!G56="","",'Obra Cañuelas'!M56)</f>
        <v/>
      </c>
      <c r="F290" t="str">
        <f>IF('Obra Cañuelas'!G56="","",'Obra Cañuelas'!N56)</f>
        <v/>
      </c>
    </row>
    <row r="291" spans="1:6">
      <c r="A291" t="str">
        <f>IF('Obra Cañuelas'!G57="","","Obra Cañuelas")</f>
        <v/>
      </c>
      <c r="B291" t="str">
        <f>IF('Obra Cañuelas'!G57="","",'Obra Cañuelas'!G57)</f>
        <v/>
      </c>
      <c r="C291" t="str">
        <f>IF('Obra Cañuelas'!G57="","",'Obra Cañuelas'!I57)</f>
        <v/>
      </c>
      <c r="D291" t="str">
        <f>IF('Obra Cañuelas'!G57="","",'Obra Cañuelas'!K57)</f>
        <v/>
      </c>
      <c r="E291" t="str">
        <f>IF('Obra Cañuelas'!G57="","",'Obra Cañuelas'!M57)</f>
        <v/>
      </c>
      <c r="F291" t="str">
        <f>IF('Obra Cañuelas'!G57="","",'Obra Cañuelas'!N57)</f>
        <v/>
      </c>
    </row>
    <row r="292" spans="1:6">
      <c r="A292" t="str">
        <f>IF('Obra Cañuelas'!G58="","","Obra Cañuelas")</f>
        <v/>
      </c>
      <c r="B292" t="str">
        <f>IF('Obra Cañuelas'!G58="","",'Obra Cañuelas'!G58)</f>
        <v/>
      </c>
      <c r="C292" t="str">
        <f>IF('Obra Cañuelas'!G58="","",'Obra Cañuelas'!I58)</f>
        <v/>
      </c>
      <c r="D292" t="str">
        <f>IF('Obra Cañuelas'!G58="","",'Obra Cañuelas'!K58)</f>
        <v/>
      </c>
      <c r="E292" t="str">
        <f>IF('Obra Cañuelas'!G58="","",'Obra Cañuelas'!M58)</f>
        <v/>
      </c>
      <c r="F292" t="str">
        <f>IF('Obra Cañuelas'!G58="","",'Obra Cañuelas'!N58)</f>
        <v/>
      </c>
    </row>
    <row r="293" spans="1:6">
      <c r="A293" t="str">
        <f>IF('Obra Cañuelas'!G59="","","Obra Cañuelas")</f>
        <v/>
      </c>
      <c r="B293" t="str">
        <f>IF('Obra Cañuelas'!G59="","",'Obra Cañuelas'!G59)</f>
        <v/>
      </c>
      <c r="C293" t="str">
        <f>IF('Obra Cañuelas'!G59="","",'Obra Cañuelas'!I59)</f>
        <v/>
      </c>
      <c r="D293" t="str">
        <f>IF('Obra Cañuelas'!G59="","",'Obra Cañuelas'!K59)</f>
        <v/>
      </c>
      <c r="E293" t="str">
        <f>IF('Obra Cañuelas'!G59="","",'Obra Cañuelas'!M59)</f>
        <v/>
      </c>
      <c r="F293" t="str">
        <f>IF('Obra Cañuelas'!G59="","",'Obra Cañuelas'!N59)</f>
        <v/>
      </c>
    </row>
    <row r="294" spans="1:6">
      <c r="A294" t="str">
        <f>IF('Obra Cañuelas'!G60="","","Obra Cañuelas")</f>
        <v/>
      </c>
      <c r="B294" t="str">
        <f>IF('Obra Cañuelas'!G60="","",'Obra Cañuelas'!G60)</f>
        <v/>
      </c>
      <c r="C294" t="str">
        <f>IF('Obra Cañuelas'!G60="","",'Obra Cañuelas'!I60)</f>
        <v/>
      </c>
      <c r="D294" t="str">
        <f>IF('Obra Cañuelas'!G60="","",'Obra Cañuelas'!K60)</f>
        <v/>
      </c>
      <c r="E294" t="str">
        <f>IF('Obra Cañuelas'!G60="","",'Obra Cañuelas'!M60)</f>
        <v/>
      </c>
      <c r="F294" t="str">
        <f>IF('Obra Cañuelas'!G60="","",'Obra Cañuelas'!N60)</f>
        <v/>
      </c>
    </row>
    <row r="295" spans="1:6">
      <c r="A295" t="str">
        <f>IF('Obra Cañuelas'!G61="","","Obra Cañuelas")</f>
        <v/>
      </c>
      <c r="B295" t="str">
        <f>IF('Obra Cañuelas'!G61="","",'Obra Cañuelas'!G61)</f>
        <v/>
      </c>
      <c r="C295" t="str">
        <f>IF('Obra Cañuelas'!G61="","",'Obra Cañuelas'!I61)</f>
        <v/>
      </c>
      <c r="D295" t="str">
        <f>IF('Obra Cañuelas'!G61="","",'Obra Cañuelas'!K61)</f>
        <v/>
      </c>
      <c r="E295" t="str">
        <f>IF('Obra Cañuelas'!G61="","",'Obra Cañuelas'!M61)</f>
        <v/>
      </c>
      <c r="F295" t="str">
        <f>IF('Obra Cañuelas'!G61="","",'Obra Cañuelas'!N61)</f>
        <v/>
      </c>
    </row>
    <row r="296" spans="1:6">
      <c r="A296" t="str">
        <f>IF('Obra Cañuelas'!G62="","","Obra Cañuelas")</f>
        <v/>
      </c>
      <c r="B296" t="str">
        <f>IF('Obra Cañuelas'!G62="","",'Obra Cañuelas'!G62)</f>
        <v/>
      </c>
      <c r="C296" t="str">
        <f>IF('Obra Cañuelas'!G62="","",'Obra Cañuelas'!I62)</f>
        <v/>
      </c>
      <c r="D296" t="str">
        <f>IF('Obra Cañuelas'!G62="","",'Obra Cañuelas'!K62)</f>
        <v/>
      </c>
      <c r="E296" t="str">
        <f>IF('Obra Cañuelas'!G62="","",'Obra Cañuelas'!M62)</f>
        <v/>
      </c>
      <c r="F296" t="str">
        <f>IF('Obra Cañuelas'!G62="","",'Obra Cañuelas'!N62)</f>
        <v/>
      </c>
    </row>
    <row r="297" spans="1:6">
      <c r="A297" t="str">
        <f>IF('Obra Cañuelas'!G63="","","Obra Cañuelas")</f>
        <v/>
      </c>
      <c r="B297" t="str">
        <f>IF('Obra Cañuelas'!G63="","",'Obra Cañuelas'!G63)</f>
        <v/>
      </c>
      <c r="C297" t="str">
        <f>IF('Obra Cañuelas'!G63="","",'Obra Cañuelas'!I63)</f>
        <v/>
      </c>
      <c r="D297" t="str">
        <f>IF('Obra Cañuelas'!G63="","",'Obra Cañuelas'!K63)</f>
        <v/>
      </c>
      <c r="E297" t="str">
        <f>IF('Obra Cañuelas'!G63="","",'Obra Cañuelas'!M63)</f>
        <v/>
      </c>
      <c r="F297" t="str">
        <f>IF('Obra Cañuelas'!G63="","",'Obra Cañuelas'!N63)</f>
        <v/>
      </c>
    </row>
    <row r="298" spans="1:6">
      <c r="A298" t="str">
        <f>IF('Obra Cañuelas'!G64="","","Obra Cañuelas")</f>
        <v/>
      </c>
      <c r="B298" t="str">
        <f>IF('Obra Cañuelas'!G64="","",'Obra Cañuelas'!G64)</f>
        <v/>
      </c>
      <c r="C298" t="str">
        <f>IF('Obra Cañuelas'!G64="","",'Obra Cañuelas'!I64)</f>
        <v/>
      </c>
      <c r="D298" t="str">
        <f>IF('Obra Cañuelas'!G64="","",'Obra Cañuelas'!K64)</f>
        <v/>
      </c>
      <c r="E298" t="str">
        <f>IF('Obra Cañuelas'!G64="","",'Obra Cañuelas'!M64)</f>
        <v/>
      </c>
      <c r="F298" t="str">
        <f>IF('Obra Cañuelas'!G64="","",'Obra Cañuelas'!N64)</f>
        <v/>
      </c>
    </row>
    <row r="299" spans="1:6">
      <c r="A299" t="str">
        <f>IF('Obra Cañuelas'!G65="","","Obra Cañuelas")</f>
        <v/>
      </c>
      <c r="B299" t="str">
        <f>IF('Obra Cañuelas'!G65="","",'Obra Cañuelas'!G65)</f>
        <v/>
      </c>
      <c r="C299" t="str">
        <f>IF('Obra Cañuelas'!G65="","",'Obra Cañuelas'!I65)</f>
        <v/>
      </c>
      <c r="D299" t="str">
        <f>IF('Obra Cañuelas'!G65="","",'Obra Cañuelas'!K65)</f>
        <v/>
      </c>
      <c r="E299" t="str">
        <f>IF('Obra Cañuelas'!G65="","",'Obra Cañuelas'!M65)</f>
        <v/>
      </c>
      <c r="F299" t="str">
        <f>IF('Obra Cañuelas'!G65="","",'Obra Cañuelas'!N65)</f>
        <v/>
      </c>
    </row>
    <row r="300" spans="1:6">
      <c r="A300" t="str">
        <f>IF('Obra Cañuelas'!G66="","","Obra Cañuelas")</f>
        <v/>
      </c>
      <c r="B300" t="str">
        <f>IF('Obra Cañuelas'!G66="","",'Obra Cañuelas'!G66)</f>
        <v/>
      </c>
      <c r="C300" t="str">
        <f>IF('Obra Cañuelas'!G66="","",'Obra Cañuelas'!I66)</f>
        <v/>
      </c>
      <c r="D300" t="str">
        <f>IF('Obra Cañuelas'!G66="","",'Obra Cañuelas'!K66)</f>
        <v/>
      </c>
      <c r="E300" t="str">
        <f>IF('Obra Cañuelas'!G66="","",'Obra Cañuelas'!M66)</f>
        <v/>
      </c>
      <c r="F300" t="str">
        <f>IF('Obra Cañuelas'!G66="","",'Obra Cañuelas'!N66)</f>
        <v/>
      </c>
    </row>
    <row r="301" spans="1:6">
      <c r="A301" t="str">
        <f>IF('Obra Cañuelas'!G67="","","Obra Cañuelas")</f>
        <v/>
      </c>
      <c r="B301" t="str">
        <f>IF('Obra Cañuelas'!G67="","",'Obra Cañuelas'!G67)</f>
        <v/>
      </c>
      <c r="C301" t="str">
        <f>IF('Obra Cañuelas'!G67="","",'Obra Cañuelas'!I67)</f>
        <v/>
      </c>
      <c r="D301" t="str">
        <f>IF('Obra Cañuelas'!G67="","",'Obra Cañuelas'!K67)</f>
        <v/>
      </c>
      <c r="E301" t="str">
        <f>IF('Obra Cañuelas'!G67="","",'Obra Cañuelas'!M67)</f>
        <v/>
      </c>
      <c r="F301" t="str">
        <f>IF('Obra Cañuelas'!G67="","",'Obra Cañuelas'!N67)</f>
        <v/>
      </c>
    </row>
    <row r="302" spans="1:6">
      <c r="A302" t="str">
        <f>IF('Obra Cañuelas'!G68="","","Obra Cañuelas")</f>
        <v/>
      </c>
      <c r="B302" t="str">
        <f>IF('Obra Cañuelas'!G68="","",'Obra Cañuelas'!G68)</f>
        <v/>
      </c>
      <c r="C302" t="str">
        <f>IF('Obra Cañuelas'!G68="","",'Obra Cañuelas'!I68)</f>
        <v/>
      </c>
      <c r="D302" t="str">
        <f>IF('Obra Cañuelas'!G68="","",'Obra Cañuelas'!K68)</f>
        <v/>
      </c>
      <c r="E302" t="str">
        <f>IF('Obra Cañuelas'!G68="","",'Obra Cañuelas'!M68)</f>
        <v/>
      </c>
      <c r="F302" t="str">
        <f>IF('Obra Cañuelas'!G68="","",'Obra Cañuelas'!N68)</f>
        <v/>
      </c>
    </row>
    <row r="303" spans="1:6">
      <c r="A303" t="str">
        <f>IF('Obra Cañuelas'!G69="","","Obra Cañuelas")</f>
        <v/>
      </c>
      <c r="B303" t="str">
        <f>IF('Obra Cañuelas'!G69="","",'Obra Cañuelas'!G69)</f>
        <v/>
      </c>
      <c r="C303" t="str">
        <f>IF('Obra Cañuelas'!G69="","",'Obra Cañuelas'!I69)</f>
        <v/>
      </c>
      <c r="D303" t="str">
        <f>IF('Obra Cañuelas'!G69="","",'Obra Cañuelas'!K69)</f>
        <v/>
      </c>
      <c r="E303" t="str">
        <f>IF('Obra Cañuelas'!G69="","",'Obra Cañuelas'!M69)</f>
        <v/>
      </c>
      <c r="F303" t="str">
        <f>IF('Obra Cañuelas'!G69="","",'Obra Cañuelas'!N69)</f>
        <v/>
      </c>
    </row>
    <row r="304" spans="1:6">
      <c r="A304" t="str">
        <f>IF('Obra Cañuelas'!G70="","","Obra Cañuelas")</f>
        <v/>
      </c>
      <c r="B304" t="str">
        <f>IF('Obra Cañuelas'!G70="","",'Obra Cañuelas'!G70)</f>
        <v/>
      </c>
      <c r="C304" t="str">
        <f>IF('Obra Cañuelas'!G70="","",'Obra Cañuelas'!I70)</f>
        <v/>
      </c>
      <c r="D304" t="str">
        <f>IF('Obra Cañuelas'!G70="","",'Obra Cañuelas'!K70)</f>
        <v/>
      </c>
      <c r="E304" t="str">
        <f>IF('Obra Cañuelas'!G70="","",'Obra Cañuelas'!M70)</f>
        <v/>
      </c>
      <c r="F304" t="str">
        <f>IF('Obra Cañuelas'!G70="","",'Obra Cañuelas'!N70)</f>
        <v/>
      </c>
    </row>
    <row r="305" spans="1:6">
      <c r="A305" t="str">
        <f>IF('Obra Cañuelas'!G71="","","Obra Cañuelas")</f>
        <v/>
      </c>
      <c r="B305" t="str">
        <f>IF('Obra Cañuelas'!G71="","",'Obra Cañuelas'!G71)</f>
        <v/>
      </c>
      <c r="C305" t="str">
        <f>IF('Obra Cañuelas'!G71="","",'Obra Cañuelas'!I71)</f>
        <v/>
      </c>
      <c r="D305" t="str">
        <f>IF('Obra Cañuelas'!G71="","",'Obra Cañuelas'!K71)</f>
        <v/>
      </c>
      <c r="E305" t="str">
        <f>IF('Obra Cañuelas'!G71="","",'Obra Cañuelas'!M71)</f>
        <v/>
      </c>
      <c r="F305" t="str">
        <f>IF('Obra Cañuelas'!G71="","",'Obra Cañuelas'!N71)</f>
        <v/>
      </c>
    </row>
    <row r="306" spans="1:6">
      <c r="A306" t="str">
        <f>IF('Obra Cañuelas'!G72="","","Obra Cañuelas")</f>
        <v/>
      </c>
      <c r="B306" t="str">
        <f>IF('Obra Cañuelas'!G72="","",'Obra Cañuelas'!G72)</f>
        <v/>
      </c>
      <c r="C306" t="str">
        <f>IF('Obra Cañuelas'!G72="","",'Obra Cañuelas'!I72)</f>
        <v/>
      </c>
      <c r="D306" t="str">
        <f>IF('Obra Cañuelas'!G72="","",'Obra Cañuelas'!K72)</f>
        <v/>
      </c>
      <c r="E306" t="str">
        <f>IF('Obra Cañuelas'!G72="","",'Obra Cañuelas'!M72)</f>
        <v/>
      </c>
      <c r="F306" t="str">
        <f>IF('Obra Cañuelas'!G72="","",'Obra Cañuelas'!N72)</f>
        <v/>
      </c>
    </row>
    <row r="307" spans="1:6">
      <c r="A307" t="str">
        <f>IF('Obra EC'!G10="","","Obra EC")</f>
        <v>Obra EC</v>
      </c>
      <c r="B307" t="str">
        <f>IF('Obra EC'!G10="","",'Obra EC'!G10)</f>
        <v>Pintecord</v>
      </c>
      <c r="C307">
        <f>IF('Obra EC'!G10="","",'Obra EC'!I10)</f>
        <v>0</v>
      </c>
      <c r="D307" t="str">
        <f>IF('Obra EC'!G10="","",'Obra EC'!L10)</f>
        <v>Pagado</v>
      </c>
      <c r="E307">
        <f>IF('Obra EC'!G10="","",'Obra EC'!M10)</f>
        <v>0</v>
      </c>
      <c r="F307" t="str">
        <f>IF('Obra EC'!G10="","",'Obra EC'!N10)</f>
        <v>Pendiente</v>
      </c>
    </row>
    <row r="308" spans="1:6">
      <c r="A308" t="str">
        <f>IF('Obra EC'!G11="","","Obra EC")</f>
        <v>Obra EC</v>
      </c>
      <c r="B308" t="str">
        <f>IF('Obra EC'!G11="","",'Obra EC'!G11)</f>
        <v>Flete Hugo Godoy</v>
      </c>
      <c r="C308">
        <f>IF('Obra EC'!G11="","",'Obra EC'!I11)</f>
        <v>60000</v>
      </c>
      <c r="D308" t="str">
        <f>IF('Obra EC'!G11="","",'Obra EC'!L11)</f>
        <v>Pagado</v>
      </c>
      <c r="E308">
        <f>IF('Obra EC'!G11="","",'Obra EC'!M11)</f>
        <v>0</v>
      </c>
      <c r="F308" t="str">
        <f>IF('Obra EC'!G11="","",'Obra EC'!N11)</f>
        <v>Recibido en obra</v>
      </c>
    </row>
    <row r="309" spans="1:6">
      <c r="A309" t="str">
        <f>IF('Obra EC'!G12="","","Obra EC")</f>
        <v/>
      </c>
      <c r="B309" t="str">
        <f>IF('Obra EC'!G12="","",'Obra EC'!G12)</f>
        <v/>
      </c>
      <c r="C309" t="str">
        <f>IF('Obra EC'!G12="","",'Obra EC'!I12)</f>
        <v/>
      </c>
      <c r="D309" t="str">
        <f>IF('Obra EC'!G12="","",'Obra EC'!L12)</f>
        <v/>
      </c>
      <c r="E309" t="str">
        <f>IF('Obra EC'!G12="","",'Obra EC'!M12)</f>
        <v/>
      </c>
      <c r="F309" t="str">
        <f>IF('Obra EC'!G12="","",'Obra EC'!N12)</f>
        <v/>
      </c>
    </row>
    <row r="310" spans="1:6">
      <c r="A310" t="str">
        <f>IF('Obra EC'!G13="","","Obra EC")</f>
        <v>Obra EC</v>
      </c>
      <c r="B310" t="str">
        <f>IF('Obra EC'!G13="","",'Obra EC'!G13)</f>
        <v>Flete Hugo Godoy</v>
      </c>
      <c r="C310">
        <f>IF('Obra EC'!G13="","",'Obra EC'!I13)</f>
        <v>45000</v>
      </c>
      <c r="D310" t="str">
        <f>IF('Obra EC'!G13="","",'Obra EC'!L13)</f>
        <v>Pagado</v>
      </c>
      <c r="E310">
        <f>IF('Obra EC'!G13="","",'Obra EC'!M13)</f>
        <v>0</v>
      </c>
      <c r="F310" t="str">
        <f>IF('Obra EC'!G13="","",'Obra EC'!N13)</f>
        <v>Recibido en obra</v>
      </c>
    </row>
    <row r="311" spans="1:6">
      <c r="A311" t="str">
        <f>IF('Obra EC'!G14="","","Obra EC")</f>
        <v/>
      </c>
      <c r="B311" t="str">
        <f>IF('Obra EC'!G14="","",'Obra EC'!G14)</f>
        <v/>
      </c>
      <c r="C311" t="str">
        <f>IF('Obra EC'!G14="","",'Obra EC'!I14)</f>
        <v/>
      </c>
      <c r="D311" t="str">
        <f>IF('Obra EC'!G14="","",'Obra EC'!L14)</f>
        <v/>
      </c>
      <c r="E311" t="str">
        <f>IF('Obra EC'!G14="","",'Obra EC'!M14)</f>
        <v/>
      </c>
      <c r="F311" t="str">
        <f>IF('Obra EC'!G14="","",'Obra EC'!N14)</f>
        <v/>
      </c>
    </row>
    <row r="312" spans="1:6">
      <c r="A312" t="str">
        <f>IF('Obra EC'!G15="","","Obra EC")</f>
        <v/>
      </c>
      <c r="B312" t="str">
        <f>IF('Obra EC'!G15="","",'Obra EC'!G15)</f>
        <v/>
      </c>
      <c r="C312" t="str">
        <f>IF('Obra EC'!G15="","",'Obra EC'!I15)</f>
        <v/>
      </c>
      <c r="D312" t="str">
        <f>IF('Obra EC'!G15="","",'Obra EC'!L15)</f>
        <v/>
      </c>
      <c r="E312" t="str">
        <f>IF('Obra EC'!G15="","",'Obra EC'!M15)</f>
        <v/>
      </c>
      <c r="F312" t="str">
        <f>IF('Obra EC'!G15="","",'Obra EC'!N15)</f>
        <v/>
      </c>
    </row>
    <row r="313" spans="1:6">
      <c r="A313" t="str">
        <f>IF('Obra EC'!G16="","","Obra EC")</f>
        <v/>
      </c>
      <c r="B313" t="str">
        <f>IF('Obra EC'!G16="","",'Obra EC'!G16)</f>
        <v/>
      </c>
      <c r="C313" t="str">
        <f>IF('Obra EC'!G16="","",'Obra EC'!I16)</f>
        <v/>
      </c>
      <c r="D313" t="str">
        <f>IF('Obra EC'!G16="","",'Obra EC'!L16)</f>
        <v/>
      </c>
      <c r="E313" t="str">
        <f>IF('Obra EC'!G16="","",'Obra EC'!M16)</f>
        <v/>
      </c>
      <c r="F313" t="str">
        <f>IF('Obra EC'!G16="","",'Obra EC'!N16)</f>
        <v/>
      </c>
    </row>
    <row r="314" spans="1:6">
      <c r="A314" t="str">
        <f>IF('Obra EC'!G17="","","Obra EC")</f>
        <v/>
      </c>
      <c r="B314" t="str">
        <f>IF('Obra EC'!G17="","",'Obra EC'!G17)</f>
        <v/>
      </c>
      <c r="C314" t="str">
        <f>IF('Obra EC'!G17="","",'Obra EC'!I17)</f>
        <v/>
      </c>
      <c r="D314" t="str">
        <f>IF('Obra EC'!G17="","",'Obra EC'!L17)</f>
        <v/>
      </c>
      <c r="E314" t="str">
        <f>IF('Obra EC'!G17="","",'Obra EC'!M17)</f>
        <v/>
      </c>
      <c r="F314" t="str">
        <f>IF('Obra EC'!G17="","",'Obra EC'!N17)</f>
        <v/>
      </c>
    </row>
    <row r="315" spans="1:6">
      <c r="A315" t="str">
        <f>IF('Obra EC'!G18="","","Obra EC")</f>
        <v/>
      </c>
      <c r="B315" t="str">
        <f>IF('Obra EC'!G18="","",'Obra EC'!G18)</f>
        <v/>
      </c>
      <c r="C315" t="str">
        <f>IF('Obra EC'!G18="","",'Obra EC'!I18)</f>
        <v/>
      </c>
      <c r="D315" t="str">
        <f>IF('Obra EC'!G18="","",'Obra EC'!L18)</f>
        <v/>
      </c>
      <c r="E315" t="str">
        <f>IF('Obra EC'!G18="","",'Obra EC'!M18)</f>
        <v/>
      </c>
      <c r="F315" t="str">
        <f>IF('Obra EC'!G18="","",'Obra EC'!N18)</f>
        <v/>
      </c>
    </row>
    <row r="316" spans="1:6">
      <c r="A316" t="e">
        <f>IF('Obra EC'!#REF!="","","Obra EC")</f>
        <v>#REF!</v>
      </c>
      <c r="B316" t="e">
        <f>IF('Obra EC'!#REF!="","",'Obra EC'!#REF!)</f>
        <v>#REF!</v>
      </c>
      <c r="C316" t="e">
        <f>IF('Obra EC'!#REF!="","",'Obra EC'!#REF!)</f>
        <v>#REF!</v>
      </c>
      <c r="D316" t="e">
        <f>IF('Obra EC'!#REF!="","",'Obra EC'!#REF!)</f>
        <v>#REF!</v>
      </c>
      <c r="E316" t="e">
        <f>IF('Obra EC'!#REF!="","",'Obra EC'!#REF!)</f>
        <v>#REF!</v>
      </c>
      <c r="F316" t="e">
        <f>IF('Obra EC'!#REF!="","",'Obra EC'!#REF!)</f>
        <v>#REF!</v>
      </c>
    </row>
    <row r="317" spans="1:6">
      <c r="A317" t="str">
        <f>IF('Obra EC'!G19="","","Obra EC")</f>
        <v/>
      </c>
      <c r="B317" t="str">
        <f>IF('Obra EC'!G19="","",'Obra EC'!G19)</f>
        <v/>
      </c>
      <c r="C317" t="str">
        <f>IF('Obra EC'!G19="","",'Obra EC'!I19)</f>
        <v/>
      </c>
      <c r="D317" t="str">
        <f>IF('Obra EC'!G19="","",'Obra EC'!L19)</f>
        <v/>
      </c>
      <c r="E317" t="str">
        <f>IF('Obra EC'!G19="","",'Obra EC'!M19)</f>
        <v/>
      </c>
      <c r="F317" t="str">
        <f>IF('Obra EC'!G19="","",'Obra EC'!N19)</f>
        <v/>
      </c>
    </row>
    <row r="318" spans="1:6">
      <c r="A318" t="str">
        <f>IF('Obra EC'!G20="","","Obra EC")</f>
        <v/>
      </c>
      <c r="B318" t="str">
        <f>IF('Obra EC'!G20="","",'Obra EC'!G20)</f>
        <v/>
      </c>
      <c r="C318" t="str">
        <f>IF('Obra EC'!G20="","",'Obra EC'!I20)</f>
        <v/>
      </c>
      <c r="D318" t="str">
        <f>IF('Obra EC'!G20="","",'Obra EC'!L20)</f>
        <v/>
      </c>
      <c r="E318" t="str">
        <f>IF('Obra EC'!G20="","",'Obra EC'!M20)</f>
        <v/>
      </c>
      <c r="F318" t="str">
        <f>IF('Obra EC'!G20="","",'Obra EC'!N20)</f>
        <v/>
      </c>
    </row>
    <row r="319" spans="1:6">
      <c r="A319" t="str">
        <f>IF('Obra EC'!G21="","","Obra EC")</f>
        <v/>
      </c>
      <c r="B319" t="str">
        <f>IF('Obra EC'!G21="","",'Obra EC'!G21)</f>
        <v/>
      </c>
      <c r="C319" t="str">
        <f>IF('Obra EC'!G21="","",'Obra EC'!I21)</f>
        <v/>
      </c>
      <c r="D319" t="str">
        <f>IF('Obra EC'!G21="","",'Obra EC'!L21)</f>
        <v/>
      </c>
      <c r="E319" t="str">
        <f>IF('Obra EC'!G21="","",'Obra EC'!M21)</f>
        <v/>
      </c>
      <c r="F319" t="str">
        <f>IF('Obra EC'!G21="","",'Obra EC'!N21)</f>
        <v/>
      </c>
    </row>
    <row r="320" spans="1:6">
      <c r="A320" t="str">
        <f>IF('Obra EC'!G22="","","Obra EC")</f>
        <v/>
      </c>
      <c r="B320" t="str">
        <f>IF('Obra EC'!G22="","",'Obra EC'!G22)</f>
        <v/>
      </c>
      <c r="C320" t="str">
        <f>IF('Obra EC'!G22="","",'Obra EC'!I22)</f>
        <v/>
      </c>
      <c r="D320" t="str">
        <f>IF('Obra EC'!G22="","",'Obra EC'!L22)</f>
        <v/>
      </c>
      <c r="E320" t="str">
        <f>IF('Obra EC'!G22="","",'Obra EC'!M22)</f>
        <v/>
      </c>
      <c r="F320" t="str">
        <f>IF('Obra EC'!G22="","",'Obra EC'!N22)</f>
        <v/>
      </c>
    </row>
    <row r="321" spans="1:6">
      <c r="A321" t="str">
        <f>IF('Obra EC'!G23="","","Obra EC")</f>
        <v/>
      </c>
      <c r="B321" t="str">
        <f>IF('Obra EC'!G23="","",'Obra EC'!G23)</f>
        <v/>
      </c>
      <c r="C321" t="str">
        <f>IF('Obra EC'!G23="","",'Obra EC'!I23)</f>
        <v/>
      </c>
      <c r="D321" t="str">
        <f>IF('Obra EC'!G23="","",'Obra EC'!L23)</f>
        <v/>
      </c>
      <c r="E321" t="str">
        <f>IF('Obra EC'!G23="","",'Obra EC'!M23)</f>
        <v/>
      </c>
      <c r="F321" t="str">
        <f>IF('Obra EC'!G23="","",'Obra EC'!N23)</f>
        <v/>
      </c>
    </row>
    <row r="322" spans="1:6">
      <c r="A322" t="str">
        <f>IF('Obra EC'!G24="","","Obra EC")</f>
        <v/>
      </c>
      <c r="B322" t="str">
        <f>IF('Obra EC'!G24="","",'Obra EC'!G24)</f>
        <v/>
      </c>
      <c r="C322" t="str">
        <f>IF('Obra EC'!G24="","",'Obra EC'!I24)</f>
        <v/>
      </c>
      <c r="D322" t="str">
        <f>IF('Obra EC'!G24="","",'Obra EC'!L24)</f>
        <v/>
      </c>
      <c r="E322" t="str">
        <f>IF('Obra EC'!G24="","",'Obra EC'!M24)</f>
        <v/>
      </c>
      <c r="F322" t="str">
        <f>IF('Obra EC'!G24="","",'Obra EC'!N24)</f>
        <v/>
      </c>
    </row>
    <row r="323" spans="1:6">
      <c r="A323" t="str">
        <f>IF('Obra EC'!G25="","","Obra EC")</f>
        <v/>
      </c>
      <c r="B323" t="str">
        <f>IF('Obra EC'!G25="","",'Obra EC'!G25)</f>
        <v/>
      </c>
      <c r="C323" t="str">
        <f>IF('Obra EC'!G25="","",'Obra EC'!I25)</f>
        <v/>
      </c>
      <c r="D323" t="str">
        <f>IF('Obra EC'!G25="","",'Obra EC'!L25)</f>
        <v/>
      </c>
      <c r="E323" t="str">
        <f>IF('Obra EC'!G25="","",'Obra EC'!M25)</f>
        <v/>
      </c>
      <c r="F323" t="str">
        <f>IF('Obra EC'!G25="","",'Obra EC'!N25)</f>
        <v/>
      </c>
    </row>
    <row r="324" spans="1:6">
      <c r="A324" t="str">
        <f>IF('Obra EC'!G26="","","Obra EC")</f>
        <v/>
      </c>
      <c r="B324" t="str">
        <f>IF('Obra EC'!G26="","",'Obra EC'!G26)</f>
        <v/>
      </c>
      <c r="C324" t="str">
        <f>IF('Obra EC'!G26="","",'Obra EC'!I26)</f>
        <v/>
      </c>
      <c r="D324" t="str">
        <f>IF('Obra EC'!G26="","",'Obra EC'!L26)</f>
        <v/>
      </c>
      <c r="E324" t="str">
        <f>IF('Obra EC'!G26="","",'Obra EC'!M26)</f>
        <v/>
      </c>
      <c r="F324" t="str">
        <f>IF('Obra EC'!G26="","",'Obra EC'!N26)</f>
        <v/>
      </c>
    </row>
    <row r="325" spans="1:6">
      <c r="A325" t="str">
        <f>IF('Obra EC'!G27="","","Obra EC")</f>
        <v/>
      </c>
      <c r="B325" t="str">
        <f>IF('Obra EC'!G27="","",'Obra EC'!G27)</f>
        <v/>
      </c>
      <c r="C325" t="str">
        <f>IF('Obra EC'!G27="","",'Obra EC'!I27)</f>
        <v/>
      </c>
      <c r="D325" t="str">
        <f>IF('Obra EC'!G27="","",'Obra EC'!L27)</f>
        <v/>
      </c>
      <c r="E325" t="str">
        <f>IF('Obra EC'!G27="","",'Obra EC'!M27)</f>
        <v/>
      </c>
      <c r="F325" t="str">
        <f>IF('Obra EC'!G27="","",'Obra EC'!N27)</f>
        <v/>
      </c>
    </row>
    <row r="326" spans="1:6">
      <c r="A326" t="str">
        <f>IF('Obra EC'!G28="","","Obra EC")</f>
        <v/>
      </c>
      <c r="B326" t="str">
        <f>IF('Obra EC'!G28="","",'Obra EC'!G28)</f>
        <v/>
      </c>
      <c r="C326" t="str">
        <f>IF('Obra EC'!G28="","",'Obra EC'!I28)</f>
        <v/>
      </c>
      <c r="D326" t="str">
        <f>IF('Obra EC'!G28="","",'Obra EC'!L28)</f>
        <v/>
      </c>
      <c r="E326" t="str">
        <f>IF('Obra EC'!G28="","",'Obra EC'!M28)</f>
        <v/>
      </c>
      <c r="F326" t="str">
        <f>IF('Obra EC'!G28="","",'Obra EC'!N28)</f>
        <v/>
      </c>
    </row>
    <row r="327" spans="1:6">
      <c r="A327" t="str">
        <f>IF('Obra EC'!G29="","","Obra EC")</f>
        <v/>
      </c>
      <c r="B327" t="str">
        <f>IF('Obra EC'!G29="","",'Obra EC'!G29)</f>
        <v/>
      </c>
      <c r="C327" t="str">
        <f>IF('Obra EC'!G29="","",'Obra EC'!I29)</f>
        <v/>
      </c>
      <c r="D327" t="str">
        <f>IF('Obra EC'!G29="","",'Obra EC'!L29)</f>
        <v/>
      </c>
      <c r="E327" t="str">
        <f>IF('Obra EC'!G29="","",'Obra EC'!M29)</f>
        <v/>
      </c>
      <c r="F327" t="str">
        <f>IF('Obra EC'!G29="","",'Obra EC'!N29)</f>
        <v/>
      </c>
    </row>
    <row r="328" spans="1:6">
      <c r="A328" t="str">
        <f>IF('Obra EC'!G30="","","Obra EC")</f>
        <v/>
      </c>
      <c r="B328" t="str">
        <f>IF('Obra EC'!G30="","",'Obra EC'!G30)</f>
        <v/>
      </c>
      <c r="C328" t="str">
        <f>IF('Obra EC'!G30="","",'Obra EC'!I30)</f>
        <v/>
      </c>
      <c r="D328" t="str">
        <f>IF('Obra EC'!G30="","",'Obra EC'!L30)</f>
        <v/>
      </c>
      <c r="E328" t="str">
        <f>IF('Obra EC'!G30="","",'Obra EC'!M30)</f>
        <v/>
      </c>
      <c r="F328" t="str">
        <f>IF('Obra EC'!G30="","",'Obra EC'!N30)</f>
        <v/>
      </c>
    </row>
    <row r="329" spans="1:6">
      <c r="A329" t="str">
        <f>IF('Obra EC'!G31="","","Obra EC")</f>
        <v/>
      </c>
      <c r="B329" t="str">
        <f>IF('Obra EC'!G31="","",'Obra EC'!G31)</f>
        <v/>
      </c>
      <c r="C329" t="str">
        <f>IF('Obra EC'!G31="","",'Obra EC'!I31)</f>
        <v/>
      </c>
      <c r="D329" t="str">
        <f>IF('Obra EC'!G31="","",'Obra EC'!L31)</f>
        <v/>
      </c>
      <c r="E329" t="str">
        <f>IF('Obra EC'!G31="","",'Obra EC'!M31)</f>
        <v/>
      </c>
      <c r="F329" t="str">
        <f>IF('Obra EC'!G31="","",'Obra EC'!N31)</f>
        <v/>
      </c>
    </row>
    <row r="330" spans="1:6">
      <c r="A330" t="str">
        <f>IF('Obra EC'!G32="","","Obra EC")</f>
        <v/>
      </c>
      <c r="B330" t="str">
        <f>IF('Obra EC'!G32="","",'Obra EC'!G32)</f>
        <v/>
      </c>
      <c r="C330" t="str">
        <f>IF('Obra EC'!G32="","",'Obra EC'!I32)</f>
        <v/>
      </c>
      <c r="D330" t="str">
        <f>IF('Obra EC'!G32="","",'Obra EC'!L32)</f>
        <v/>
      </c>
      <c r="E330" t="str">
        <f>IF('Obra EC'!G32="","",'Obra EC'!M32)</f>
        <v/>
      </c>
      <c r="F330" t="str">
        <f>IF('Obra EC'!G32="","",'Obra EC'!N32)</f>
        <v/>
      </c>
    </row>
    <row r="331" spans="1:6">
      <c r="A331" t="str">
        <f>IF('Obra EC'!G33="","","Obra EC")</f>
        <v/>
      </c>
      <c r="B331" t="str">
        <f>IF('Obra EC'!G33="","",'Obra EC'!G33)</f>
        <v/>
      </c>
      <c r="C331" t="str">
        <f>IF('Obra EC'!G33="","",'Obra EC'!I33)</f>
        <v/>
      </c>
      <c r="D331" t="str">
        <f>IF('Obra EC'!G33="","",'Obra EC'!L33)</f>
        <v/>
      </c>
      <c r="E331" t="str">
        <f>IF('Obra EC'!G33="","",'Obra EC'!M33)</f>
        <v/>
      </c>
      <c r="F331" t="str">
        <f>IF('Obra EC'!G33="","",'Obra EC'!N33)</f>
        <v/>
      </c>
    </row>
    <row r="332" spans="1:6">
      <c r="A332" t="str">
        <f>IF('Obra EC'!G34="","","Obra EC")</f>
        <v/>
      </c>
      <c r="B332" t="str">
        <f>IF('Obra EC'!G34="","",'Obra EC'!G34)</f>
        <v/>
      </c>
      <c r="C332" t="str">
        <f>IF('Obra EC'!G34="","",'Obra EC'!I34)</f>
        <v/>
      </c>
      <c r="D332" t="str">
        <f>IF('Obra EC'!G34="","",'Obra EC'!L34)</f>
        <v/>
      </c>
      <c r="E332" t="str">
        <f>IF('Obra EC'!G34="","",'Obra EC'!M34)</f>
        <v/>
      </c>
      <c r="F332" t="str">
        <f>IF('Obra EC'!G34="","",'Obra EC'!N34)</f>
        <v/>
      </c>
    </row>
    <row r="333" spans="1:6">
      <c r="A333" t="str">
        <f>IF('Obra EC'!G35="","","Obra EC")</f>
        <v/>
      </c>
      <c r="B333" t="str">
        <f>IF('Obra EC'!G35="","",'Obra EC'!G35)</f>
        <v/>
      </c>
      <c r="C333" t="str">
        <f>IF('Obra EC'!G35="","",'Obra EC'!I35)</f>
        <v/>
      </c>
      <c r="D333" t="str">
        <f>IF('Obra EC'!G35="","",'Obra EC'!L35)</f>
        <v/>
      </c>
      <c r="E333" t="str">
        <f>IF('Obra EC'!G35="","",'Obra EC'!M35)</f>
        <v/>
      </c>
      <c r="F333" t="str">
        <f>IF('Obra EC'!G35="","",'Obra EC'!N35)</f>
        <v/>
      </c>
    </row>
    <row r="334" spans="1:6">
      <c r="A334" t="str">
        <f>IF('Obra EC'!G36="","","Obra EC")</f>
        <v/>
      </c>
      <c r="B334" t="str">
        <f>IF('Obra EC'!G36="","",'Obra EC'!G36)</f>
        <v/>
      </c>
      <c r="C334" t="str">
        <f>IF('Obra EC'!G36="","",'Obra EC'!I36)</f>
        <v/>
      </c>
      <c r="D334" t="str">
        <f>IF('Obra EC'!G36="","",'Obra EC'!L36)</f>
        <v/>
      </c>
      <c r="E334" t="str">
        <f>IF('Obra EC'!G36="","",'Obra EC'!M36)</f>
        <v/>
      </c>
      <c r="F334" t="str">
        <f>IF('Obra EC'!G36="","",'Obra EC'!N36)</f>
        <v/>
      </c>
    </row>
    <row r="335" spans="1:6">
      <c r="A335" t="str">
        <f>IF('Obra EC'!G37="","","Obra EC")</f>
        <v/>
      </c>
      <c r="B335" t="str">
        <f>IF('Obra EC'!G37="","",'Obra EC'!G37)</f>
        <v/>
      </c>
      <c r="C335" t="str">
        <f>IF('Obra EC'!G37="","",'Obra EC'!I37)</f>
        <v/>
      </c>
      <c r="D335" t="str">
        <f>IF('Obra EC'!G37="","",'Obra EC'!L37)</f>
        <v/>
      </c>
      <c r="E335" t="str">
        <f>IF('Obra EC'!G37="","",'Obra EC'!M37)</f>
        <v/>
      </c>
      <c r="F335" t="str">
        <f>IF('Obra EC'!G37="","",'Obra EC'!N37)</f>
        <v/>
      </c>
    </row>
    <row r="336" spans="1:6">
      <c r="A336" t="str">
        <f>IF('Obra EC'!G38="","","Obra EC")</f>
        <v/>
      </c>
      <c r="B336" t="str">
        <f>IF('Obra EC'!G38="","",'Obra EC'!G38)</f>
        <v/>
      </c>
      <c r="C336" t="str">
        <f>IF('Obra EC'!G38="","",'Obra EC'!I38)</f>
        <v/>
      </c>
      <c r="D336" t="str">
        <f>IF('Obra EC'!G38="","",'Obra EC'!L38)</f>
        <v/>
      </c>
      <c r="E336" t="str">
        <f>IF('Obra EC'!G38="","",'Obra EC'!M38)</f>
        <v/>
      </c>
      <c r="F336" t="str">
        <f>IF('Obra EC'!G38="","",'Obra EC'!N38)</f>
        <v/>
      </c>
    </row>
    <row r="337" spans="1:6">
      <c r="A337" t="str">
        <f>IF('Obra EC'!G39="","","Obra EC")</f>
        <v/>
      </c>
      <c r="B337" t="str">
        <f>IF('Obra EC'!G39="","",'Obra EC'!G39)</f>
        <v/>
      </c>
      <c r="C337" t="str">
        <f>IF('Obra EC'!G39="","",'Obra EC'!I39)</f>
        <v/>
      </c>
      <c r="D337" t="str">
        <f>IF('Obra EC'!G39="","",'Obra EC'!L39)</f>
        <v/>
      </c>
      <c r="E337" t="str">
        <f>IF('Obra EC'!G39="","",'Obra EC'!M39)</f>
        <v/>
      </c>
      <c r="F337" t="str">
        <f>IF('Obra EC'!G39="","",'Obra EC'!N39)</f>
        <v/>
      </c>
    </row>
    <row r="338" spans="1:6">
      <c r="A338" t="str">
        <f>IF('Obra EC'!G40="","","Obra EC")</f>
        <v/>
      </c>
      <c r="B338" t="str">
        <f>IF('Obra EC'!G40="","",'Obra EC'!G40)</f>
        <v/>
      </c>
      <c r="C338" t="str">
        <f>IF('Obra EC'!G40="","",'Obra EC'!I40)</f>
        <v/>
      </c>
      <c r="D338" t="str">
        <f>IF('Obra EC'!G40="","",'Obra EC'!L40)</f>
        <v/>
      </c>
      <c r="E338" t="str">
        <f>IF('Obra EC'!G40="","",'Obra EC'!M40)</f>
        <v/>
      </c>
      <c r="F338" t="str">
        <f>IF('Obra EC'!G40="","",'Obra EC'!N40)</f>
        <v/>
      </c>
    </row>
    <row r="339" spans="1:6">
      <c r="A339" t="str">
        <f>IF('Obra EC'!G41="","","Obra EC")</f>
        <v/>
      </c>
      <c r="B339" t="str">
        <f>IF('Obra EC'!G41="","",'Obra EC'!G41)</f>
        <v/>
      </c>
      <c r="C339" t="str">
        <f>IF('Obra EC'!G41="","",'Obra EC'!I41)</f>
        <v/>
      </c>
      <c r="D339" t="str">
        <f>IF('Obra EC'!G41="","",'Obra EC'!L41)</f>
        <v/>
      </c>
      <c r="E339" t="str">
        <f>IF('Obra EC'!G41="","",'Obra EC'!M41)</f>
        <v/>
      </c>
      <c r="F339" t="str">
        <f>IF('Obra EC'!G41="","",'Obra EC'!N41)</f>
        <v/>
      </c>
    </row>
    <row r="340" spans="1:6">
      <c r="A340" t="str">
        <f>IF('Obra EC'!G42="","","Obra EC")</f>
        <v/>
      </c>
      <c r="B340" t="str">
        <f>IF('Obra EC'!G42="","",'Obra EC'!G42)</f>
        <v/>
      </c>
      <c r="C340" t="str">
        <f>IF('Obra EC'!G42="","",'Obra EC'!I42)</f>
        <v/>
      </c>
      <c r="D340" t="str">
        <f>IF('Obra EC'!G42="","",'Obra EC'!L42)</f>
        <v/>
      </c>
      <c r="E340" t="str">
        <f>IF('Obra EC'!G42="","",'Obra EC'!M42)</f>
        <v/>
      </c>
      <c r="F340" t="str">
        <f>IF('Obra EC'!G42="","",'Obra EC'!N42)</f>
        <v/>
      </c>
    </row>
    <row r="341" spans="1:6">
      <c r="A341" t="str">
        <f>IF('Obra EC'!G43="","","Obra EC")</f>
        <v/>
      </c>
      <c r="B341" t="str">
        <f>IF('Obra EC'!G43="","",'Obra EC'!G43)</f>
        <v/>
      </c>
      <c r="C341" t="str">
        <f>IF('Obra EC'!G43="","",'Obra EC'!I43)</f>
        <v/>
      </c>
      <c r="D341" t="str">
        <f>IF('Obra EC'!G43="","",'Obra EC'!L43)</f>
        <v/>
      </c>
      <c r="E341" t="str">
        <f>IF('Obra EC'!G43="","",'Obra EC'!M43)</f>
        <v/>
      </c>
      <c r="F341" t="str">
        <f>IF('Obra EC'!G43="","",'Obra EC'!N43)</f>
        <v/>
      </c>
    </row>
    <row r="342" spans="1:6">
      <c r="A342" t="str">
        <f>IF('Obra EC'!G44="","","Obra EC")</f>
        <v/>
      </c>
      <c r="B342" t="str">
        <f>IF('Obra EC'!G44="","",'Obra EC'!G44)</f>
        <v/>
      </c>
      <c r="C342" t="str">
        <f>IF('Obra EC'!G44="","",'Obra EC'!I44)</f>
        <v/>
      </c>
      <c r="D342" t="str">
        <f>IF('Obra EC'!G44="","",'Obra EC'!L44)</f>
        <v/>
      </c>
      <c r="E342" t="str">
        <f>IF('Obra EC'!G44="","",'Obra EC'!M44)</f>
        <v/>
      </c>
      <c r="F342" t="str">
        <f>IF('Obra EC'!G44="","",'Obra EC'!N44)</f>
        <v/>
      </c>
    </row>
    <row r="343" spans="1:6">
      <c r="A343" t="str">
        <f>IF('Obra EC'!G45="","","Obra EC")</f>
        <v/>
      </c>
      <c r="B343" t="str">
        <f>IF('Obra EC'!G45="","",'Obra EC'!G45)</f>
        <v/>
      </c>
      <c r="C343" t="str">
        <f>IF('Obra EC'!G45="","",'Obra EC'!I45)</f>
        <v/>
      </c>
      <c r="D343" t="str">
        <f>IF('Obra EC'!G45="","",'Obra EC'!L45)</f>
        <v/>
      </c>
      <c r="E343" t="str">
        <f>IF('Obra EC'!G45="","",'Obra EC'!M45)</f>
        <v/>
      </c>
      <c r="F343" t="str">
        <f>IF('Obra EC'!G45="","",'Obra EC'!N45)</f>
        <v/>
      </c>
    </row>
    <row r="344" spans="1:6">
      <c r="A344" t="str">
        <f>IF('Obra EC'!G46="","","Obra EC")</f>
        <v/>
      </c>
      <c r="B344" t="str">
        <f>IF('Obra EC'!G46="","",'Obra EC'!G46)</f>
        <v/>
      </c>
      <c r="C344" t="str">
        <f>IF('Obra EC'!G46="","",'Obra EC'!I46)</f>
        <v/>
      </c>
      <c r="D344" t="str">
        <f>IF('Obra EC'!G46="","",'Obra EC'!L46)</f>
        <v/>
      </c>
      <c r="E344" t="str">
        <f>IF('Obra EC'!G46="","",'Obra EC'!M46)</f>
        <v/>
      </c>
      <c r="F344" t="str">
        <f>IF('Obra EC'!G46="","",'Obra EC'!N46)</f>
        <v/>
      </c>
    </row>
    <row r="345" spans="1:6">
      <c r="A345" t="str">
        <f>IF('Obra EC'!G47="","","Obra EC")</f>
        <v/>
      </c>
      <c r="B345" t="str">
        <f>IF('Obra EC'!G47="","",'Obra EC'!G47)</f>
        <v/>
      </c>
      <c r="C345" t="str">
        <f>IF('Obra EC'!G47="","",'Obra EC'!I47)</f>
        <v/>
      </c>
      <c r="D345" t="str">
        <f>IF('Obra EC'!G47="","",'Obra EC'!L47)</f>
        <v/>
      </c>
      <c r="E345" t="str">
        <f>IF('Obra EC'!G47="","",'Obra EC'!M47)</f>
        <v/>
      </c>
      <c r="F345" t="str">
        <f>IF('Obra EC'!G47="","",'Obra EC'!N47)</f>
        <v/>
      </c>
    </row>
    <row r="346" spans="1:6">
      <c r="A346" t="str">
        <f>IF('Obra EC'!G48="","","Obra EC")</f>
        <v/>
      </c>
      <c r="B346" t="str">
        <f>IF('Obra EC'!G48="","",'Obra EC'!G48)</f>
        <v/>
      </c>
      <c r="C346" t="str">
        <f>IF('Obra EC'!G48="","",'Obra EC'!I48)</f>
        <v/>
      </c>
      <c r="D346" t="str">
        <f>IF('Obra EC'!G48="","",'Obra EC'!L48)</f>
        <v/>
      </c>
      <c r="E346" t="str">
        <f>IF('Obra EC'!G48="","",'Obra EC'!M48)</f>
        <v/>
      </c>
      <c r="F346" t="str">
        <f>IF('Obra EC'!G48="","",'Obra EC'!N48)</f>
        <v/>
      </c>
    </row>
    <row r="347" spans="1:6">
      <c r="A347" t="str">
        <f>IF('Obra EC'!G49="","","Obra EC")</f>
        <v/>
      </c>
      <c r="B347" t="str">
        <f>IF('Obra EC'!G49="","",'Obra EC'!G49)</f>
        <v/>
      </c>
      <c r="C347" t="str">
        <f>IF('Obra EC'!G49="","",'Obra EC'!I49)</f>
        <v/>
      </c>
      <c r="D347" t="str">
        <f>IF('Obra EC'!G49="","",'Obra EC'!L49)</f>
        <v/>
      </c>
      <c r="E347" t="str">
        <f>IF('Obra EC'!G49="","",'Obra EC'!M49)</f>
        <v/>
      </c>
      <c r="F347" t="str">
        <f>IF('Obra EC'!G49="","",'Obra EC'!N49)</f>
        <v/>
      </c>
    </row>
    <row r="348" spans="1:6">
      <c r="A348" t="str">
        <f>IF('Obra EC'!G50="","","Obra EC")</f>
        <v/>
      </c>
      <c r="B348" t="str">
        <f>IF('Obra EC'!G50="","",'Obra EC'!G50)</f>
        <v/>
      </c>
      <c r="C348" t="str">
        <f>IF('Obra EC'!G50="","",'Obra EC'!I50)</f>
        <v/>
      </c>
      <c r="D348" t="str">
        <f>IF('Obra EC'!G50="","",'Obra EC'!K50)</f>
        <v/>
      </c>
      <c r="E348" t="str">
        <f>IF('Obra EC'!G50="","",'Obra EC'!L50)</f>
        <v/>
      </c>
      <c r="F348" t="str">
        <f>IF('Obra EC'!G50="","",'Obra EC'!M50)</f>
        <v/>
      </c>
    </row>
    <row r="349" spans="1:6">
      <c r="A349" t="str">
        <f>IF('Obra EC'!G51="","","Obra EC")</f>
        <v/>
      </c>
      <c r="B349" t="str">
        <f>IF('Obra EC'!G51="","",'Obra EC'!G51)</f>
        <v/>
      </c>
      <c r="C349" t="str">
        <f>IF('Obra EC'!G51="","",'Obra EC'!I51)</f>
        <v/>
      </c>
      <c r="D349" t="str">
        <f>IF('Obra EC'!G51="","",'Obra EC'!K51)</f>
        <v/>
      </c>
      <c r="E349" t="str">
        <f>IF('Obra EC'!G51="","",'Obra EC'!L51)</f>
        <v/>
      </c>
      <c r="F349" t="str">
        <f>IF('Obra EC'!G51="","",'Obra EC'!M51)</f>
        <v/>
      </c>
    </row>
    <row r="350" spans="1:6">
      <c r="A350" t="str">
        <f>IF('Obra EC'!G52="","","Obra EC")</f>
        <v/>
      </c>
      <c r="B350" t="str">
        <f>IF('Obra EC'!G52="","",'Obra EC'!G52)</f>
        <v/>
      </c>
      <c r="C350" t="str">
        <f>IF('Obra EC'!G52="","",'Obra EC'!I52)</f>
        <v/>
      </c>
      <c r="D350" t="str">
        <f>IF('Obra EC'!G52="","",'Obra EC'!K52)</f>
        <v/>
      </c>
      <c r="E350" t="str">
        <f>IF('Obra EC'!G52="","",'Obra EC'!L52)</f>
        <v/>
      </c>
      <c r="F350" t="str">
        <f>IF('Obra EC'!G52="","",'Obra EC'!M52)</f>
        <v/>
      </c>
    </row>
    <row r="351" spans="1:6">
      <c r="A351" t="str">
        <f>IF('Obra EC'!G53="","","Obra EC")</f>
        <v/>
      </c>
      <c r="B351" t="str">
        <f>IF('Obra EC'!G53="","",'Obra EC'!G53)</f>
        <v/>
      </c>
      <c r="C351" t="str">
        <f>IF('Obra EC'!G53="","",'Obra EC'!I53)</f>
        <v/>
      </c>
      <c r="D351" t="str">
        <f>IF('Obra EC'!G53="","",'Obra EC'!K53)</f>
        <v/>
      </c>
      <c r="E351" t="str">
        <f>IF('Obra EC'!G53="","",'Obra EC'!L53)</f>
        <v/>
      </c>
      <c r="F351" t="str">
        <f>IF('Obra EC'!G53="","",'Obra EC'!M53)</f>
        <v/>
      </c>
    </row>
    <row r="352" spans="1:6">
      <c r="A352" t="str">
        <f>IF('Obra EC'!G54="","","Obra EC")</f>
        <v/>
      </c>
      <c r="B352" t="str">
        <f>IF('Obra EC'!G54="","",'Obra EC'!G54)</f>
        <v/>
      </c>
      <c r="C352" t="str">
        <f>IF('Obra EC'!G54="","",'Obra EC'!I54)</f>
        <v/>
      </c>
      <c r="D352" t="str">
        <f>IF('Obra EC'!G54="","",'Obra EC'!K54)</f>
        <v/>
      </c>
      <c r="E352" t="str">
        <f>IF('Obra EC'!G54="","",'Obra EC'!L54)</f>
        <v/>
      </c>
      <c r="F352" t="str">
        <f>IF('Obra EC'!G54="","",'Obra EC'!M54)</f>
        <v/>
      </c>
    </row>
    <row r="353" spans="1:6">
      <c r="A353" t="str">
        <f>IF('Obra EC'!G55="","","Obra EC")</f>
        <v/>
      </c>
      <c r="B353" t="str">
        <f>IF('Obra EC'!G55="","",'Obra EC'!G55)</f>
        <v/>
      </c>
      <c r="C353" t="str">
        <f>IF('Obra EC'!G55="","",'Obra EC'!I55)</f>
        <v/>
      </c>
      <c r="D353" t="str">
        <f>IF('Obra EC'!G55="","",'Obra EC'!K55)</f>
        <v/>
      </c>
      <c r="E353" t="str">
        <f>IF('Obra EC'!G55="","",'Obra EC'!L55)</f>
        <v/>
      </c>
      <c r="F353" t="str">
        <f>IF('Obra EC'!G55="","",'Obra EC'!M55)</f>
        <v/>
      </c>
    </row>
    <row r="354" spans="1:6">
      <c r="A354" t="str">
        <f>IF('Obra EC'!G56="","","Obra EC")</f>
        <v/>
      </c>
      <c r="B354" t="str">
        <f>IF('Obra EC'!G56="","",'Obra EC'!G56)</f>
        <v/>
      </c>
      <c r="C354" t="str">
        <f>IF('Obra EC'!G56="","",'Obra EC'!I56)</f>
        <v/>
      </c>
      <c r="D354" t="str">
        <f>IF('Obra EC'!G56="","",'Obra EC'!K56)</f>
        <v/>
      </c>
      <c r="E354" t="str">
        <f>IF('Obra EC'!G56="","",'Obra EC'!L56)</f>
        <v/>
      </c>
      <c r="F354" t="str">
        <f>IF('Obra EC'!G56="","",'Obra EC'!M56)</f>
        <v/>
      </c>
    </row>
    <row r="355" spans="1:6">
      <c r="A355" t="str">
        <f>IF('Obra EC'!G57="","","Obra EC")</f>
        <v/>
      </c>
      <c r="B355" t="str">
        <f>IF('Obra EC'!G57="","",'Obra EC'!G57)</f>
        <v/>
      </c>
      <c r="C355" t="str">
        <f>IF('Obra EC'!G57="","",'Obra EC'!I57)</f>
        <v/>
      </c>
      <c r="D355" t="str">
        <f>IF('Obra EC'!G57="","",'Obra EC'!K57)</f>
        <v/>
      </c>
      <c r="E355" t="str">
        <f>IF('Obra EC'!G57="","",'Obra EC'!L57)</f>
        <v/>
      </c>
      <c r="F355" t="str">
        <f>IF('Obra EC'!G57="","",'Obra EC'!M57)</f>
        <v/>
      </c>
    </row>
    <row r="356" spans="1:6">
      <c r="A356" t="str">
        <f>IF('Obra EC'!G58="","","Obra EC")</f>
        <v/>
      </c>
      <c r="B356" t="str">
        <f>IF('Obra EC'!G58="","",'Obra EC'!G58)</f>
        <v/>
      </c>
      <c r="C356" t="str">
        <f>IF('Obra EC'!G58="","",'Obra EC'!I58)</f>
        <v/>
      </c>
      <c r="D356" t="str">
        <f>IF('Obra EC'!G58="","",'Obra EC'!K58)</f>
        <v/>
      </c>
      <c r="E356" t="str">
        <f>IF('Obra EC'!G58="","",'Obra EC'!L58)</f>
        <v/>
      </c>
      <c r="F356" t="str">
        <f>IF('Obra EC'!G58="","",'Obra EC'!M58)</f>
        <v/>
      </c>
    </row>
    <row r="357" spans="1:6">
      <c r="A357" t="str">
        <f>IF('Obra EC'!G59="","","Obra EC")</f>
        <v/>
      </c>
      <c r="B357" t="str">
        <f>IF('Obra EC'!G59="","",'Obra EC'!G59)</f>
        <v/>
      </c>
      <c r="C357" t="str">
        <f>IF('Obra EC'!G59="","",'Obra EC'!I59)</f>
        <v/>
      </c>
      <c r="D357" t="str">
        <f>IF('Obra EC'!G59="","",'Obra EC'!K59)</f>
        <v/>
      </c>
      <c r="E357" t="str">
        <f>IF('Obra EC'!G59="","",'Obra EC'!L59)</f>
        <v/>
      </c>
      <c r="F357" t="str">
        <f>IF('Obra EC'!G59="","",'Obra EC'!M59)</f>
        <v/>
      </c>
    </row>
    <row r="358" spans="1:6">
      <c r="A358" t="str">
        <f>IF('Obra EC'!G60="","","Obra EC")</f>
        <v/>
      </c>
      <c r="B358" t="str">
        <f>IF('Obra EC'!G60="","",'Obra EC'!G60)</f>
        <v/>
      </c>
      <c r="C358" t="str">
        <f>IF('Obra EC'!G60="","",'Obra EC'!I60)</f>
        <v/>
      </c>
      <c r="D358" t="str">
        <f>IF('Obra EC'!G60="","",'Obra EC'!K60)</f>
        <v/>
      </c>
      <c r="E358" t="str">
        <f>IF('Obra EC'!G60="","",'Obra EC'!L60)</f>
        <v/>
      </c>
      <c r="F358" t="str">
        <f>IF('Obra EC'!G60="","",'Obra EC'!M60)</f>
        <v/>
      </c>
    </row>
    <row r="359" spans="1:6">
      <c r="A359" t="str">
        <f>IF('Obra EC'!G61="","","Obra EC")</f>
        <v/>
      </c>
      <c r="B359" t="str">
        <f>IF('Obra EC'!G61="","",'Obra EC'!G61)</f>
        <v/>
      </c>
      <c r="C359" t="str">
        <f>IF('Obra EC'!G61="","",'Obra EC'!I61)</f>
        <v/>
      </c>
      <c r="D359" t="str">
        <f>IF('Obra EC'!G61="","",'Obra EC'!K61)</f>
        <v/>
      </c>
      <c r="E359" t="str">
        <f>IF('Obra EC'!G61="","",'Obra EC'!L61)</f>
        <v/>
      </c>
      <c r="F359" t="str">
        <f>IF('Obra EC'!G61="","",'Obra EC'!M61)</f>
        <v/>
      </c>
    </row>
    <row r="360" spans="1:6">
      <c r="A360" t="str">
        <f>IF('Obra EC'!G62="","","Obra EC")</f>
        <v/>
      </c>
      <c r="B360" t="str">
        <f>IF('Obra EC'!G62="","",'Obra EC'!G62)</f>
        <v/>
      </c>
      <c r="C360" t="str">
        <f>IF('Obra EC'!G62="","",'Obra EC'!I62)</f>
        <v/>
      </c>
      <c r="D360" t="str">
        <f>IF('Obra EC'!G62="","",'Obra EC'!K62)</f>
        <v/>
      </c>
      <c r="E360" t="str">
        <f>IF('Obra EC'!G62="","",'Obra EC'!L62)</f>
        <v/>
      </c>
      <c r="F360" t="str">
        <f>IF('Obra EC'!G62="","",'Obra EC'!M62)</f>
        <v/>
      </c>
    </row>
    <row r="361" spans="1:6">
      <c r="A361" t="str">
        <f>IF('Obra EC'!G63="","","Obra EC")</f>
        <v/>
      </c>
      <c r="B361" t="str">
        <f>IF('Obra EC'!G63="","",'Obra EC'!G63)</f>
        <v/>
      </c>
      <c r="C361" t="str">
        <f>IF('Obra EC'!G63="","",'Obra EC'!I63)</f>
        <v/>
      </c>
      <c r="D361" t="str">
        <f>IF('Obra EC'!G63="","",'Obra EC'!K63)</f>
        <v/>
      </c>
      <c r="E361" t="str">
        <f>IF('Obra EC'!G63="","",'Obra EC'!L63)</f>
        <v/>
      </c>
      <c r="F361" t="str">
        <f>IF('Obra EC'!G63="","",'Obra EC'!M63)</f>
        <v/>
      </c>
    </row>
    <row r="362" spans="1:6">
      <c r="A362" t="str">
        <f>IF('Obra EC'!G64="","","Obra EC")</f>
        <v/>
      </c>
      <c r="B362" t="str">
        <f>IF('Obra EC'!G64="","",'Obra EC'!G64)</f>
        <v/>
      </c>
      <c r="C362" t="str">
        <f>IF('Obra EC'!G64="","",'Obra EC'!I64)</f>
        <v/>
      </c>
      <c r="D362" t="str">
        <f>IF('Obra EC'!G64="","",'Obra EC'!K64)</f>
        <v/>
      </c>
      <c r="E362" t="str">
        <f>IF('Obra EC'!G64="","",'Obra EC'!L64)</f>
        <v/>
      </c>
      <c r="F362" t="str">
        <f>IF('Obra EC'!G64="","",'Obra EC'!M64)</f>
        <v/>
      </c>
    </row>
    <row r="363" spans="1:6">
      <c r="A363" t="str">
        <f>IF('Obra EC'!G65="","","Obra EC")</f>
        <v/>
      </c>
      <c r="B363" t="str">
        <f>IF('Obra EC'!G65="","",'Obra EC'!G65)</f>
        <v/>
      </c>
      <c r="C363" t="str">
        <f>IF('Obra EC'!G65="","",'Obra EC'!I65)</f>
        <v/>
      </c>
      <c r="D363" t="str">
        <f>IF('Obra EC'!G65="","",'Obra EC'!K65)</f>
        <v/>
      </c>
      <c r="E363" t="str">
        <f>IF('Obra EC'!G65="","",'Obra EC'!L65)</f>
        <v/>
      </c>
      <c r="F363" t="str">
        <f>IF('Obra EC'!G65="","",'Obra EC'!M65)</f>
        <v/>
      </c>
    </row>
    <row r="364" spans="1:6">
      <c r="A364" t="str">
        <f>IF('Obra EC'!G66="","","Obra EC")</f>
        <v/>
      </c>
      <c r="B364" t="str">
        <f>IF('Obra EC'!G66="","",'Obra EC'!G66)</f>
        <v/>
      </c>
      <c r="C364" t="str">
        <f>IF('Obra EC'!G66="","",'Obra EC'!I66)</f>
        <v/>
      </c>
      <c r="D364" t="str">
        <f>IF('Obra EC'!G66="","",'Obra EC'!K66)</f>
        <v/>
      </c>
      <c r="E364" t="str">
        <f>IF('Obra EC'!G66="","",'Obra EC'!L66)</f>
        <v/>
      </c>
      <c r="F364" t="str">
        <f>IF('Obra EC'!G66="","",'Obra EC'!M66)</f>
        <v/>
      </c>
    </row>
    <row r="365" spans="1:6">
      <c r="A365" t="str">
        <f>IF('Obra EC'!G67="","","Obra EC")</f>
        <v/>
      </c>
      <c r="B365" t="str">
        <f>IF('Obra EC'!G67="","",'Obra EC'!G67)</f>
        <v/>
      </c>
      <c r="C365" t="str">
        <f>IF('Obra EC'!G67="","",'Obra EC'!I67)</f>
        <v/>
      </c>
      <c r="D365" t="str">
        <f>IF('Obra EC'!G67="","",'Obra EC'!K67)</f>
        <v/>
      </c>
      <c r="E365" t="str">
        <f>IF('Obra EC'!G67="","",'Obra EC'!L67)</f>
        <v/>
      </c>
      <c r="F365" t="str">
        <f>IF('Obra EC'!G67="","",'Obra EC'!M67)</f>
        <v/>
      </c>
    </row>
    <row r="366" spans="1:6">
      <c r="A366" t="str">
        <f>IF('Obra EC'!G68="","","Obra EC")</f>
        <v/>
      </c>
      <c r="B366" t="str">
        <f>IF('Obra EC'!G68="","",'Obra EC'!G68)</f>
        <v/>
      </c>
      <c r="C366" t="str">
        <f>IF('Obra EC'!G68="","",'Obra EC'!I68)</f>
        <v/>
      </c>
      <c r="D366" t="str">
        <f>IF('Obra EC'!G68="","",'Obra EC'!K68)</f>
        <v/>
      </c>
      <c r="E366" t="str">
        <f>IF('Obra EC'!G68="","",'Obra EC'!L68)</f>
        <v/>
      </c>
      <c r="F366" t="str">
        <f>IF('Obra EC'!G68="","",'Obra EC'!M68)</f>
        <v/>
      </c>
    </row>
    <row r="367" spans="1:6">
      <c r="A367" t="str">
        <f>IF('Obra EC'!G69="","","Obra EC")</f>
        <v/>
      </c>
      <c r="B367" t="str">
        <f>IF('Obra EC'!G69="","",'Obra EC'!G69)</f>
        <v/>
      </c>
      <c r="C367" t="str">
        <f>IF('Obra EC'!G69="","",'Obra EC'!I69)</f>
        <v/>
      </c>
      <c r="D367" t="str">
        <f>IF('Obra EC'!G69="","",'Obra EC'!K69)</f>
        <v/>
      </c>
      <c r="E367" t="str">
        <f>IF('Obra EC'!G69="","",'Obra EC'!L69)</f>
        <v/>
      </c>
      <c r="F367" t="str">
        <f>IF('Obra EC'!G69="","",'Obra EC'!M69)</f>
        <v/>
      </c>
    </row>
    <row r="368" spans="1:6">
      <c r="A368" t="str">
        <f>IF('Obra RL'!G10="","","Obra RL")</f>
        <v>Obra RL</v>
      </c>
      <c r="B368" t="str">
        <f>IF('Obra RL'!G10="","",'Obra RL'!G10)</f>
        <v>Guaticor</v>
      </c>
      <c r="C368">
        <f>IF('Obra RL'!G10="","",'Obra RL'!I10)</f>
        <v>250000</v>
      </c>
      <c r="D368" t="str">
        <f>IF('Obra RL'!G10="","",'Obra RL'!L10)</f>
        <v>No Pagado</v>
      </c>
      <c r="E368">
        <f>IF('Obra RL'!G10="","",'Obra RL'!M10)</f>
        <v>0</v>
      </c>
      <c r="F368" t="str">
        <f>IF('Obra RL'!G10="","",'Obra RL'!N10)</f>
        <v>Recibido en obra</v>
      </c>
    </row>
    <row r="369" spans="1:6">
      <c r="A369" t="str">
        <f>IF('Obra RL'!G11="","","Obra RL")</f>
        <v>Obra RL</v>
      </c>
      <c r="B369" t="str">
        <f>IF('Obra RL'!G11="","",'Obra RL'!G11)</f>
        <v>Conte Top</v>
      </c>
      <c r="C369">
        <f>IF('Obra RL'!G11="","",'Obra RL'!I11)</f>
        <v>150000</v>
      </c>
      <c r="D369" t="str">
        <f>IF('Obra RL'!G11="","",'Obra RL'!L11)</f>
        <v>No Pagado</v>
      </c>
      <c r="E369">
        <f>IF('Obra RL'!G11="","",'Obra RL'!M11)</f>
        <v>0</v>
      </c>
      <c r="F369" t="str">
        <f>IF('Obra RL'!G11="","",'Obra RL'!N11)</f>
        <v>Recibido en obra</v>
      </c>
    </row>
    <row r="370" spans="1:6">
      <c r="A370" t="str">
        <f>IF('Obra RL'!G14="","","Obra RL")</f>
        <v/>
      </c>
      <c r="B370" t="str">
        <f>IF('Obra RL'!G14="","",'Obra RL'!G14)</f>
        <v/>
      </c>
      <c r="C370" t="str">
        <f>IF('Obra RL'!G14="","",'Obra RL'!I14)</f>
        <v/>
      </c>
      <c r="D370" t="str">
        <f>IF('Obra RL'!G14="","",'Obra RL'!L14)</f>
        <v/>
      </c>
      <c r="E370" t="str">
        <f>IF('Obra RL'!G14="","",'Obra RL'!M14)</f>
        <v/>
      </c>
      <c r="F370" t="str">
        <f>IF('Obra RL'!G14="","",'Obra RL'!N14)</f>
        <v/>
      </c>
    </row>
    <row r="371" spans="1:6">
      <c r="A371" t="str">
        <f>IF('Obra RL'!G15="","","Obra RL")</f>
        <v>Obra RL</v>
      </c>
      <c r="B371" t="str">
        <f>IF('Obra RL'!G15="","",'Obra RL'!G15)</f>
        <v>Guaticor</v>
      </c>
      <c r="C371">
        <f>IF('Obra RL'!G15="","",'Obra RL'!I15)</f>
        <v>105400</v>
      </c>
      <c r="D371" t="str">
        <f>IF('Obra RL'!G15="","",'Obra RL'!L15)</f>
        <v>No Pagado</v>
      </c>
      <c r="E371">
        <f>IF('Obra RL'!G15="","",'Obra RL'!M15)</f>
        <v>0</v>
      </c>
      <c r="F371" t="str">
        <f>IF('Obra RL'!G15="","",'Obra RL'!N15)</f>
        <v>Recibido en obra</v>
      </c>
    </row>
    <row r="372" spans="1:6">
      <c r="A372" t="e">
        <f>IF('Obra RL'!#REF!="","","Obra RL")</f>
        <v>#REF!</v>
      </c>
      <c r="B372" t="e">
        <f>IF('Obra RL'!#REF!="","",'Obra RL'!#REF!)</f>
        <v>#REF!</v>
      </c>
      <c r="C372" t="e">
        <f>IF('Obra RL'!#REF!="","",'Obra RL'!#REF!)</f>
        <v>#REF!</v>
      </c>
      <c r="D372" t="e">
        <f>IF('Obra RL'!#REF!="","",'Obra RL'!#REF!)</f>
        <v>#REF!</v>
      </c>
      <c r="E372" t="e">
        <f>IF('Obra RL'!#REF!="","",'Obra RL'!#REF!)</f>
        <v>#REF!</v>
      </c>
      <c r="F372" t="e">
        <f>IF('Obra RL'!#REF!="","",'Obra RL'!#REF!)</f>
        <v>#REF!</v>
      </c>
    </row>
    <row r="373" spans="1:6">
      <c r="A373" t="e">
        <f>IF('Obra RL'!#REF!="","","Obra RL")</f>
        <v>#REF!</v>
      </c>
      <c r="B373" t="e">
        <f>IF('Obra RL'!#REF!="","",'Obra RL'!#REF!)</f>
        <v>#REF!</v>
      </c>
      <c r="C373" t="e">
        <f>IF('Obra RL'!#REF!="","",'Obra RL'!#REF!)</f>
        <v>#REF!</v>
      </c>
      <c r="D373" t="e">
        <f>IF('Obra RL'!#REF!="","",'Obra RL'!#REF!)</f>
        <v>#REF!</v>
      </c>
      <c r="E373" t="e">
        <f>IF('Obra RL'!#REF!="","",'Obra RL'!#REF!)</f>
        <v>#REF!</v>
      </c>
      <c r="F373" t="e">
        <f>IF('Obra RL'!#REF!="","",'Obra RL'!#REF!)</f>
        <v>#REF!</v>
      </c>
    </row>
    <row r="374" spans="1:6">
      <c r="A374" t="e">
        <f>IF('Obra RL'!#REF!="","","Obra RL")</f>
        <v>#REF!</v>
      </c>
      <c r="B374" t="e">
        <f>IF('Obra RL'!#REF!="","",'Obra RL'!#REF!)</f>
        <v>#REF!</v>
      </c>
      <c r="C374" t="e">
        <f>IF('Obra RL'!#REF!="","",'Obra RL'!#REF!)</f>
        <v>#REF!</v>
      </c>
      <c r="D374" t="e">
        <f>IF('Obra RL'!#REF!="","",'Obra RL'!#REF!)</f>
        <v>#REF!</v>
      </c>
      <c r="E374" t="e">
        <f>IF('Obra RL'!#REF!="","",'Obra RL'!#REF!)</f>
        <v>#REF!</v>
      </c>
      <c r="F374" t="e">
        <f>IF('Obra RL'!#REF!="","",'Obra RL'!#REF!)</f>
        <v>#REF!</v>
      </c>
    </row>
    <row r="375" spans="1:6">
      <c r="A375" t="str">
        <f>IF('Obra RL'!G16="","","Obra RL")</f>
        <v/>
      </c>
      <c r="B375" t="str">
        <f>IF('Obra RL'!G16="","",'Obra RL'!G16)</f>
        <v/>
      </c>
      <c r="C375" t="str">
        <f>IF('Obra RL'!G16="","",'Obra RL'!I16)</f>
        <v/>
      </c>
      <c r="D375" t="str">
        <f>IF('Obra RL'!G16="","",'Obra RL'!L16)</f>
        <v/>
      </c>
      <c r="E375" t="str">
        <f>IF('Obra RL'!G16="","",'Obra RL'!M16)</f>
        <v/>
      </c>
      <c r="F375" t="str">
        <f>IF('Obra RL'!G16="","",'Obra RL'!N16)</f>
        <v/>
      </c>
    </row>
    <row r="376" spans="1:6">
      <c r="A376" t="str">
        <f>IF('Obra RL'!G17="","","Obra RL")</f>
        <v>Obra RL</v>
      </c>
      <c r="B376" t="str">
        <f>IF('Obra RL'!G17="","",'Obra RL'!G17)</f>
        <v>Conte Top</v>
      </c>
      <c r="C376">
        <f>IF('Obra RL'!G17="","",'Obra RL'!I17)</f>
        <v>0</v>
      </c>
      <c r="D376" t="str">
        <f>IF('Obra RL'!G17="","",'Obra RL'!L17)</f>
        <v>No Pagado</v>
      </c>
      <c r="E376">
        <f>IF('Obra RL'!G17="","",'Obra RL'!M17)</f>
        <v>0</v>
      </c>
      <c r="F376" t="str">
        <f>IF('Obra RL'!G17="","",'Obra RL'!N17)</f>
        <v>Recibido en obra</v>
      </c>
    </row>
    <row r="377" spans="1:6">
      <c r="A377" t="str">
        <f>IF('Obra RL'!G18="","","Obra RL")</f>
        <v>Obra RL</v>
      </c>
      <c r="B377" t="str">
        <f>IF('Obra RL'!G18="","",'Obra RL'!G18)</f>
        <v>Conte Top</v>
      </c>
      <c r="C377">
        <f>IF('Obra RL'!G18="","",'Obra RL'!I18)</f>
        <v>0</v>
      </c>
      <c r="D377" t="str">
        <f>IF('Obra RL'!G18="","",'Obra RL'!L18)</f>
        <v>No Pagado</v>
      </c>
      <c r="E377">
        <f>IF('Obra RL'!G18="","",'Obra RL'!M18)</f>
        <v>0</v>
      </c>
      <c r="F377" t="str">
        <f>IF('Obra RL'!G18="","",'Obra RL'!N18)</f>
        <v>Recibido en obra</v>
      </c>
    </row>
    <row r="378" spans="1:6">
      <c r="A378" t="str">
        <f>IF('Obra RL'!G20="","","Obra RL")</f>
        <v/>
      </c>
      <c r="B378" t="str">
        <f>IF('Obra RL'!G20="","",'Obra RL'!G20)</f>
        <v/>
      </c>
      <c r="C378" t="str">
        <f>IF('Obra RL'!G20="","",'Obra RL'!I20)</f>
        <v/>
      </c>
      <c r="D378" t="str">
        <f>IF('Obra RL'!G20="","",'Obra RL'!L20)</f>
        <v/>
      </c>
      <c r="E378" t="str">
        <f>IF('Obra RL'!G20="","",'Obra RL'!M20)</f>
        <v/>
      </c>
      <c r="F378" t="str">
        <f>IF('Obra RL'!G20="","",'Obra RL'!N20)</f>
        <v/>
      </c>
    </row>
    <row r="379" spans="1:6">
      <c r="A379" t="str">
        <f>IF('Obra RL'!G21="","","Obra RL")</f>
        <v/>
      </c>
      <c r="B379" t="str">
        <f>IF('Obra RL'!G21="","",'Obra RL'!G21)</f>
        <v/>
      </c>
      <c r="C379" t="str">
        <f>IF('Obra RL'!G21="","",'Obra RL'!I21)</f>
        <v/>
      </c>
      <c r="D379" t="str">
        <f>IF('Obra RL'!G21="","",'Obra RL'!L21)</f>
        <v/>
      </c>
      <c r="E379" t="str">
        <f>IF('Obra RL'!G21="","",'Obra RL'!M21)</f>
        <v/>
      </c>
      <c r="F379" t="str">
        <f>IF('Obra RL'!G21="","",'Obra RL'!N21)</f>
        <v/>
      </c>
    </row>
    <row r="380" spans="1:6">
      <c r="A380" t="str">
        <f>IF('Obra RL'!G22="","","Obra RL")</f>
        <v>Obra RL</v>
      </c>
      <c r="B380" t="str">
        <f>IF('Obra RL'!G22="","",'Obra RL'!G22)</f>
        <v>Flete Hugo Godoy</v>
      </c>
      <c r="C380">
        <f>IF('Obra RL'!G22="","",'Obra RL'!I22)</f>
        <v>75000</v>
      </c>
      <c r="D380" t="str">
        <f>IF('Obra RL'!G22="","",'Obra RL'!L22)</f>
        <v>No Pagado</v>
      </c>
      <c r="E380">
        <f>IF('Obra RL'!G22="","",'Obra RL'!M22)</f>
        <v>0</v>
      </c>
      <c r="F380" t="str">
        <f>IF('Obra RL'!G22="","",'Obra RL'!N22)</f>
        <v>Recibido en obra</v>
      </c>
    </row>
    <row r="381" spans="1:6">
      <c r="A381" t="str">
        <f>IF('Obra RL'!G23="","","Obra RL")</f>
        <v>Obra RL</v>
      </c>
      <c r="B381" t="str">
        <f>IF('Obra RL'!G23="","",'Obra RL'!G23)</f>
        <v>Flete Hugo Godoy</v>
      </c>
      <c r="C381">
        <f>IF('Obra RL'!G23="","",'Obra RL'!I23)</f>
        <v>75000</v>
      </c>
      <c r="D381" t="str">
        <f>IF('Obra RL'!G23="","",'Obra RL'!L23)</f>
        <v>No Pagado</v>
      </c>
      <c r="E381">
        <f>IF('Obra RL'!G23="","",'Obra RL'!M23)</f>
        <v>0</v>
      </c>
      <c r="F381" t="str">
        <f>IF('Obra RL'!G23="","",'Obra RL'!N23)</f>
        <v>Recibido en obra</v>
      </c>
    </row>
    <row r="382" spans="1:6">
      <c r="A382" t="str">
        <f>IF('Obra RL'!G24="","","Obra RL")</f>
        <v/>
      </c>
      <c r="B382" t="str">
        <f>IF('Obra RL'!G24="","",'Obra RL'!G24)</f>
        <v/>
      </c>
      <c r="C382" t="str">
        <f>IF('Obra RL'!G24="","",'Obra RL'!I24)</f>
        <v/>
      </c>
      <c r="D382" t="str">
        <f>IF('Obra RL'!G24="","",'Obra RL'!L24)</f>
        <v/>
      </c>
      <c r="E382" t="str">
        <f>IF('Obra RL'!G24="","",'Obra RL'!M24)</f>
        <v/>
      </c>
      <c r="F382" t="str">
        <f>IF('Obra RL'!G24="","",'Obra RL'!N24)</f>
        <v/>
      </c>
    </row>
    <row r="383" spans="1:6">
      <c r="A383" t="str">
        <f>IF('Obra RL'!G25="","","Obra RL")</f>
        <v/>
      </c>
      <c r="B383" t="str">
        <f>IF('Obra RL'!G25="","",'Obra RL'!G25)</f>
        <v/>
      </c>
      <c r="C383" t="str">
        <f>IF('Obra RL'!G25="","",'Obra RL'!I25)</f>
        <v/>
      </c>
      <c r="D383" t="str">
        <f>IF('Obra RL'!G25="","",'Obra RL'!L25)</f>
        <v/>
      </c>
      <c r="E383" t="str">
        <f>IF('Obra RL'!G25="","",'Obra RL'!M25)</f>
        <v/>
      </c>
      <c r="F383" t="str">
        <f>IF('Obra RL'!G25="","",'Obra RL'!N25)</f>
        <v/>
      </c>
    </row>
    <row r="384" spans="1:6">
      <c r="A384" t="str">
        <f>IF('Obra RL'!G26="","","Obra RL")</f>
        <v/>
      </c>
      <c r="B384" t="str">
        <f>IF('Obra RL'!G26="","",'Obra RL'!G26)</f>
        <v/>
      </c>
      <c r="C384" t="str">
        <f>IF('Obra RL'!G26="","",'Obra RL'!I26)</f>
        <v/>
      </c>
      <c r="D384" t="str">
        <f>IF('Obra RL'!G26="","",'Obra RL'!L26)</f>
        <v/>
      </c>
      <c r="E384" t="str">
        <f>IF('Obra RL'!G26="","",'Obra RL'!M26)</f>
        <v/>
      </c>
      <c r="F384" t="str">
        <f>IF('Obra RL'!G26="","",'Obra RL'!N26)</f>
        <v/>
      </c>
    </row>
    <row r="385" spans="1:6">
      <c r="A385" t="str">
        <f>IF('Obra RL'!G27="","","Obra RL")</f>
        <v>Obra RL</v>
      </c>
      <c r="B385" t="str">
        <f>IF('Obra RL'!G27="","",'Obra RL'!G27)</f>
        <v>Flete Hugo Godoy</v>
      </c>
      <c r="C385">
        <f>IF('Obra RL'!G27="","",'Obra RL'!I27)</f>
        <v>65000</v>
      </c>
      <c r="D385" t="str">
        <f>IF('Obra RL'!G27="","",'Obra RL'!L27)</f>
        <v>No Pagado</v>
      </c>
      <c r="E385">
        <f>IF('Obra RL'!G27="","",'Obra RL'!M27)</f>
        <v>0</v>
      </c>
      <c r="F385" t="str">
        <f>IF('Obra RL'!G27="","",'Obra RL'!N27)</f>
        <v>Recibido en obra</v>
      </c>
    </row>
    <row r="386" spans="1:6">
      <c r="A386" t="str">
        <f>IF('Obra RL'!G28="","","Obra RL")</f>
        <v/>
      </c>
      <c r="B386" t="str">
        <f>IF('Obra RL'!G28="","",'Obra RL'!G28)</f>
        <v/>
      </c>
      <c r="C386" t="str">
        <f>IF('Obra RL'!G28="","",'Obra RL'!I28)</f>
        <v/>
      </c>
      <c r="D386" t="str">
        <f>IF('Obra RL'!G28="","",'Obra RL'!L28)</f>
        <v/>
      </c>
      <c r="E386" t="str">
        <f>IF('Obra RL'!G28="","",'Obra RL'!M28)</f>
        <v/>
      </c>
      <c r="F386" t="str">
        <f>IF('Obra RL'!G28="","",'Obra RL'!N28)</f>
        <v/>
      </c>
    </row>
    <row r="387" spans="1:6">
      <c r="A387" t="str">
        <f>IF('Obra RL'!G29="","","Obra RL")</f>
        <v/>
      </c>
      <c r="B387" t="str">
        <f>IF('Obra RL'!G29="","",'Obra RL'!G29)</f>
        <v/>
      </c>
      <c r="C387" t="str">
        <f>IF('Obra RL'!G29="","",'Obra RL'!I29)</f>
        <v/>
      </c>
      <c r="D387" t="str">
        <f>IF('Obra RL'!G29="","",'Obra RL'!L29)</f>
        <v/>
      </c>
      <c r="E387" t="str">
        <f>IF('Obra RL'!G29="","",'Obra RL'!M29)</f>
        <v/>
      </c>
      <c r="F387" t="str">
        <f>IF('Obra RL'!G29="","",'Obra RL'!N29)</f>
        <v/>
      </c>
    </row>
    <row r="388" spans="1:6">
      <c r="A388" t="str">
        <f>IF('Obra RL'!G30="","","Obra RL")</f>
        <v/>
      </c>
      <c r="B388" t="str">
        <f>IF('Obra RL'!G30="","",'Obra RL'!G30)</f>
        <v/>
      </c>
      <c r="C388" t="str">
        <f>IF('Obra RL'!G30="","",'Obra RL'!I30)</f>
        <v/>
      </c>
      <c r="D388" t="str">
        <f>IF('Obra RL'!G30="","",'Obra RL'!L30)</f>
        <v/>
      </c>
      <c r="E388" t="str">
        <f>IF('Obra RL'!G30="","",'Obra RL'!M30)</f>
        <v/>
      </c>
      <c r="F388" t="str">
        <f>IF('Obra RL'!G30="","",'Obra RL'!N30)</f>
        <v/>
      </c>
    </row>
    <row r="389" spans="1:6">
      <c r="A389" t="str">
        <f>IF('Obra RL'!G31="","","Obra RL")</f>
        <v/>
      </c>
      <c r="B389" t="str">
        <f>IF('Obra RL'!G31="","",'Obra RL'!G31)</f>
        <v/>
      </c>
      <c r="C389" t="str">
        <f>IF('Obra RL'!G31="","",'Obra RL'!I31)</f>
        <v/>
      </c>
      <c r="D389" t="str">
        <f>IF('Obra RL'!G31="","",'Obra RL'!L31)</f>
        <v/>
      </c>
      <c r="E389" t="str">
        <f>IF('Obra RL'!G31="","",'Obra RL'!M31)</f>
        <v/>
      </c>
      <c r="F389" t="str">
        <f>IF('Obra RL'!G31="","",'Obra RL'!N31)</f>
        <v/>
      </c>
    </row>
    <row r="390" spans="1:6">
      <c r="A390" t="str">
        <f>IF('Obra RL'!G32="","","Obra RL")</f>
        <v/>
      </c>
      <c r="B390" t="str">
        <f>IF('Obra RL'!G32="","",'Obra RL'!G32)</f>
        <v/>
      </c>
      <c r="C390" t="str">
        <f>IF('Obra RL'!G32="","",'Obra RL'!I32)</f>
        <v/>
      </c>
      <c r="D390" t="str">
        <f>IF('Obra RL'!G32="","",'Obra RL'!L32)</f>
        <v/>
      </c>
      <c r="E390" t="str">
        <f>IF('Obra RL'!G32="","",'Obra RL'!M32)</f>
        <v/>
      </c>
      <c r="F390" t="str">
        <f>IF('Obra RL'!G32="","",'Obra RL'!N32)</f>
        <v/>
      </c>
    </row>
    <row r="391" spans="1:6">
      <c r="A391" t="str">
        <f>IF('Obra RL'!G33="","","Obra RL")</f>
        <v/>
      </c>
      <c r="B391" t="str">
        <f>IF('Obra RL'!G33="","",'Obra RL'!G33)</f>
        <v/>
      </c>
      <c r="C391" t="str">
        <f>IF('Obra RL'!G33="","",'Obra RL'!I33)</f>
        <v/>
      </c>
      <c r="D391" t="str">
        <f>IF('Obra RL'!G33="","",'Obra RL'!L33)</f>
        <v/>
      </c>
      <c r="E391" t="str">
        <f>IF('Obra RL'!G33="","",'Obra RL'!M33)</f>
        <v/>
      </c>
      <c r="F391" t="str">
        <f>IF('Obra RL'!G33="","",'Obra RL'!N33)</f>
        <v/>
      </c>
    </row>
    <row r="392" spans="1:6">
      <c r="A392" t="str">
        <f>IF('Obra RL'!G34="","","Obra RL")</f>
        <v/>
      </c>
      <c r="B392" t="str">
        <f>IF('Obra RL'!G34="","",'Obra RL'!G34)</f>
        <v/>
      </c>
      <c r="C392" t="str">
        <f>IF('Obra RL'!G34="","",'Obra RL'!I34)</f>
        <v/>
      </c>
      <c r="D392" t="str">
        <f>IF('Obra RL'!G34="","",'Obra RL'!L34)</f>
        <v/>
      </c>
      <c r="E392" t="str">
        <f>IF('Obra RL'!G34="","",'Obra RL'!M34)</f>
        <v/>
      </c>
      <c r="F392" t="str">
        <f>IF('Obra RL'!G34="","",'Obra RL'!N34)</f>
        <v/>
      </c>
    </row>
    <row r="393" spans="1:6">
      <c r="A393" t="str">
        <f>IF('Obra RL'!G35="","","Obra RL")</f>
        <v/>
      </c>
      <c r="B393" t="str">
        <f>IF('Obra RL'!G35="","",'Obra RL'!G35)</f>
        <v/>
      </c>
      <c r="C393" t="str">
        <f>IF('Obra RL'!G35="","",'Obra RL'!I35)</f>
        <v/>
      </c>
      <c r="D393" t="str">
        <f>IF('Obra RL'!G35="","",'Obra RL'!L35)</f>
        <v/>
      </c>
      <c r="E393" t="str">
        <f>IF('Obra RL'!G35="","",'Obra RL'!M35)</f>
        <v/>
      </c>
      <c r="F393" t="str">
        <f>IF('Obra RL'!G35="","",'Obra RL'!N35)</f>
        <v/>
      </c>
    </row>
    <row r="394" spans="1:6">
      <c r="A394" t="str">
        <f>IF('Obra RL'!G36="","","Obra RL")</f>
        <v/>
      </c>
      <c r="B394" t="str">
        <f>IF('Obra RL'!G36="","",'Obra RL'!G36)</f>
        <v/>
      </c>
      <c r="C394" t="str">
        <f>IF('Obra RL'!G36="","",'Obra RL'!I36)</f>
        <v/>
      </c>
      <c r="D394" t="str">
        <f>IF('Obra RL'!G36="","",'Obra RL'!L36)</f>
        <v/>
      </c>
      <c r="E394" t="str">
        <f>IF('Obra RL'!G36="","",'Obra RL'!M36)</f>
        <v/>
      </c>
      <c r="F394" t="str">
        <f>IF('Obra RL'!G36="","",'Obra RL'!N36)</f>
        <v/>
      </c>
    </row>
    <row r="395" spans="1:6">
      <c r="A395" t="str">
        <f>IF('Obra RL'!G37="","","Obra RL")</f>
        <v/>
      </c>
      <c r="B395" t="str">
        <f>IF('Obra RL'!G37="","",'Obra RL'!G37)</f>
        <v/>
      </c>
      <c r="C395" t="str">
        <f>IF('Obra RL'!G37="","",'Obra RL'!I37)</f>
        <v/>
      </c>
      <c r="D395" t="str">
        <f>IF('Obra RL'!G37="","",'Obra RL'!L37)</f>
        <v/>
      </c>
      <c r="E395" t="str">
        <f>IF('Obra RL'!G37="","",'Obra RL'!M37)</f>
        <v/>
      </c>
      <c r="F395" t="str">
        <f>IF('Obra RL'!G37="","",'Obra RL'!N37)</f>
        <v/>
      </c>
    </row>
    <row r="396" spans="1:6">
      <c r="A396" t="str">
        <f>IF('Obra RL'!G38="","","Obra RL")</f>
        <v/>
      </c>
      <c r="B396" t="str">
        <f>IF('Obra RL'!G38="","",'Obra RL'!G38)</f>
        <v/>
      </c>
      <c r="C396" t="str">
        <f>IF('Obra RL'!G38="","",'Obra RL'!I38)</f>
        <v/>
      </c>
      <c r="D396" t="str">
        <f>IF('Obra RL'!G38="","",'Obra RL'!L38)</f>
        <v/>
      </c>
      <c r="E396" t="str">
        <f>IF('Obra RL'!G38="","",'Obra RL'!M38)</f>
        <v/>
      </c>
      <c r="F396" t="str">
        <f>IF('Obra RL'!G38="","",'Obra RL'!N38)</f>
        <v/>
      </c>
    </row>
    <row r="397" spans="1:6">
      <c r="A397" t="str">
        <f>IF('Obra RL'!G39="","","Obra RL")</f>
        <v/>
      </c>
      <c r="B397" t="str">
        <f>IF('Obra RL'!G39="","",'Obra RL'!G39)</f>
        <v/>
      </c>
      <c r="C397" t="str">
        <f>IF('Obra RL'!G39="","",'Obra RL'!I39)</f>
        <v/>
      </c>
      <c r="D397" t="str">
        <f>IF('Obra RL'!G39="","",'Obra RL'!L39)</f>
        <v/>
      </c>
      <c r="E397" t="str">
        <f>IF('Obra RL'!G39="","",'Obra RL'!M39)</f>
        <v/>
      </c>
      <c r="F397" t="str">
        <f>IF('Obra RL'!G39="","",'Obra RL'!N39)</f>
        <v/>
      </c>
    </row>
    <row r="398" spans="1:6">
      <c r="A398" t="str">
        <f>IF('Obra RL'!G40="","","Obra RL")</f>
        <v/>
      </c>
      <c r="B398" t="str">
        <f>IF('Obra RL'!G40="","",'Obra RL'!G40)</f>
        <v/>
      </c>
      <c r="C398" t="str">
        <f>IF('Obra RL'!G40="","",'Obra RL'!I40)</f>
        <v/>
      </c>
      <c r="D398" t="str">
        <f>IF('Obra RL'!G40="","",'Obra RL'!L40)</f>
        <v/>
      </c>
      <c r="E398" t="str">
        <f>IF('Obra RL'!G40="","",'Obra RL'!M40)</f>
        <v/>
      </c>
      <c r="F398" t="str">
        <f>IF('Obra RL'!G40="","",'Obra RL'!N40)</f>
        <v/>
      </c>
    </row>
    <row r="399" spans="1:6">
      <c r="A399" t="str">
        <f>IF('Obra RL'!G41="","","Obra RL")</f>
        <v/>
      </c>
      <c r="B399" t="str">
        <f>IF('Obra RL'!G41="","",'Obra RL'!G41)</f>
        <v/>
      </c>
      <c r="C399" t="str">
        <f>IF('Obra RL'!G41="","",'Obra RL'!I41)</f>
        <v/>
      </c>
      <c r="D399" t="str">
        <f>IF('Obra RL'!G41="","",'Obra RL'!L41)</f>
        <v/>
      </c>
      <c r="E399" t="str">
        <f>IF('Obra RL'!G41="","",'Obra RL'!M41)</f>
        <v/>
      </c>
      <c r="F399" t="str">
        <f>IF('Obra RL'!G41="","",'Obra RL'!N41)</f>
        <v/>
      </c>
    </row>
    <row r="400" spans="1:6">
      <c r="A400" t="str">
        <f>IF('Obra RL'!G42="","","Obra RL")</f>
        <v/>
      </c>
      <c r="B400" t="str">
        <f>IF('Obra RL'!G42="","",'Obra RL'!G42)</f>
        <v/>
      </c>
      <c r="C400" t="str">
        <f>IF('Obra RL'!G42="","",'Obra RL'!I42)</f>
        <v/>
      </c>
      <c r="D400" t="str">
        <f>IF('Obra RL'!G42="","",'Obra RL'!L42)</f>
        <v/>
      </c>
      <c r="E400" t="str">
        <f>IF('Obra RL'!G42="","",'Obra RL'!M42)</f>
        <v/>
      </c>
      <c r="F400" t="str">
        <f>IF('Obra RL'!G42="","",'Obra RL'!N42)</f>
        <v/>
      </c>
    </row>
    <row r="401" spans="1:6">
      <c r="A401" t="str">
        <f>IF('Obra RL'!G43="","","Obra RL")</f>
        <v/>
      </c>
      <c r="B401" t="str">
        <f>IF('Obra RL'!G43="","",'Obra RL'!G43)</f>
        <v/>
      </c>
      <c r="C401" t="str">
        <f>IF('Obra RL'!G43="","",'Obra RL'!I43)</f>
        <v/>
      </c>
      <c r="D401" t="str">
        <f>IF('Obra RL'!G43="","",'Obra RL'!L43)</f>
        <v/>
      </c>
      <c r="E401" t="str">
        <f>IF('Obra RL'!G43="","",'Obra RL'!M43)</f>
        <v/>
      </c>
      <c r="F401" t="str">
        <f>IF('Obra RL'!G43="","",'Obra RL'!N43)</f>
        <v/>
      </c>
    </row>
    <row r="402" spans="1:6">
      <c r="A402" t="str">
        <f>IF('Obra RL'!G44="","","Obra RL")</f>
        <v/>
      </c>
      <c r="B402" t="str">
        <f>IF('Obra RL'!G44="","",'Obra RL'!G44)</f>
        <v/>
      </c>
      <c r="C402" t="str">
        <f>IF('Obra RL'!G44="","",'Obra RL'!I44)</f>
        <v/>
      </c>
      <c r="D402" t="str">
        <f>IF('Obra RL'!G44="","",'Obra RL'!L44)</f>
        <v/>
      </c>
      <c r="E402" t="str">
        <f>IF('Obra RL'!G44="","",'Obra RL'!M44)</f>
        <v/>
      </c>
      <c r="F402" t="str">
        <f>IF('Obra RL'!G44="","",'Obra RL'!N44)</f>
        <v/>
      </c>
    </row>
    <row r="403" spans="1:6">
      <c r="A403" t="str">
        <f>IF('Obra RL'!G45="","","Obra RL")</f>
        <v/>
      </c>
      <c r="B403" t="str">
        <f>IF('Obra RL'!G45="","",'Obra RL'!G45)</f>
        <v/>
      </c>
      <c r="C403" t="str">
        <f>IF('Obra RL'!G45="","",'Obra RL'!I45)</f>
        <v/>
      </c>
      <c r="D403" t="str">
        <f>IF('Obra RL'!G45="","",'Obra RL'!L45)</f>
        <v/>
      </c>
      <c r="E403" t="str">
        <f>IF('Obra RL'!G45="","",'Obra RL'!M45)</f>
        <v/>
      </c>
      <c r="F403" t="str">
        <f>IF('Obra RL'!G45="","",'Obra RL'!N45)</f>
        <v/>
      </c>
    </row>
    <row r="404" spans="1:6">
      <c r="A404" t="str">
        <f>IF('Obra RL'!G46="","","Obra RL")</f>
        <v/>
      </c>
      <c r="B404" t="str">
        <f>IF('Obra RL'!G46="","",'Obra RL'!G46)</f>
        <v/>
      </c>
      <c r="C404" t="str">
        <f>IF('Obra RL'!G46="","",'Obra RL'!I46)</f>
        <v/>
      </c>
      <c r="D404" t="str">
        <f>IF('Obra RL'!G46="","",'Obra RL'!L46)</f>
        <v/>
      </c>
      <c r="E404" t="str">
        <f>IF('Obra RL'!G46="","",'Obra RL'!M46)</f>
        <v/>
      </c>
      <c r="F404" t="str">
        <f>IF('Obra RL'!G46="","",'Obra RL'!N46)</f>
        <v/>
      </c>
    </row>
    <row r="405" spans="1:6">
      <c r="A405" t="str">
        <f>IF('Obra RL'!G47="","","Obra RL")</f>
        <v/>
      </c>
      <c r="B405" t="str">
        <f>IF('Obra RL'!G47="","",'Obra RL'!G47)</f>
        <v/>
      </c>
      <c r="C405" t="str">
        <f>IF('Obra RL'!G47="","",'Obra RL'!I47)</f>
        <v/>
      </c>
      <c r="D405" t="str">
        <f>IF('Obra RL'!G47="","",'Obra RL'!L47)</f>
        <v/>
      </c>
      <c r="E405" t="str">
        <f>IF('Obra RL'!G47="","",'Obra RL'!M47)</f>
        <v/>
      </c>
      <c r="F405" t="str">
        <f>IF('Obra RL'!G47="","",'Obra RL'!N47)</f>
        <v/>
      </c>
    </row>
    <row r="406" spans="1:6">
      <c r="A406" t="str">
        <f>IF('Obra RL'!G48="","","Obra RL")</f>
        <v/>
      </c>
      <c r="B406" t="str">
        <f>IF('Obra RL'!G48="","",'Obra RL'!G48)</f>
        <v/>
      </c>
      <c r="C406" t="str">
        <f>IF('Obra RL'!G48="","",'Obra RL'!I48)</f>
        <v/>
      </c>
      <c r="D406" t="str">
        <f>IF('Obra RL'!G48="","",'Obra RL'!L48)</f>
        <v/>
      </c>
      <c r="E406" t="str">
        <f>IF('Obra RL'!G48="","",'Obra RL'!M48)</f>
        <v/>
      </c>
      <c r="F406" t="str">
        <f>IF('Obra RL'!G48="","",'Obra RL'!N48)</f>
        <v/>
      </c>
    </row>
    <row r="407" spans="1:6">
      <c r="A407" t="str">
        <f>IF('Obra RL'!G49="","","Obra RL")</f>
        <v/>
      </c>
      <c r="B407" t="str">
        <f>IF('Obra RL'!G49="","",'Obra RL'!G49)</f>
        <v/>
      </c>
      <c r="C407" t="str">
        <f>IF('Obra RL'!G49="","",'Obra RL'!I49)</f>
        <v/>
      </c>
      <c r="D407" t="str">
        <f>IF('Obra RL'!G49="","",'Obra RL'!L49)</f>
        <v/>
      </c>
      <c r="E407" t="str">
        <f>IF('Obra RL'!G49="","",'Obra RL'!M49)</f>
        <v/>
      </c>
      <c r="F407" t="str">
        <f>IF('Obra RL'!G49="","",'Obra RL'!N49)</f>
        <v/>
      </c>
    </row>
    <row r="408" spans="1:6">
      <c r="A408" t="str">
        <f>IF('Obra RL'!G50="","","Obra RL")</f>
        <v/>
      </c>
      <c r="B408" t="str">
        <f>IF('Obra RL'!G50="","",'Obra RL'!G50)</f>
        <v/>
      </c>
      <c r="C408" t="str">
        <f>IF('Obra RL'!G50="","",'Obra RL'!I50)</f>
        <v/>
      </c>
      <c r="D408" t="str">
        <f>IF('Obra RL'!G50="","",'Obra RL'!K50)</f>
        <v/>
      </c>
      <c r="E408" t="str">
        <f>IF('Obra RL'!G50="","",'Obra RL'!L50)</f>
        <v/>
      </c>
      <c r="F408" t="str">
        <f>IF('Obra RL'!G50="","",'Obra RL'!M50)</f>
        <v/>
      </c>
    </row>
    <row r="409" spans="1:6">
      <c r="A409" t="str">
        <f>IF('Obra RL'!G51="","","Obra RL")</f>
        <v>Obra RL</v>
      </c>
      <c r="B409" t="str">
        <f>IF('Obra RL'!G51="","",'Obra RL'!G51)</f>
        <v>TOTAL</v>
      </c>
      <c r="C409">
        <f>IF('Obra RL'!G51="","",'Obra RL'!I51)</f>
        <v>0</v>
      </c>
      <c r="D409">
        <f>IF('Obra RL'!G51="","",'Obra RL'!K51)</f>
        <v>0</v>
      </c>
      <c r="E409">
        <f>IF('Obra RL'!G51="","",'Obra RL'!L51)</f>
        <v>0</v>
      </c>
      <c r="F409">
        <f>IF('Obra RL'!G51="","",'Obra RL'!M51)</f>
        <v>0</v>
      </c>
    </row>
    <row r="410" spans="1:6">
      <c r="A410" t="str">
        <f>IF('Obra RL'!G52="","","Obra RL")</f>
        <v/>
      </c>
      <c r="B410" t="str">
        <f>IF('Obra RL'!G52="","",'Obra RL'!G52)</f>
        <v/>
      </c>
      <c r="C410" t="str">
        <f>IF('Obra RL'!G52="","",'Obra RL'!I52)</f>
        <v/>
      </c>
      <c r="D410" t="str">
        <f>IF('Obra RL'!G52="","",'Obra RL'!K52)</f>
        <v/>
      </c>
      <c r="E410" t="str">
        <f>IF('Obra RL'!G52="","",'Obra RL'!L52)</f>
        <v/>
      </c>
      <c r="F410" t="str">
        <f>IF('Obra RL'!G52="","",'Obra RL'!M52)</f>
        <v/>
      </c>
    </row>
    <row r="411" spans="1:6">
      <c r="A411" t="str">
        <f>IF('Obra RL'!G53="","","Obra RL")</f>
        <v/>
      </c>
      <c r="B411" t="str">
        <f>IF('Obra RL'!G53="","",'Obra RL'!G53)</f>
        <v/>
      </c>
      <c r="C411" t="str">
        <f>IF('Obra RL'!G53="","",'Obra RL'!I53)</f>
        <v/>
      </c>
      <c r="D411" t="str">
        <f>IF('Obra RL'!G53="","",'Obra RL'!K53)</f>
        <v/>
      </c>
      <c r="E411" t="str">
        <f>IF('Obra RL'!G53="","",'Obra RL'!L53)</f>
        <v/>
      </c>
      <c r="F411" t="str">
        <f>IF('Obra RL'!G53="","",'Obra RL'!M53)</f>
        <v/>
      </c>
    </row>
    <row r="412" spans="1:6">
      <c r="A412" t="str">
        <f>IF('Obra RL'!G54="","","Obra RL")</f>
        <v/>
      </c>
      <c r="B412" t="str">
        <f>IF('Obra RL'!G54="","",'Obra RL'!G54)</f>
        <v/>
      </c>
      <c r="C412" t="str">
        <f>IF('Obra RL'!G54="","",'Obra RL'!I54)</f>
        <v/>
      </c>
      <c r="D412" t="str">
        <f>IF('Obra RL'!G54="","",'Obra RL'!K54)</f>
        <v/>
      </c>
      <c r="E412" t="str">
        <f>IF('Obra RL'!G54="","",'Obra RL'!L54)</f>
        <v/>
      </c>
      <c r="F412" t="str">
        <f>IF('Obra RL'!G54="","",'Obra RL'!M54)</f>
        <v/>
      </c>
    </row>
    <row r="413" spans="1:6">
      <c r="A413" t="str">
        <f>IF('Obra RL'!G55="","","Obra RL")</f>
        <v/>
      </c>
      <c r="B413" t="str">
        <f>IF('Obra RL'!G55="","",'Obra RL'!G55)</f>
        <v/>
      </c>
      <c r="C413" t="str">
        <f>IF('Obra RL'!G55="","",'Obra RL'!I55)</f>
        <v/>
      </c>
      <c r="D413" t="str">
        <f>IF('Obra RL'!G55="","",'Obra RL'!K55)</f>
        <v/>
      </c>
      <c r="E413" t="str">
        <f>IF('Obra RL'!G55="","",'Obra RL'!L55)</f>
        <v/>
      </c>
      <c r="F413" t="str">
        <f>IF('Obra RL'!G55="","",'Obra RL'!M55)</f>
        <v/>
      </c>
    </row>
    <row r="414" spans="1:6">
      <c r="A414" t="str">
        <f>IF('Obra RL'!G56="","","Obra RL")</f>
        <v/>
      </c>
      <c r="B414" t="str">
        <f>IF('Obra RL'!G56="","",'Obra RL'!G56)</f>
        <v/>
      </c>
      <c r="C414" t="str">
        <f>IF('Obra RL'!G56="","",'Obra RL'!I56)</f>
        <v/>
      </c>
      <c r="D414" t="str">
        <f>IF('Obra RL'!G56="","",'Obra RL'!K56)</f>
        <v/>
      </c>
      <c r="E414" t="str">
        <f>IF('Obra RL'!G56="","",'Obra RL'!L56)</f>
        <v/>
      </c>
      <c r="F414" t="str">
        <f>IF('Obra RL'!G56="","",'Obra RL'!M56)</f>
        <v/>
      </c>
    </row>
    <row r="415" spans="1:6">
      <c r="A415" t="str">
        <f>IF('Obra RL'!G57="","","Obra RL")</f>
        <v/>
      </c>
      <c r="B415" t="str">
        <f>IF('Obra RL'!G57="","",'Obra RL'!G57)</f>
        <v/>
      </c>
      <c r="C415" t="str">
        <f>IF('Obra RL'!G57="","",'Obra RL'!I57)</f>
        <v/>
      </c>
      <c r="D415" t="str">
        <f>IF('Obra RL'!G57="","",'Obra RL'!K57)</f>
        <v/>
      </c>
      <c r="E415" t="str">
        <f>IF('Obra RL'!G57="","",'Obra RL'!L57)</f>
        <v/>
      </c>
      <c r="F415" t="str">
        <f>IF('Obra RL'!G57="","",'Obra RL'!M57)</f>
        <v/>
      </c>
    </row>
    <row r="416" spans="1:6">
      <c r="A416" t="str">
        <f>IF('Obra RL'!G58="","","Obra RL")</f>
        <v/>
      </c>
      <c r="B416" t="str">
        <f>IF('Obra RL'!G58="","",'Obra RL'!G58)</f>
        <v/>
      </c>
      <c r="C416" t="str">
        <f>IF('Obra RL'!G58="","",'Obra RL'!I58)</f>
        <v/>
      </c>
      <c r="D416" t="str">
        <f>IF('Obra RL'!G58="","",'Obra RL'!K58)</f>
        <v/>
      </c>
      <c r="E416" t="str">
        <f>IF('Obra RL'!G58="","",'Obra RL'!L58)</f>
        <v/>
      </c>
      <c r="F416" t="str">
        <f>IF('Obra RL'!G58="","",'Obra RL'!M58)</f>
        <v/>
      </c>
    </row>
    <row r="417" spans="1:6">
      <c r="A417" t="str">
        <f>IF('Obra RL'!G59="","","Obra RL")</f>
        <v/>
      </c>
      <c r="B417" t="str">
        <f>IF('Obra RL'!G59="","",'Obra RL'!G59)</f>
        <v/>
      </c>
      <c r="C417" t="str">
        <f>IF('Obra RL'!G59="","",'Obra RL'!I59)</f>
        <v/>
      </c>
      <c r="D417" t="str">
        <f>IF('Obra RL'!G59="","",'Obra RL'!K59)</f>
        <v/>
      </c>
      <c r="E417" t="str">
        <f>IF('Obra RL'!G59="","",'Obra RL'!L59)</f>
        <v/>
      </c>
      <c r="F417" t="str">
        <f>IF('Obra RL'!G59="","",'Obra RL'!M59)</f>
        <v/>
      </c>
    </row>
    <row r="418" spans="1:6">
      <c r="A418" t="str">
        <f>IF('Obra RL'!G60="","","Obra RL")</f>
        <v/>
      </c>
      <c r="B418" t="str">
        <f>IF('Obra RL'!G60="","",'Obra RL'!G60)</f>
        <v/>
      </c>
      <c r="C418" t="str">
        <f>IF('Obra RL'!G60="","",'Obra RL'!I60)</f>
        <v/>
      </c>
      <c r="D418" t="str">
        <f>IF('Obra RL'!G60="","",'Obra RL'!K60)</f>
        <v/>
      </c>
      <c r="E418" t="str">
        <f>IF('Obra RL'!G60="","",'Obra RL'!L60)</f>
        <v/>
      </c>
      <c r="F418" t="str">
        <f>IF('Obra RL'!G60="","",'Obra RL'!M60)</f>
        <v/>
      </c>
    </row>
    <row r="419" spans="1:6">
      <c r="A419" t="str">
        <f>IF('Obra RL'!G61="","","Obra RL")</f>
        <v/>
      </c>
      <c r="B419" t="str">
        <f>IF('Obra RL'!G61="","",'Obra RL'!G61)</f>
        <v/>
      </c>
      <c r="C419" t="str">
        <f>IF('Obra RL'!G61="","",'Obra RL'!I61)</f>
        <v/>
      </c>
      <c r="D419" t="str">
        <f>IF('Obra RL'!G61="","",'Obra RL'!K61)</f>
        <v/>
      </c>
      <c r="E419" t="str">
        <f>IF('Obra RL'!G61="","",'Obra RL'!L61)</f>
        <v/>
      </c>
      <c r="F419" t="str">
        <f>IF('Obra RL'!G61="","",'Obra RL'!M61)</f>
        <v/>
      </c>
    </row>
    <row r="420" spans="1:6">
      <c r="A420" t="str">
        <f>IF('Obra RL'!G62="","","Obra RL")</f>
        <v/>
      </c>
      <c r="B420" t="str">
        <f>IF('Obra RL'!G62="","",'Obra RL'!G62)</f>
        <v/>
      </c>
      <c r="C420" t="str">
        <f>IF('Obra RL'!G62="","",'Obra RL'!I62)</f>
        <v/>
      </c>
      <c r="D420" t="str">
        <f>IF('Obra RL'!G62="","",'Obra RL'!K62)</f>
        <v/>
      </c>
      <c r="E420" t="str">
        <f>IF('Obra RL'!G62="","",'Obra RL'!L62)</f>
        <v/>
      </c>
      <c r="F420" t="str">
        <f>IF('Obra RL'!G62="","",'Obra RL'!M62)</f>
        <v/>
      </c>
    </row>
    <row r="421" spans="1:6">
      <c r="A421" t="str">
        <f>IF('Obra RL'!G63="","","Obra RL")</f>
        <v/>
      </c>
      <c r="B421" t="str">
        <f>IF('Obra RL'!G63="","",'Obra RL'!G63)</f>
        <v/>
      </c>
      <c r="C421" t="str">
        <f>IF('Obra RL'!G63="","",'Obra RL'!I63)</f>
        <v/>
      </c>
      <c r="D421" t="str">
        <f>IF('Obra RL'!G63="","",'Obra RL'!K63)</f>
        <v/>
      </c>
      <c r="E421" t="str">
        <f>IF('Obra RL'!G63="","",'Obra RL'!L63)</f>
        <v/>
      </c>
      <c r="F421" t="str">
        <f>IF('Obra RL'!G63="","",'Obra RL'!M63)</f>
        <v/>
      </c>
    </row>
    <row r="422" spans="1:6">
      <c r="A422" t="str">
        <f>IF('Obra RL'!G64="","","Obra RL")</f>
        <v/>
      </c>
      <c r="B422" t="str">
        <f>IF('Obra RL'!G64="","",'Obra RL'!G64)</f>
        <v/>
      </c>
      <c r="C422" t="str">
        <f>IF('Obra RL'!G64="","",'Obra RL'!I64)</f>
        <v/>
      </c>
      <c r="D422" t="str">
        <f>IF('Obra RL'!G64="","",'Obra RL'!K64)</f>
        <v/>
      </c>
      <c r="E422" t="str">
        <f>IF('Obra RL'!G64="","",'Obra RL'!L64)</f>
        <v/>
      </c>
      <c r="F422" t="str">
        <f>IF('Obra RL'!G64="","",'Obra RL'!M64)</f>
        <v/>
      </c>
    </row>
    <row r="423" spans="1:6">
      <c r="A423" t="str">
        <f>IF('Obra RL'!G65="","","Obra RL")</f>
        <v/>
      </c>
      <c r="B423" t="str">
        <f>IF('Obra RL'!G65="","",'Obra RL'!G65)</f>
        <v/>
      </c>
      <c r="C423" t="str">
        <f>IF('Obra RL'!G65="","",'Obra RL'!I65)</f>
        <v/>
      </c>
      <c r="D423" t="str">
        <f>IF('Obra RL'!G65="","",'Obra RL'!K65)</f>
        <v/>
      </c>
      <c r="E423" t="str">
        <f>IF('Obra RL'!G65="","",'Obra RL'!L65)</f>
        <v/>
      </c>
      <c r="F423" t="str">
        <f>IF('Obra RL'!G65="","",'Obra RL'!M65)</f>
        <v/>
      </c>
    </row>
    <row r="424" spans="1:6">
      <c r="A424" t="str">
        <f>IF('Obra RL'!G66="","","Obra RL")</f>
        <v/>
      </c>
      <c r="B424" t="str">
        <f>IF('Obra RL'!G66="","",'Obra RL'!G66)</f>
        <v/>
      </c>
      <c r="C424" t="str">
        <f>IF('Obra RL'!G66="","",'Obra RL'!I66)</f>
        <v/>
      </c>
      <c r="D424" t="str">
        <f>IF('Obra RL'!G66="","",'Obra RL'!K66)</f>
        <v/>
      </c>
      <c r="E424" t="str">
        <f>IF('Obra RL'!G66="","",'Obra RL'!L66)</f>
        <v/>
      </c>
      <c r="F424" t="str">
        <f>IF('Obra RL'!G66="","",'Obra RL'!M66)</f>
        <v/>
      </c>
    </row>
    <row r="425" spans="1:6">
      <c r="A425" t="str">
        <f>IF('Obra RL'!G67="","","Obra RL")</f>
        <v/>
      </c>
      <c r="B425" t="str">
        <f>IF('Obra RL'!G67="","",'Obra RL'!G67)</f>
        <v/>
      </c>
      <c r="C425" t="str">
        <f>IF('Obra RL'!G67="","",'Obra RL'!I67)</f>
        <v/>
      </c>
      <c r="D425" t="str">
        <f>IF('Obra RL'!G67="","",'Obra RL'!K67)</f>
        <v/>
      </c>
      <c r="E425" t="str">
        <f>IF('Obra RL'!G67="","",'Obra RL'!L67)</f>
        <v/>
      </c>
      <c r="F425" t="str">
        <f>IF('Obra RL'!G67="","",'Obra RL'!M67)</f>
        <v/>
      </c>
    </row>
    <row r="426" spans="1:6">
      <c r="A426" t="str">
        <f>IF('Obra RL'!G68="","","Obra RL")</f>
        <v/>
      </c>
      <c r="B426" t="str">
        <f>IF('Obra RL'!G68="","",'Obra RL'!G68)</f>
        <v/>
      </c>
      <c r="C426" t="str">
        <f>IF('Obra RL'!G68="","",'Obra RL'!I68)</f>
        <v/>
      </c>
      <c r="D426" t="str">
        <f>IF('Obra RL'!G68="","",'Obra RL'!K68)</f>
        <v/>
      </c>
      <c r="E426" t="str">
        <f>IF('Obra RL'!G68="","",'Obra RL'!L68)</f>
        <v/>
      </c>
      <c r="F426" t="str">
        <f>IF('Obra RL'!G68="","",'Obra RL'!M68)</f>
        <v/>
      </c>
    </row>
    <row r="427" spans="1:6">
      <c r="A427" t="str">
        <f>IF('Obra RL'!G69="","","Obra RL")</f>
        <v/>
      </c>
      <c r="B427" t="str">
        <f>IF('Obra RL'!G69="","",'Obra RL'!G69)</f>
        <v/>
      </c>
      <c r="C427" t="str">
        <f>IF('Obra RL'!G69="","",'Obra RL'!I69)</f>
        <v/>
      </c>
      <c r="D427" t="str">
        <f>IF('Obra RL'!G69="","",'Obra RL'!K69)</f>
        <v/>
      </c>
      <c r="E427" t="str">
        <f>IF('Obra RL'!G69="","",'Obra RL'!L69)</f>
        <v/>
      </c>
      <c r="F427" t="str">
        <f>IF('Obra RL'!G69="","",'Obra RL'!M69)</f>
        <v/>
      </c>
    </row>
    <row r="428" spans="1:6">
      <c r="A428" t="str">
        <f>IF('Obra RL'!G70="","","Obra RL")</f>
        <v/>
      </c>
      <c r="B428" t="str">
        <f>IF('Obra RL'!G70="","",'Obra RL'!G70)</f>
        <v/>
      </c>
      <c r="C428" t="str">
        <f>IF('Obra RL'!G70="","",'Obra RL'!I70)</f>
        <v/>
      </c>
      <c r="D428" t="str">
        <f>IF('Obra RL'!G70="","",'Obra RL'!K70)</f>
        <v/>
      </c>
      <c r="E428" t="str">
        <f>IF('Obra RL'!G70="","",'Obra RL'!L70)</f>
        <v/>
      </c>
      <c r="F428" t="str">
        <f>IF('Obra RL'!G70="","",'Obra RL'!M70)</f>
        <v/>
      </c>
    </row>
    <row r="429" spans="1:6">
      <c r="A429" t="str">
        <f>IF('Obra LS'!G10="","","Obra LS")</f>
        <v>Obra LS</v>
      </c>
      <c r="B429" t="str">
        <f>IF('Obra LS'!G10="","",'Obra LS'!G10)</f>
        <v>Ferrocons</v>
      </c>
      <c r="C429">
        <f>IF('Obra LS'!G10="","",'Obra LS'!I10)</f>
        <v>47173.87</v>
      </c>
      <c r="D429" t="str">
        <f>IF('Obra LS'!G10="","",'Obra LS'!L10)</f>
        <v>Pagado</v>
      </c>
      <c r="E429">
        <f>IF('Obra LS'!G10="","",'Obra LS'!M10)</f>
        <v>0</v>
      </c>
      <c r="F429" t="str">
        <f>IF('Obra LS'!G10="","",'Obra LS'!N10)</f>
        <v>Recibido en obra</v>
      </c>
    </row>
    <row r="430" spans="1:6">
      <c r="A430" t="str">
        <f>IF('Obra LS'!G11="","","Obra LS")</f>
        <v>Obra LS</v>
      </c>
      <c r="B430" t="str">
        <f>IF('Obra LS'!G11="","",'Obra LS'!G11)</f>
        <v>Ferrocons</v>
      </c>
      <c r="C430">
        <f>IF('Obra LS'!G11="","",'Obra LS'!I11)</f>
        <v>48343.47</v>
      </c>
      <c r="D430" t="str">
        <f>IF('Obra LS'!G11="","",'Obra LS'!L11)</f>
        <v>Pagado</v>
      </c>
      <c r="E430">
        <f>IF('Obra LS'!G11="","",'Obra LS'!M11)</f>
        <v>0</v>
      </c>
      <c r="F430" t="str">
        <f>IF('Obra LS'!G11="","",'Obra LS'!N11)</f>
        <v>Recibido en obra</v>
      </c>
    </row>
    <row r="431" spans="1:6">
      <c r="A431" t="str">
        <f>IF('Obra LS'!G12="","","Obra LS")</f>
        <v>Obra LS</v>
      </c>
      <c r="B431" t="str">
        <f>IF('Obra LS'!G12="","",'Obra LS'!G12)</f>
        <v>Saniplast</v>
      </c>
      <c r="C431">
        <f>IF('Obra LS'!G12="","",'Obra LS'!I12)</f>
        <v>600778.52</v>
      </c>
      <c r="D431" t="str">
        <f>IF('Obra LS'!G12="","",'Obra LS'!L12)</f>
        <v>Pagado</v>
      </c>
      <c r="E431">
        <f>IF('Obra LS'!G12="","",'Obra LS'!M12)</f>
        <v>0</v>
      </c>
      <c r="F431" t="str">
        <f>IF('Obra LS'!G12="","",'Obra LS'!N12)</f>
        <v>Recibido en obra</v>
      </c>
    </row>
    <row r="432" spans="1:6">
      <c r="A432" t="str">
        <f>IF('Obra LS'!G13="","","Obra LS")</f>
        <v>Obra LS</v>
      </c>
      <c r="B432" t="str">
        <f>IF('Obra LS'!G13="","",'Obra LS'!G13)</f>
        <v>Garin</v>
      </c>
      <c r="C432">
        <f>IF('Obra LS'!G13="","",'Obra LS'!I13)</f>
        <v>264716.03000000003</v>
      </c>
      <c r="D432" t="str">
        <f>IF('Obra LS'!G13="","",'Obra LS'!L13)</f>
        <v>Pagado</v>
      </c>
      <c r="E432">
        <f>IF('Obra LS'!G13="","",'Obra LS'!M13)</f>
        <v>0</v>
      </c>
      <c r="F432" t="str">
        <f>IF('Obra LS'!G13="","",'Obra LS'!N13)</f>
        <v>Recibido en obra</v>
      </c>
    </row>
    <row r="433" spans="1:6">
      <c r="A433" t="str">
        <f>IF('Obra LS'!G14="","","Obra LS")</f>
        <v>Obra LS</v>
      </c>
      <c r="B433" t="str">
        <f>IF('Obra LS'!G14="","",'Obra LS'!G14)</f>
        <v>Flete Hugo Godoy</v>
      </c>
      <c r="C433">
        <f>IF('Obra LS'!G14="","",'Obra LS'!I14)</f>
        <v>125000</v>
      </c>
      <c r="D433" t="str">
        <f>IF('Obra LS'!G14="","",'Obra LS'!L14)</f>
        <v>Pagado</v>
      </c>
      <c r="E433">
        <f>IF('Obra LS'!G14="","",'Obra LS'!M14)</f>
        <v>0</v>
      </c>
      <c r="F433" t="str">
        <f>IF('Obra LS'!G14="","",'Obra LS'!N14)</f>
        <v>Recibido en obra</v>
      </c>
    </row>
    <row r="434" spans="1:6">
      <c r="A434" t="str">
        <f>IF('Obra LS'!G15="","","Obra LS")</f>
        <v/>
      </c>
      <c r="B434" t="str">
        <f>IF('Obra LS'!G15="","",'Obra LS'!G15)</f>
        <v/>
      </c>
      <c r="C434" t="str">
        <f>IF('Obra LS'!G15="","",'Obra LS'!I15)</f>
        <v/>
      </c>
      <c r="D434" t="str">
        <f>IF('Obra LS'!G15="","",'Obra LS'!L15)</f>
        <v/>
      </c>
      <c r="E434" t="str">
        <f>IF('Obra LS'!G15="","",'Obra LS'!M15)</f>
        <v/>
      </c>
      <c r="F434" t="str">
        <f>IF('Obra LS'!G15="","",'Obra LS'!N15)</f>
        <v/>
      </c>
    </row>
    <row r="435" spans="1:6">
      <c r="A435" t="str">
        <f>IF('Obra LS'!G16="","","Obra LS")</f>
        <v>Obra LS</v>
      </c>
      <c r="B435" t="str">
        <f>IF('Obra LS'!G16="","",'Obra LS'!G16)</f>
        <v>Contigiani</v>
      </c>
      <c r="C435">
        <f>IF('Obra LS'!G16="","",'Obra LS'!I16)</f>
        <v>1680775.15</v>
      </c>
      <c r="D435" t="str">
        <f>IF('Obra LS'!G16="","",'Obra LS'!L16)</f>
        <v>Pagado</v>
      </c>
      <c r="E435">
        <f>IF('Obra LS'!G16="","",'Obra LS'!M16)</f>
        <v>0</v>
      </c>
      <c r="F435" t="str">
        <f>IF('Obra LS'!G16="","",'Obra LS'!N16)</f>
        <v>Recibido en obra</v>
      </c>
    </row>
    <row r="436" spans="1:6">
      <c r="A436" t="str">
        <f>IF('Obra LS'!G17="","","Obra LS")</f>
        <v>Obra LS</v>
      </c>
      <c r="B436" t="str">
        <f>IF('Obra LS'!G17="","",'Obra LS'!G17)</f>
        <v>Flete Hugo Godoy</v>
      </c>
      <c r="C436">
        <f>IF('Obra LS'!G17="","",'Obra LS'!I17)</f>
        <v>80000</v>
      </c>
      <c r="D436" t="str">
        <f>IF('Obra LS'!G17="","",'Obra LS'!L17)</f>
        <v>Pagado</v>
      </c>
      <c r="E436">
        <f>IF('Obra LS'!G17="","",'Obra LS'!M17)</f>
        <v>0</v>
      </c>
      <c r="F436" t="str">
        <f>IF('Obra LS'!G17="","",'Obra LS'!N17)</f>
        <v>Recibido en obra</v>
      </c>
    </row>
    <row r="437" spans="1:6">
      <c r="A437" t="str">
        <f>IF('Obra LS'!G18="","","Obra LS")</f>
        <v>Obra LS</v>
      </c>
      <c r="B437" t="str">
        <f>IF('Obra LS'!G18="","",'Obra LS'!G18)</f>
        <v>Nico Carusso</v>
      </c>
      <c r="C437">
        <f>IF('Obra LS'!G18="","",'Obra LS'!I18)</f>
        <v>140000</v>
      </c>
      <c r="D437" t="str">
        <f>IF('Obra LS'!G18="","",'Obra LS'!L18)</f>
        <v>Pagado</v>
      </c>
      <c r="E437">
        <f>IF('Obra LS'!G18="","",'Obra LS'!M18)</f>
        <v>0</v>
      </c>
      <c r="F437" t="str">
        <f>IF('Obra LS'!G18="","",'Obra LS'!N18)</f>
        <v>Recibido en obra</v>
      </c>
    </row>
    <row r="438" spans="1:6">
      <c r="A438" t="str">
        <f>IF('Obra LS'!G19="","","Obra LS")</f>
        <v/>
      </c>
      <c r="B438" t="str">
        <f>IF('Obra LS'!G19="","",'Obra LS'!G19)</f>
        <v/>
      </c>
      <c r="C438" t="str">
        <f>IF('Obra LS'!G19="","",'Obra LS'!I19)</f>
        <v/>
      </c>
      <c r="D438" t="str">
        <f>IF('Obra LS'!G19="","",'Obra LS'!L19)</f>
        <v/>
      </c>
      <c r="E438" t="str">
        <f>IF('Obra LS'!G19="","",'Obra LS'!M19)</f>
        <v/>
      </c>
      <c r="F438" t="str">
        <f>IF('Obra LS'!G19="","",'Obra LS'!N19)</f>
        <v/>
      </c>
    </row>
    <row r="439" spans="1:6">
      <c r="A439" t="str">
        <f>IF('Obra LS'!G20="","","Obra LS")</f>
        <v>Obra LS</v>
      </c>
      <c r="B439" t="str">
        <f>IF('Obra LS'!G20="","",'Obra LS'!G20)</f>
        <v>Nico Carusso</v>
      </c>
      <c r="C439">
        <f>IF('Obra LS'!G20="","",'Obra LS'!I20)</f>
        <v>140000</v>
      </c>
      <c r="D439" t="str">
        <f>IF('Obra LS'!G20="","",'Obra LS'!L20)</f>
        <v>Pagado</v>
      </c>
      <c r="E439">
        <f>IF('Obra LS'!G20="","",'Obra LS'!M20)</f>
        <v>0</v>
      </c>
      <c r="F439" t="str">
        <f>IF('Obra LS'!G20="","",'Obra LS'!N20)</f>
        <v>Recibido en obra</v>
      </c>
    </row>
    <row r="440" spans="1:6">
      <c r="A440" t="str">
        <f>IF('Obra LS'!G21="","","Obra LS")</f>
        <v/>
      </c>
      <c r="B440" t="str">
        <f>IF('Obra LS'!G21="","",'Obra LS'!G21)</f>
        <v/>
      </c>
      <c r="C440" t="str">
        <f>IF('Obra LS'!G21="","",'Obra LS'!I21)</f>
        <v/>
      </c>
      <c r="D440" t="str">
        <f>IF('Obra LS'!G21="","",'Obra LS'!L21)</f>
        <v/>
      </c>
      <c r="E440" t="str">
        <f>IF('Obra LS'!G21="","",'Obra LS'!M21)</f>
        <v/>
      </c>
      <c r="F440" t="str">
        <f>IF('Obra LS'!G21="","",'Obra LS'!N21)</f>
        <v/>
      </c>
    </row>
    <row r="441" spans="1:6">
      <c r="A441" t="str">
        <f>IF('Obra LS'!G22="","","Obra LS")</f>
        <v/>
      </c>
      <c r="B441" t="str">
        <f>IF('Obra LS'!G22="","",'Obra LS'!G22)</f>
        <v/>
      </c>
      <c r="C441" t="str">
        <f>IF('Obra LS'!G22="","",'Obra LS'!I22)</f>
        <v/>
      </c>
      <c r="D441" t="str">
        <f>IF('Obra LS'!G22="","",'Obra LS'!L22)</f>
        <v/>
      </c>
      <c r="E441" t="str">
        <f>IF('Obra LS'!G22="","",'Obra LS'!M22)</f>
        <v/>
      </c>
      <c r="F441" t="str">
        <f>IF('Obra LS'!G22="","",'Obra LS'!N22)</f>
        <v/>
      </c>
    </row>
    <row r="442" spans="1:6">
      <c r="A442" t="str">
        <f>IF('Obra LS'!G23="","","Obra LS")</f>
        <v>Obra LS</v>
      </c>
      <c r="B442" t="str">
        <f>IF('Obra LS'!G23="","",'Obra LS'!G23)</f>
        <v>Flete Hugo Godoy</v>
      </c>
      <c r="C442">
        <f>IF('Obra LS'!G23="","",'Obra LS'!I23)</f>
        <v>68000</v>
      </c>
      <c r="D442" t="str">
        <f>IF('Obra LS'!G23="","",'Obra LS'!L23)</f>
        <v>Pagado</v>
      </c>
      <c r="E442">
        <f>IF('Obra LS'!G23="","",'Obra LS'!M23)</f>
        <v>0</v>
      </c>
      <c r="F442" t="str">
        <f>IF('Obra LS'!G23="","",'Obra LS'!N23)</f>
        <v>Recibido en obra</v>
      </c>
    </row>
    <row r="443" spans="1:6">
      <c r="A443" t="str">
        <f>IF('Obra LS'!G24="","","Obra LS")</f>
        <v/>
      </c>
      <c r="B443" t="str">
        <f>IF('Obra LS'!G24="","",'Obra LS'!G24)</f>
        <v/>
      </c>
      <c r="C443" t="str">
        <f>IF('Obra LS'!G24="","",'Obra LS'!I24)</f>
        <v/>
      </c>
      <c r="D443" t="str">
        <f>IF('Obra LS'!G24="","",'Obra LS'!L24)</f>
        <v/>
      </c>
      <c r="E443" t="str">
        <f>IF('Obra LS'!G24="","",'Obra LS'!M24)</f>
        <v/>
      </c>
      <c r="F443" t="str">
        <f>IF('Obra LS'!G24="","",'Obra LS'!N24)</f>
        <v/>
      </c>
    </row>
    <row r="444" spans="1:6">
      <c r="A444" t="str">
        <f>IF('Obra LS'!G25="","","Obra LS")</f>
        <v>Obra LS</v>
      </c>
      <c r="B444" t="str">
        <f>IF('Obra LS'!G25="","",'Obra LS'!G25)</f>
        <v>Flete Hugo Godoy</v>
      </c>
      <c r="C444">
        <f>IF('Obra LS'!G25="","",'Obra LS'!I25)</f>
        <v>35000</v>
      </c>
      <c r="D444" t="str">
        <f>IF('Obra LS'!G25="","",'Obra LS'!L25)</f>
        <v>Pagado</v>
      </c>
      <c r="E444">
        <f>IF('Obra LS'!G25="","",'Obra LS'!M25)</f>
        <v>0</v>
      </c>
      <c r="F444" t="str">
        <f>IF('Obra LS'!G25="","",'Obra LS'!N25)</f>
        <v>Recibido en obra</v>
      </c>
    </row>
    <row r="445" spans="1:6">
      <c r="A445" t="str">
        <f>IF('Obra LS'!G26="","","Obra LS")</f>
        <v>Obra LS</v>
      </c>
      <c r="B445" t="str">
        <f>IF('Obra LS'!G26="","",'Obra LS'!G26)</f>
        <v>Flete Hugo Godoy</v>
      </c>
      <c r="C445">
        <f>IF('Obra LS'!G26="","",'Obra LS'!I26)</f>
        <v>54000</v>
      </c>
      <c r="D445" t="str">
        <f>IF('Obra LS'!G26="","",'Obra LS'!L26)</f>
        <v>Pagado</v>
      </c>
      <c r="E445">
        <f>IF('Obra LS'!G26="","",'Obra LS'!M26)</f>
        <v>0</v>
      </c>
      <c r="F445" t="str">
        <f>IF('Obra LS'!G26="","",'Obra LS'!N26)</f>
        <v>Recibido en obra</v>
      </c>
    </row>
    <row r="446" spans="1:6">
      <c r="A446" t="str">
        <f>IF('Obra LS'!G27="","","Obra LS")</f>
        <v>Obra LS</v>
      </c>
      <c r="B446" t="str">
        <f>IF('Obra LS'!G27="","",'Obra LS'!G27)</f>
        <v>Contenedores Fer</v>
      </c>
      <c r="C446">
        <f>IF('Obra LS'!G27="","",'Obra LS'!I27)</f>
        <v>145000</v>
      </c>
      <c r="D446" t="str">
        <f>IF('Obra LS'!G27="","",'Obra LS'!L27)</f>
        <v>Pagado</v>
      </c>
      <c r="E446">
        <f>IF('Obra LS'!G27="","",'Obra LS'!M27)</f>
        <v>0</v>
      </c>
      <c r="F446" t="str">
        <f>IF('Obra LS'!G27="","",'Obra LS'!N27)</f>
        <v>Recibido en obra</v>
      </c>
    </row>
    <row r="447" spans="1:6">
      <c r="A447" t="str">
        <f>IF('Obra LS'!G28="","","Obra LS")</f>
        <v>Obra LS</v>
      </c>
      <c r="B447" t="str">
        <f>IF('Obra LS'!G28="","",'Obra LS'!G28)</f>
        <v>Contenedores Fer</v>
      </c>
      <c r="C447">
        <f>IF('Obra LS'!G28="","",'Obra LS'!I28)</f>
        <v>145000</v>
      </c>
      <c r="D447" t="str">
        <f>IF('Obra LS'!G28="","",'Obra LS'!L28)</f>
        <v>Pagado</v>
      </c>
      <c r="E447">
        <f>IF('Obra LS'!G28="","",'Obra LS'!M28)</f>
        <v>0</v>
      </c>
      <c r="F447" t="str">
        <f>IF('Obra LS'!G28="","",'Obra LS'!N28)</f>
        <v>Recibido en obra</v>
      </c>
    </row>
    <row r="448" spans="1:6">
      <c r="A448" t="str">
        <f>IF('Obra LS'!G29="","","Obra LS")</f>
        <v/>
      </c>
      <c r="B448" t="str">
        <f>IF('Obra LS'!G29="","",'Obra LS'!G29)</f>
        <v/>
      </c>
      <c r="C448" t="str">
        <f>IF('Obra LS'!G29="","",'Obra LS'!I29)</f>
        <v/>
      </c>
      <c r="D448" t="str">
        <f>IF('Obra LS'!G29="","",'Obra LS'!L29)</f>
        <v/>
      </c>
      <c r="E448" t="str">
        <f>IF('Obra LS'!G29="","",'Obra LS'!M29)</f>
        <v/>
      </c>
      <c r="F448" t="str">
        <f>IF('Obra LS'!G29="","",'Obra LS'!N29)</f>
        <v/>
      </c>
    </row>
    <row r="449" spans="1:6">
      <c r="A449" t="str">
        <f>IF('Obra LS'!G30="","","Obra LS")</f>
        <v>Obra LS</v>
      </c>
      <c r="B449" t="str">
        <f>IF('Obra LS'!G30="","",'Obra LS'!G30)</f>
        <v>Contenedores Fer</v>
      </c>
      <c r="C449">
        <f>IF('Obra LS'!G30="","",'Obra LS'!I30)</f>
        <v>145000</v>
      </c>
      <c r="D449" t="str">
        <f>IF('Obra LS'!G30="","",'Obra LS'!L30)</f>
        <v>Pagado</v>
      </c>
      <c r="E449">
        <f>IF('Obra LS'!G30="","",'Obra LS'!M30)</f>
        <v>0</v>
      </c>
      <c r="F449" t="str">
        <f>IF('Obra LS'!G30="","",'Obra LS'!N30)</f>
        <v>Recibido en obra</v>
      </c>
    </row>
    <row r="450" spans="1:6">
      <c r="A450" t="str">
        <f>IF('Obra LS'!G31="","","Obra LS")</f>
        <v>Obra LS</v>
      </c>
      <c r="B450" t="str">
        <f>IF('Obra LS'!G31="","",'Obra LS'!G31)</f>
        <v>Contenedores Fer</v>
      </c>
      <c r="C450">
        <f>IF('Obra LS'!G31="","",'Obra LS'!I31)</f>
        <v>145000</v>
      </c>
      <c r="D450">
        <f>IF('Obra LS'!G31="","",'Obra LS'!L31)</f>
        <v>0</v>
      </c>
      <c r="E450" t="str">
        <f>IF('Obra LS'!G31="","",'Obra LS'!M31)</f>
        <v>Pagado</v>
      </c>
      <c r="F450" t="str">
        <f>IF('Obra LS'!G31="","",'Obra LS'!N31)</f>
        <v>Recibido en obra</v>
      </c>
    </row>
    <row r="451" spans="1:6">
      <c r="A451" t="str">
        <f>IF('Obra LS'!G32="","","Obra LS")</f>
        <v>Obra LS</v>
      </c>
      <c r="B451" t="str">
        <f>IF('Obra LS'!G32="","",'Obra LS'!G32)</f>
        <v>Contenedores Fer</v>
      </c>
      <c r="C451">
        <f>IF('Obra LS'!G32="","",'Obra LS'!I32)</f>
        <v>145000</v>
      </c>
      <c r="D451">
        <f>IF('Obra LS'!G32="","",'Obra LS'!L32)</f>
        <v>0</v>
      </c>
      <c r="E451" t="str">
        <f>IF('Obra LS'!G32="","",'Obra LS'!M32)</f>
        <v>Pagado</v>
      </c>
      <c r="F451" t="str">
        <f>IF('Obra LS'!G32="","",'Obra LS'!N32)</f>
        <v>Recibido en obra</v>
      </c>
    </row>
    <row r="452" spans="1:6">
      <c r="A452" t="str">
        <f>IF('Obra LS'!G33="","","Obra LS")</f>
        <v/>
      </c>
      <c r="B452" t="str">
        <f>IF('Obra LS'!G33="","",'Obra LS'!G33)</f>
        <v/>
      </c>
      <c r="C452" t="str">
        <f>IF('Obra LS'!G33="","",'Obra LS'!I33)</f>
        <v/>
      </c>
      <c r="D452" t="str">
        <f>IF('Obra LS'!G33="","",'Obra LS'!L33)</f>
        <v/>
      </c>
      <c r="E452" t="str">
        <f>IF('Obra LS'!G33="","",'Obra LS'!M33)</f>
        <v/>
      </c>
      <c r="F452" t="str">
        <f>IF('Obra LS'!G33="","",'Obra LS'!N33)</f>
        <v/>
      </c>
    </row>
    <row r="453" spans="1:6">
      <c r="A453" t="str">
        <f>IF('Obra LS'!G34="","","Obra LS")</f>
        <v>Obra LS</v>
      </c>
      <c r="B453" t="str">
        <f>IF('Obra LS'!G34="","",'Obra LS'!G34)</f>
        <v>Contenedores Fer</v>
      </c>
      <c r="C453">
        <f>IF('Obra LS'!G34="","",'Obra LS'!I34)</f>
        <v>150000</v>
      </c>
      <c r="D453">
        <f>IF('Obra LS'!G34="","",'Obra LS'!L34)</f>
        <v>0</v>
      </c>
      <c r="E453" t="str">
        <f>IF('Obra LS'!G34="","",'Obra LS'!M34)</f>
        <v>Pagado</v>
      </c>
      <c r="F453" t="str">
        <f>IF('Obra LS'!G34="","",'Obra LS'!N34)</f>
        <v>Recibido en obra</v>
      </c>
    </row>
    <row r="454" spans="1:6">
      <c r="A454" t="str">
        <f>IF('Obra LS'!G35="","","Obra LS")</f>
        <v>Obra LS</v>
      </c>
      <c r="B454" t="str">
        <f>IF('Obra LS'!G35="","",'Obra LS'!G35)</f>
        <v>Boccolini</v>
      </c>
      <c r="C454">
        <f>IF('Obra LS'!G35="","",'Obra LS'!I35)</f>
        <v>187500</v>
      </c>
      <c r="D454">
        <f>IF('Obra LS'!G35="","",'Obra LS'!L35)</f>
        <v>0</v>
      </c>
      <c r="E454" t="str">
        <f>IF('Obra LS'!G35="","",'Obra LS'!M35)</f>
        <v>Pagado</v>
      </c>
      <c r="F454" t="str">
        <f>IF('Obra LS'!G35="","",'Obra LS'!N35)</f>
        <v>Recibido en obra</v>
      </c>
    </row>
    <row r="455" spans="1:6">
      <c r="A455" t="str">
        <f>IF('Obra LS'!G36="","","Obra LS")</f>
        <v>Obra LS</v>
      </c>
      <c r="B455" t="str">
        <f>IF('Obra LS'!G36="","",'Obra LS'!G36)</f>
        <v>Contenedores Fer</v>
      </c>
      <c r="C455">
        <f>IF('Obra LS'!G36="","",'Obra LS'!I36)</f>
        <v>150000</v>
      </c>
      <c r="D455">
        <f>IF('Obra LS'!G36="","",'Obra LS'!L36)</f>
        <v>0</v>
      </c>
      <c r="E455" t="str">
        <f>IF('Obra LS'!G36="","",'Obra LS'!M36)</f>
        <v>Pagado</v>
      </c>
      <c r="F455" t="str">
        <f>IF('Obra LS'!G36="","",'Obra LS'!N36)</f>
        <v>Recibido en obra</v>
      </c>
    </row>
    <row r="456" spans="1:6">
      <c r="A456" t="str">
        <f>IF('Obra LS'!G37="","","Obra LS")</f>
        <v>Obra LS</v>
      </c>
      <c r="B456" t="str">
        <f>IF('Obra LS'!G37="","",'Obra LS'!G37)</f>
        <v>Contenedores Fer</v>
      </c>
      <c r="C456">
        <f>IF('Obra LS'!G37="","",'Obra LS'!I37)</f>
        <v>150000</v>
      </c>
      <c r="D456">
        <f>IF('Obra LS'!G37="","",'Obra LS'!L37)</f>
        <v>0</v>
      </c>
      <c r="E456" t="str">
        <f>IF('Obra LS'!G37="","",'Obra LS'!M37)</f>
        <v>Pagado</v>
      </c>
      <c r="F456" t="str">
        <f>IF('Obra LS'!G37="","",'Obra LS'!N37)</f>
        <v>Recibido en obra</v>
      </c>
    </row>
    <row r="457" spans="1:6">
      <c r="A457" t="str">
        <f>IF('Obra LS'!G38="","","Obra LS")</f>
        <v>Obra LS</v>
      </c>
      <c r="B457" t="str">
        <f>IF('Obra LS'!G38="","",'Obra LS'!G38)</f>
        <v>Contigini</v>
      </c>
      <c r="C457">
        <f>IF('Obra LS'!G38="","",'Obra LS'!I38)</f>
        <v>0</v>
      </c>
      <c r="D457">
        <f>IF('Obra LS'!G38="","",'Obra LS'!L38)</f>
        <v>0</v>
      </c>
      <c r="E457" t="str">
        <f>IF('Obra LS'!G38="","",'Obra LS'!M38)</f>
        <v>Pagado</v>
      </c>
      <c r="F457" t="str">
        <f>IF('Obra LS'!G38="","",'Obra LS'!N38)</f>
        <v>Pendiente</v>
      </c>
    </row>
    <row r="458" spans="1:6">
      <c r="A458" t="str">
        <f>IF('Obra LS'!G39="","","Obra LS")</f>
        <v>Obra LS</v>
      </c>
      <c r="B458" t="str">
        <f>IF('Obra LS'!G39="","",'Obra LS'!G39)</f>
        <v>Saniplats</v>
      </c>
      <c r="C458">
        <f>IF('Obra LS'!G39="","",'Obra LS'!I39)</f>
        <v>0</v>
      </c>
      <c r="D458">
        <f>IF('Obra LS'!G39="","",'Obra LS'!L39)</f>
        <v>0</v>
      </c>
      <c r="E458" t="str">
        <f>IF('Obra LS'!G39="","",'Obra LS'!M39)</f>
        <v>Pagado</v>
      </c>
      <c r="F458" t="str">
        <f>IF('Obra LS'!G39="","",'Obra LS'!N39)</f>
        <v>Pendiente</v>
      </c>
    </row>
    <row r="459" spans="1:6">
      <c r="A459" t="str">
        <f>IF('Obra LS'!G40="","","Obra LS")</f>
        <v>Obra LS</v>
      </c>
      <c r="B459" t="str">
        <f>IF('Obra LS'!G40="","",'Obra LS'!G40)</f>
        <v>Cyplo</v>
      </c>
      <c r="C459">
        <f>IF('Obra LS'!G40="","",'Obra LS'!I40)</f>
        <v>0</v>
      </c>
      <c r="D459" t="str">
        <f>IF('Obra LS'!G40="","",'Obra LS'!L40)</f>
        <v>Pagado</v>
      </c>
      <c r="E459" t="str">
        <f>IF('Obra LS'!G40="","",'Obra LS'!M40)</f>
        <v>Pagado</v>
      </c>
      <c r="F459" t="str">
        <f>IF('Obra LS'!G40="","",'Obra LS'!N40)</f>
        <v>Pendiente</v>
      </c>
    </row>
    <row r="460" spans="1:6">
      <c r="A460" t="str">
        <f>IF('Obra LS'!G41="","","Obra LS")</f>
        <v/>
      </c>
      <c r="B460" t="str">
        <f>IF('Obra LS'!G41="","",'Obra LS'!G41)</f>
        <v/>
      </c>
      <c r="C460" t="str">
        <f>IF('Obra LS'!G41="","",'Obra LS'!I41)</f>
        <v/>
      </c>
      <c r="D460" t="str">
        <f>IF('Obra LS'!G41="","",'Obra LS'!L41)</f>
        <v/>
      </c>
      <c r="E460" t="str">
        <f>IF('Obra LS'!G41="","",'Obra LS'!M41)</f>
        <v/>
      </c>
      <c r="F460" t="str">
        <f>IF('Obra LS'!G41="","",'Obra LS'!N41)</f>
        <v/>
      </c>
    </row>
    <row r="461" spans="1:6">
      <c r="A461" t="str">
        <f>IF('Obra LS'!G42="","","Obra LS")</f>
        <v>Obra LS</v>
      </c>
      <c r="B461" t="str">
        <f>IF('Obra LS'!G42="","",'Obra LS'!G42)</f>
        <v>Dimotec</v>
      </c>
      <c r="C461">
        <f>IF('Obra LS'!G42="","",'Obra LS'!I42)</f>
        <v>4773</v>
      </c>
      <c r="D461">
        <f>IF('Obra LS'!G42="","",'Obra LS'!L42)</f>
        <v>0</v>
      </c>
      <c r="E461" t="str">
        <f>IF('Obra LS'!G42="","",'Obra LS'!M42)</f>
        <v>Pagado</v>
      </c>
      <c r="F461" t="str">
        <f>IF('Obra LS'!G42="","",'Obra LS'!N42)</f>
        <v>Recibido en obra</v>
      </c>
    </row>
    <row r="462" spans="1:6">
      <c r="A462" t="str">
        <f>IF('Obra LS'!G43="","","Obra LS")</f>
        <v>Obra LS</v>
      </c>
      <c r="B462" t="str">
        <f>IF('Obra LS'!G43="","",'Obra LS'!G43)</f>
        <v>Contenedores Fer</v>
      </c>
      <c r="C462">
        <f>IF('Obra LS'!G43="","",'Obra LS'!I43)</f>
        <v>150000</v>
      </c>
      <c r="D462">
        <f>IF('Obra LS'!G43="","",'Obra LS'!L43)</f>
        <v>0</v>
      </c>
      <c r="E462" t="str">
        <f>IF('Obra LS'!G43="","",'Obra LS'!M43)</f>
        <v>Pagado</v>
      </c>
      <c r="F462" t="str">
        <f>IF('Obra LS'!G43="","",'Obra LS'!N43)</f>
        <v>Recibido en obra</v>
      </c>
    </row>
    <row r="463" spans="1:6">
      <c r="A463" t="e">
        <f>IF('Obra LS'!#REF!="","","Obra LS")</f>
        <v>#REF!</v>
      </c>
      <c r="B463" t="e">
        <f>IF('Obra LS'!#REF!="","",'Obra LS'!#REF!)</f>
        <v>#REF!</v>
      </c>
      <c r="C463" t="e">
        <f>IF('Obra LS'!#REF!="","",'Obra LS'!#REF!)</f>
        <v>#REF!</v>
      </c>
      <c r="D463" t="e">
        <f>IF('Obra LS'!#REF!="","",'Obra LS'!#REF!)</f>
        <v>#REF!</v>
      </c>
      <c r="E463" t="e">
        <f>IF('Obra LS'!#REF!="","",'Obra LS'!#REF!)</f>
        <v>#REF!</v>
      </c>
      <c r="F463" t="e">
        <f>IF('Obra LS'!#REF!="","",'Obra LS'!#REF!)</f>
        <v>#REF!</v>
      </c>
    </row>
    <row r="464" spans="1:6">
      <c r="A464" t="str">
        <f>IF('Obra LS'!G44="","","Obra LS")</f>
        <v/>
      </c>
      <c r="B464" t="str">
        <f>IF('Obra LS'!G44="","",'Obra LS'!G44)</f>
        <v/>
      </c>
      <c r="C464" t="str">
        <f>IF('Obra LS'!G44="","",'Obra LS'!I44)</f>
        <v/>
      </c>
      <c r="D464" t="str">
        <f>IF('Obra LS'!G44="","",'Obra LS'!L44)</f>
        <v/>
      </c>
      <c r="E464" t="str">
        <f>IF('Obra LS'!G44="","",'Obra LS'!M44)</f>
        <v/>
      </c>
      <c r="F464" t="str">
        <f>IF('Obra LS'!G44="","",'Obra LS'!N44)</f>
        <v/>
      </c>
    </row>
    <row r="465" spans="1:6">
      <c r="A465" t="str">
        <f>IF('Obra LS'!G48="","","Obra LS")</f>
        <v/>
      </c>
      <c r="B465" t="str">
        <f>IF('Obra LS'!G48="","",'Obra LS'!G48)</f>
        <v/>
      </c>
      <c r="C465" t="str">
        <f>IF('Obra LS'!G48="","",'Obra LS'!I48)</f>
        <v/>
      </c>
      <c r="D465" t="str">
        <f>IF('Obra LS'!G48="","",'Obra LS'!L48)</f>
        <v/>
      </c>
      <c r="E465" t="str">
        <f>IF('Obra LS'!G48="","",'Obra LS'!M48)</f>
        <v/>
      </c>
      <c r="F465" t="str">
        <f>IF('Obra LS'!G48="","",'Obra LS'!N48)</f>
        <v/>
      </c>
    </row>
    <row r="466" spans="1:6">
      <c r="A466" t="str">
        <f>IF('Obra LS'!G49="","","Obra LS")</f>
        <v>Obra LS</v>
      </c>
      <c r="B466" t="str">
        <f>IF('Obra LS'!G49="","",'Obra LS'!G49)</f>
        <v>Contenedores Fer</v>
      </c>
      <c r="C466">
        <f>IF('Obra LS'!G49="","",'Obra LS'!I49)</f>
        <v>150000</v>
      </c>
      <c r="D466">
        <f>IF('Obra LS'!G49="","",'Obra LS'!L49)</f>
        <v>0</v>
      </c>
      <c r="E466" t="str">
        <f>IF('Obra LS'!G49="","",'Obra LS'!M49)</f>
        <v>Pagado</v>
      </c>
      <c r="F466" t="str">
        <f>IF('Obra LS'!G49="","",'Obra LS'!N49)</f>
        <v>Recibido en obra</v>
      </c>
    </row>
    <row r="467" spans="1:6">
      <c r="A467" t="str">
        <f>IF('Obra LS'!G50="","","Obra LS")</f>
        <v>Obra LS</v>
      </c>
      <c r="B467" t="str">
        <f>IF('Obra LS'!G50="","",'Obra LS'!G50)</f>
        <v>Contenedores Fer</v>
      </c>
      <c r="C467">
        <f>IF('Obra LS'!G50="","",'Obra LS'!I50)</f>
        <v>150000</v>
      </c>
      <c r="D467">
        <f>IF('Obra LS'!G50="","",'Obra LS'!L50)</f>
        <v>0</v>
      </c>
      <c r="E467" t="str">
        <f>IF('Obra LS'!G50="","",'Obra LS'!M50)</f>
        <v>Pagado</v>
      </c>
      <c r="F467" t="str">
        <f>IF('Obra LS'!G50="","",'Obra LS'!N50)</f>
        <v>Recibido en obra</v>
      </c>
    </row>
    <row r="468" spans="1:6">
      <c r="A468" t="str">
        <f>IF('Obra LS'!G51="","","Obra LS")</f>
        <v>Obra LS</v>
      </c>
      <c r="B468" t="str">
        <f>IF('Obra LS'!G51="","",'Obra LS'!G51)</f>
        <v>Flete Hugo Godoy</v>
      </c>
      <c r="C468">
        <f>IF('Obra LS'!G51="","",'Obra LS'!I51)</f>
        <v>100000</v>
      </c>
      <c r="D468">
        <f>IF('Obra LS'!G51="","",'Obra LS'!L51)</f>
        <v>0</v>
      </c>
      <c r="E468" t="str">
        <f>IF('Obra LS'!G51="","",'Obra LS'!M51)</f>
        <v>Pagado</v>
      </c>
      <c r="F468" t="str">
        <f>IF('Obra LS'!G51="","",'Obra LS'!N51)</f>
        <v>Recibido en obra</v>
      </c>
    </row>
    <row r="469" spans="1:6">
      <c r="A469" t="str">
        <f>IF('Obra LS'!G52="","","Obra LS")</f>
        <v/>
      </c>
      <c r="B469" t="str">
        <f>IF('Obra LS'!G52="","",'Obra LS'!G52)</f>
        <v/>
      </c>
      <c r="C469" t="str">
        <f>IF('Obra LS'!G52="","",'Obra LS'!I52)</f>
        <v/>
      </c>
      <c r="D469" t="str">
        <f>IF('Obra LS'!G52="","",'Obra LS'!L52)</f>
        <v/>
      </c>
      <c r="E469" t="str">
        <f>IF('Obra LS'!G52="","",'Obra LS'!M52)</f>
        <v/>
      </c>
      <c r="F469" t="str">
        <f>IF('Obra LS'!G52="","",'Obra LS'!N52)</f>
        <v/>
      </c>
    </row>
    <row r="470" spans="1:6">
      <c r="A470" t="str">
        <f>IF('Obra LS'!G53="","","Obra LS")</f>
        <v>Obra LS</v>
      </c>
      <c r="B470" t="str">
        <f>IF('Obra LS'!G53="","",'Obra LS'!G53)</f>
        <v>Acerco</v>
      </c>
      <c r="C470">
        <f>IF('Obra LS'!G53="","",'Obra LS'!I53)</f>
        <v>646502.49</v>
      </c>
      <c r="D470">
        <f>IF('Obra LS'!G53="","",'Obra LS'!L53)</f>
        <v>0</v>
      </c>
      <c r="E470" t="str">
        <f>IF('Obra LS'!G53="","",'Obra LS'!M53)</f>
        <v>Pagado</v>
      </c>
      <c r="F470" t="str">
        <f>IF('Obra LS'!G53="","",'Obra LS'!N53)</f>
        <v>Recibido en obra</v>
      </c>
    </row>
    <row r="471" spans="1:6">
      <c r="A471" t="str">
        <f>IF('Obra LS'!G54="","","Obra LS")</f>
        <v>Obra LS</v>
      </c>
      <c r="B471" t="str">
        <f>IF('Obra LS'!G54="","",'Obra LS'!G54)</f>
        <v>Acerco</v>
      </c>
      <c r="C471">
        <f>IF('Obra LS'!G54="","",'Obra LS'!I54)</f>
        <v>82550.44</v>
      </c>
      <c r="D471">
        <f>IF('Obra LS'!G54="","",'Obra LS'!L54)</f>
        <v>0</v>
      </c>
      <c r="E471" t="str">
        <f>IF('Obra LS'!G54="","",'Obra LS'!M54)</f>
        <v>Pagado</v>
      </c>
      <c r="F471" t="str">
        <f>IF('Obra LS'!G54="","",'Obra LS'!N54)</f>
        <v>Recibido en obra</v>
      </c>
    </row>
    <row r="472" spans="1:6">
      <c r="A472" t="str">
        <f>IF('Obra LS'!G57="","","Obra LS")</f>
        <v>Obra LS</v>
      </c>
      <c r="B472" t="str">
        <f>IF('Obra LS'!G57="","",'Obra LS'!G57)</f>
        <v>Flete Hugo Godoy</v>
      </c>
      <c r="C472">
        <f>IF('Obra LS'!G57="","",'Obra LS'!I57)</f>
        <v>0</v>
      </c>
      <c r="D472">
        <f>IF('Obra LS'!G57="","",'Obra LS'!L57)</f>
        <v>0</v>
      </c>
      <c r="E472" t="str">
        <f>IF('Obra LS'!G57="","",'Obra LS'!M57)</f>
        <v>No Pagado</v>
      </c>
      <c r="F472" t="str">
        <f>IF('Obra LS'!G57="","",'Obra LS'!N57)</f>
        <v>Recibido en obra</v>
      </c>
    </row>
    <row r="473" spans="1:6">
      <c r="A473" t="str">
        <f>IF('Obra LS'!G58="","","Obra LS")</f>
        <v/>
      </c>
      <c r="B473" t="str">
        <f>IF('Obra LS'!G58="","",'Obra LS'!G58)</f>
        <v/>
      </c>
      <c r="C473" t="str">
        <f>IF('Obra LS'!G58="","",'Obra LS'!I58)</f>
        <v/>
      </c>
      <c r="D473" t="str">
        <f>IF('Obra LS'!G58="","",'Obra LS'!L58)</f>
        <v/>
      </c>
      <c r="E473" t="str">
        <f>IF('Obra LS'!G58="","",'Obra LS'!M58)</f>
        <v/>
      </c>
      <c r="F473" t="str">
        <f>IF('Obra LS'!G58="","",'Obra LS'!N58)</f>
        <v/>
      </c>
    </row>
    <row r="474" spans="1:6">
      <c r="A474" t="str">
        <f>IF('Obra LS'!G59="","","Obra LS")</f>
        <v>Obra LS</v>
      </c>
      <c r="B474" t="str">
        <f>IF('Obra LS'!G59="","",'Obra LS'!G59)</f>
        <v>Flete Hugo Godoy</v>
      </c>
      <c r="C474">
        <f>IF('Obra LS'!G59="","",'Obra LS'!I59)</f>
        <v>62000</v>
      </c>
      <c r="D474">
        <f>IF('Obra LS'!G59="","",'Obra LS'!L59)</f>
        <v>0</v>
      </c>
      <c r="E474" t="str">
        <f>IF('Obra LS'!G59="","",'Obra LS'!M59)</f>
        <v>No Pagado</v>
      </c>
      <c r="F474" t="str">
        <f>IF('Obra LS'!G59="","",'Obra LS'!N59)</f>
        <v>Recibido en obra</v>
      </c>
    </row>
    <row r="475" spans="1:6">
      <c r="A475" t="e">
        <f>IF('Obra LS'!#REF!="","","Obra LS")</f>
        <v>#REF!</v>
      </c>
      <c r="B475" t="e">
        <f>IF('Obra LS'!#REF!="","",'Obra LS'!#REF!)</f>
        <v>#REF!</v>
      </c>
      <c r="C475" t="e">
        <f>IF('Obra LS'!#REF!="","",'Obra LS'!#REF!)</f>
        <v>#REF!</v>
      </c>
      <c r="D475" t="e">
        <f>IF('Obra LS'!#REF!="","",'Obra LS'!#REF!)</f>
        <v>#REF!</v>
      </c>
      <c r="E475" t="e">
        <f>IF('Obra LS'!#REF!="","",'Obra LS'!#REF!)</f>
        <v>#REF!</v>
      </c>
      <c r="F475" t="e">
        <f>IF('Obra LS'!#REF!="","",'Obra LS'!#REF!)</f>
        <v>#REF!</v>
      </c>
    </row>
    <row r="476" spans="1:6">
      <c r="A476" t="e">
        <f>IF('Obra LS'!#REF!="","","Obra LS")</f>
        <v>#REF!</v>
      </c>
      <c r="B476" t="e">
        <f>IF('Obra LS'!#REF!="","",'Obra LS'!#REF!)</f>
        <v>#REF!</v>
      </c>
      <c r="C476" t="e">
        <f>IF('Obra LS'!#REF!="","",'Obra LS'!#REF!)</f>
        <v>#REF!</v>
      </c>
      <c r="D476" t="e">
        <f>IF('Obra LS'!#REF!="","",'Obra LS'!#REF!)</f>
        <v>#REF!</v>
      </c>
      <c r="E476" t="e">
        <f>IF('Obra LS'!#REF!="","",'Obra LS'!#REF!)</f>
        <v>#REF!</v>
      </c>
      <c r="F476" t="e">
        <f>IF('Obra LS'!#REF!="","",'Obra LS'!#REF!)</f>
        <v>#REF!</v>
      </c>
    </row>
    <row r="477" spans="1:6">
      <c r="A477" t="str">
        <f>IF('Obra LS'!G60="","","Obra LS")</f>
        <v/>
      </c>
      <c r="B477" t="str">
        <f>IF('Obra LS'!G60="","",'Obra LS'!G60)</f>
        <v/>
      </c>
      <c r="C477" t="str">
        <f>IF('Obra LS'!G60="","",'Obra LS'!I60)</f>
        <v/>
      </c>
      <c r="D477" t="str">
        <f>IF('Obra LS'!G60="","",'Obra LS'!L60)</f>
        <v/>
      </c>
      <c r="E477" t="str">
        <f>IF('Obra LS'!G60="","",'Obra LS'!M60)</f>
        <v/>
      </c>
      <c r="F477" t="str">
        <f>IF('Obra LS'!G60="","",'Obra LS'!N60)</f>
        <v/>
      </c>
    </row>
    <row r="478" spans="1:6">
      <c r="A478" t="e">
        <f>IF('Obra LS'!#REF!="","","Obra LS")</f>
        <v>#REF!</v>
      </c>
      <c r="B478" t="e">
        <f>IF('Obra LS'!#REF!="","",'Obra LS'!#REF!)</f>
        <v>#REF!</v>
      </c>
      <c r="C478" t="e">
        <f>IF('Obra LS'!#REF!="","",'Obra LS'!#REF!)</f>
        <v>#REF!</v>
      </c>
      <c r="D478" t="e">
        <f>IF('Obra LS'!#REF!="","",'Obra LS'!#REF!)</f>
        <v>#REF!</v>
      </c>
      <c r="E478" t="e">
        <f>IF('Obra LS'!#REF!="","",'Obra LS'!#REF!)</f>
        <v>#REF!</v>
      </c>
      <c r="F478" t="e">
        <f>IF('Obra LS'!#REF!="","",'Obra LS'!#REF!)</f>
        <v>#REF!</v>
      </c>
    </row>
    <row r="479" spans="1:6">
      <c r="A479" t="str">
        <f>IF('Obra LS'!G74="","","Obra LS")</f>
        <v/>
      </c>
      <c r="B479" t="str">
        <f>IF('Obra LS'!G74="","",'Obra LS'!G74)</f>
        <v/>
      </c>
      <c r="C479" t="str">
        <f>IF('Obra LS'!G74="","",'Obra LS'!I74)</f>
        <v/>
      </c>
      <c r="D479" t="str">
        <f>IF('Obra LS'!G74="","",'Obra LS'!L74)</f>
        <v/>
      </c>
      <c r="E479" t="str">
        <f>IF('Obra LS'!G74="","",'Obra LS'!M74)</f>
        <v/>
      </c>
      <c r="F479" t="str">
        <f>IF('Obra LS'!G74="","",'Obra LS'!N74)</f>
        <v/>
      </c>
    </row>
    <row r="480" spans="1:6">
      <c r="A480" t="str">
        <f>IF('Obra LS'!G75="","","Obra LS")</f>
        <v/>
      </c>
      <c r="B480" t="str">
        <f>IF('Obra LS'!G75="","",'Obra LS'!G75)</f>
        <v/>
      </c>
      <c r="C480" t="str">
        <f>IF('Obra LS'!G75="","",'Obra LS'!I75)</f>
        <v/>
      </c>
      <c r="D480" t="str">
        <f>IF('Obra LS'!G75="","",'Obra LS'!L75)</f>
        <v/>
      </c>
      <c r="E480" t="str">
        <f>IF('Obra LS'!G75="","",'Obra LS'!M75)</f>
        <v/>
      </c>
      <c r="F480" t="str">
        <f>IF('Obra LS'!G75="","",'Obra LS'!N75)</f>
        <v/>
      </c>
    </row>
    <row r="481" spans="1:6">
      <c r="A481" t="str">
        <f>IF('Obra LS'!G76="","","Obra LS")</f>
        <v>Obra LS</v>
      </c>
      <c r="B481" t="str">
        <f>IF('Obra LS'!G76="","",'Obra LS'!G76)</f>
        <v>TOTAL</v>
      </c>
      <c r="C481">
        <f>IF('Obra LS'!G76="","",'Obra LS'!I76)</f>
        <v>0</v>
      </c>
      <c r="D481">
        <f>IF('Obra LS'!G76="","",'Obra LS'!L76)</f>
        <v>0</v>
      </c>
      <c r="E481">
        <f>IF('Obra LS'!G76="","",'Obra LS'!M76)</f>
        <v>0</v>
      </c>
      <c r="F481">
        <f>IF('Obra LS'!G76="","",'Obra LS'!N76)</f>
        <v>0</v>
      </c>
    </row>
    <row r="482" spans="1:6">
      <c r="A482" t="str">
        <f>IF('Obra LS'!G77="","","Obra LS")</f>
        <v/>
      </c>
      <c r="B482" t="str">
        <f>IF('Obra LS'!G77="","",'Obra LS'!G77)</f>
        <v/>
      </c>
      <c r="C482" t="str">
        <f>IF('Obra LS'!G77="","",'Obra LS'!I77)</f>
        <v/>
      </c>
      <c r="D482" t="str">
        <f>IF('Obra LS'!G77="","",'Obra LS'!L77)</f>
        <v/>
      </c>
      <c r="E482" t="str">
        <f>IF('Obra LS'!G77="","",'Obra LS'!M77)</f>
        <v/>
      </c>
      <c r="F482" t="str">
        <f>IF('Obra LS'!G77="","",'Obra LS'!N77)</f>
        <v/>
      </c>
    </row>
    <row r="483" spans="1:6">
      <c r="A483" t="str">
        <f>IF('Obra LS'!G78="","","Obra LS")</f>
        <v/>
      </c>
      <c r="B483" t="str">
        <f>IF('Obra LS'!G78="","",'Obra LS'!G78)</f>
        <v/>
      </c>
      <c r="C483" t="str">
        <f>IF('Obra LS'!G78="","",'Obra LS'!I78)</f>
        <v/>
      </c>
      <c r="D483" t="str">
        <f>IF('Obra LS'!G78="","",'Obra LS'!L78)</f>
        <v/>
      </c>
      <c r="E483" t="str">
        <f>IF('Obra LS'!G78="","",'Obra LS'!M78)</f>
        <v/>
      </c>
      <c r="F483" t="str">
        <f>IF('Obra LS'!G78="","",'Obra LS'!N78)</f>
        <v/>
      </c>
    </row>
    <row r="484" spans="1:6">
      <c r="A484" t="str">
        <f>IF('Obra LS'!G79="","","Obra LS")</f>
        <v/>
      </c>
      <c r="B484" t="str">
        <f>IF('Obra LS'!G79="","",'Obra LS'!G79)</f>
        <v/>
      </c>
      <c r="C484" t="str">
        <f>IF('Obra LS'!G79="","",'Obra LS'!I79)</f>
        <v/>
      </c>
      <c r="D484" t="str">
        <f>IF('Obra LS'!G79="","",'Obra LS'!L79)</f>
        <v/>
      </c>
      <c r="E484" t="str">
        <f>IF('Obra LS'!G79="","",'Obra LS'!M79)</f>
        <v/>
      </c>
      <c r="F484" t="str">
        <f>IF('Obra LS'!G79="","",'Obra LS'!N79)</f>
        <v/>
      </c>
    </row>
    <row r="485" spans="1:6">
      <c r="A485" t="str">
        <f>IF('Obra LS'!G80="","","Obra LS")</f>
        <v/>
      </c>
      <c r="B485" t="str">
        <f>IF('Obra LS'!G80="","",'Obra LS'!G80)</f>
        <v/>
      </c>
      <c r="C485" t="str">
        <f>IF('Obra LS'!G80="","",'Obra LS'!I80)</f>
        <v/>
      </c>
      <c r="D485" t="str">
        <f>IF('Obra LS'!G80="","",'Obra LS'!L80)</f>
        <v/>
      </c>
      <c r="E485" t="str">
        <f>IF('Obra LS'!G80="","",'Obra LS'!M80)</f>
        <v/>
      </c>
      <c r="F485" t="str">
        <f>IF('Obra LS'!G80="","",'Obra LS'!N80)</f>
        <v/>
      </c>
    </row>
    <row r="486" spans="1:6">
      <c r="A486" t="str">
        <f>IF('Obra LS'!G81="","","Obra LS")</f>
        <v/>
      </c>
      <c r="B486" t="str">
        <f>IF('Obra LS'!G81="","",'Obra LS'!G81)</f>
        <v/>
      </c>
      <c r="C486" t="str">
        <f>IF('Obra LS'!G81="","",'Obra LS'!I81)</f>
        <v/>
      </c>
      <c r="D486" t="str">
        <f>IF('Obra LS'!G81="","",'Obra LS'!L81)</f>
        <v/>
      </c>
      <c r="E486" t="str">
        <f>IF('Obra LS'!G81="","",'Obra LS'!M81)</f>
        <v/>
      </c>
      <c r="F486" t="str">
        <f>IF('Obra LS'!G81="","",'Obra LS'!N81)</f>
        <v/>
      </c>
    </row>
    <row r="487" spans="1:6">
      <c r="A487" t="str">
        <f>IF('Obra LS'!G82="","","Obra LS")</f>
        <v/>
      </c>
      <c r="B487" t="str">
        <f>IF('Obra LS'!G82="","",'Obra LS'!G82)</f>
        <v/>
      </c>
      <c r="C487" t="str">
        <f>IF('Obra LS'!G82="","",'Obra LS'!I82)</f>
        <v/>
      </c>
      <c r="D487" t="str">
        <f>IF('Obra LS'!G82="","",'Obra LS'!L82)</f>
        <v/>
      </c>
      <c r="E487" t="str">
        <f>IF('Obra LS'!G82="","",'Obra LS'!M82)</f>
        <v/>
      </c>
      <c r="F487" t="str">
        <f>IF('Obra LS'!G82="","",'Obra LS'!N82)</f>
        <v/>
      </c>
    </row>
    <row r="488" spans="1:6">
      <c r="A488" t="str">
        <f>IF('Obra LS'!G83="","","Obra LS")</f>
        <v/>
      </c>
      <c r="B488" t="str">
        <f>IF('Obra LS'!G83="","",'Obra LS'!G83)</f>
        <v/>
      </c>
      <c r="C488" t="str">
        <f>IF('Obra LS'!G83="","",'Obra LS'!I83)</f>
        <v/>
      </c>
      <c r="D488" t="str">
        <f>IF('Obra LS'!G83="","",'Obra LS'!L83)</f>
        <v/>
      </c>
      <c r="E488" t="str">
        <f>IF('Obra LS'!G83="","",'Obra LS'!M83)</f>
        <v/>
      </c>
      <c r="F488" t="str">
        <f>IF('Obra LS'!G83="","",'Obra LS'!N83)</f>
        <v/>
      </c>
    </row>
    <row r="489" spans="1:6">
      <c r="A489" t="str">
        <f>IF('Obra LS'!G84="","","Obra LS")</f>
        <v/>
      </c>
      <c r="B489" t="str">
        <f>IF('Obra LS'!G84="","",'Obra LS'!G84)</f>
        <v/>
      </c>
      <c r="C489" t="str">
        <f>IF('Obra LS'!G84="","",'Obra LS'!I84)</f>
        <v/>
      </c>
      <c r="D489" t="str">
        <f>IF('Obra LS'!G84="","",'Obra LS'!L84)</f>
        <v/>
      </c>
      <c r="E489" t="str">
        <f>IF('Obra LS'!G84="","",'Obra LS'!M84)</f>
        <v/>
      </c>
      <c r="F489" t="str">
        <f>IF('Obra LS'!G84="","",'Obra LS'!N84)</f>
        <v/>
      </c>
    </row>
    <row r="490" spans="1:6">
      <c r="A490" t="str">
        <f>IF('Obra Bauvek(NE)'!G10="","","Obra Bauvek(NE)")</f>
        <v>Obra Bauvek(NE)</v>
      </c>
      <c r="B490" t="str">
        <f>IF('Obra Bauvek(NE)'!G10="","",'Obra Bauvek(NE)'!G10)</f>
        <v>Flete Hugo Godoy</v>
      </c>
      <c r="C490">
        <f>IF('Obra Bauvek(NE)'!G10="","",'Obra Bauvek(NE)'!I10)</f>
        <v>50000</v>
      </c>
      <c r="D490" t="str">
        <f>IF('Obra Bauvek(NE)'!G10="","",'Obra Bauvek(NE)'!L10)</f>
        <v>Pagado</v>
      </c>
      <c r="E490">
        <f>IF('Obra Bauvek(NE)'!G10="","",'Obra Bauvek(NE)'!M10)</f>
        <v>0</v>
      </c>
      <c r="F490" t="str">
        <f>IF('Obra Bauvek(NE)'!G10="","",'Obra Bauvek(NE)'!N10)</f>
        <v>Recibido en obra</v>
      </c>
    </row>
    <row r="491" spans="1:6">
      <c r="A491" t="str">
        <f>IF('Obra Bauvek(NE)'!G11="","","Obra Bauvek(NE)")</f>
        <v/>
      </c>
      <c r="B491" t="str">
        <f>IF('Obra Bauvek(NE)'!G11="","",'Obra Bauvek(NE)'!G11)</f>
        <v/>
      </c>
      <c r="C491" t="str">
        <f>IF('Obra Bauvek(NE)'!G11="","",'Obra Bauvek(NE)'!I11)</f>
        <v/>
      </c>
      <c r="D491" t="str">
        <f>IF('Obra Bauvek(NE)'!G11="","",'Obra Bauvek(NE)'!L11)</f>
        <v/>
      </c>
      <c r="E491" t="str">
        <f>IF('Obra Bauvek(NE)'!G11="","",'Obra Bauvek(NE)'!M11)</f>
        <v/>
      </c>
      <c r="F491" t="str">
        <f>IF('Obra Bauvek(NE)'!G11="","",'Obra Bauvek(NE)'!N11)</f>
        <v/>
      </c>
    </row>
    <row r="492" spans="1:6">
      <c r="A492" t="str">
        <f>IF('Obra Bauvek(NE)'!G12="","","Obra Bauvek(NE)")</f>
        <v>Obra Bauvek(NE)</v>
      </c>
      <c r="B492" t="str">
        <f>IF('Obra Bauvek(NE)'!G12="","",'Obra Bauvek(NE)'!G12)</f>
        <v>Flete Hugo Godoy</v>
      </c>
      <c r="C492">
        <f>IF('Obra Bauvek(NE)'!G12="","",'Obra Bauvek(NE)'!I12)</f>
        <v>80000</v>
      </c>
      <c r="D492" t="str">
        <f>IF('Obra Bauvek(NE)'!G12="","",'Obra Bauvek(NE)'!L12)</f>
        <v>Pagado</v>
      </c>
      <c r="E492">
        <f>IF('Obra Bauvek(NE)'!G12="","",'Obra Bauvek(NE)'!M12)</f>
        <v>0</v>
      </c>
      <c r="F492" t="str">
        <f>IF('Obra Bauvek(NE)'!G12="","",'Obra Bauvek(NE)'!N12)</f>
        <v>Recibido en obra</v>
      </c>
    </row>
    <row r="493" spans="1:6">
      <c r="A493" t="str">
        <f>IF('Obra Bauvek(NE)'!G13="","","Obra Bauvek(NE)")</f>
        <v/>
      </c>
      <c r="B493" t="str">
        <f>IF('Obra Bauvek(NE)'!G13="","",'Obra Bauvek(NE)'!G13)</f>
        <v/>
      </c>
      <c r="C493" t="str">
        <f>IF('Obra Bauvek(NE)'!G13="","",'Obra Bauvek(NE)'!I13)</f>
        <v/>
      </c>
      <c r="D493" t="str">
        <f>IF('Obra Bauvek(NE)'!G13="","",'Obra Bauvek(NE)'!L13)</f>
        <v/>
      </c>
      <c r="E493" t="str">
        <f>IF('Obra Bauvek(NE)'!G13="","",'Obra Bauvek(NE)'!M13)</f>
        <v/>
      </c>
      <c r="F493" t="str">
        <f>IF('Obra Bauvek(NE)'!G13="","",'Obra Bauvek(NE)'!N13)</f>
        <v/>
      </c>
    </row>
    <row r="494" spans="1:6">
      <c r="A494" t="str">
        <f>IF('Obra Bauvek(NE)'!G14="","","Obra Bauvek(NE)")</f>
        <v/>
      </c>
      <c r="B494" t="str">
        <f>IF('Obra Bauvek(NE)'!G14="","",'Obra Bauvek(NE)'!G14)</f>
        <v/>
      </c>
      <c r="C494" t="str">
        <f>IF('Obra Bauvek(NE)'!G14="","",'Obra Bauvek(NE)'!I14)</f>
        <v/>
      </c>
      <c r="D494" t="str">
        <f>IF('Obra Bauvek(NE)'!G14="","",'Obra Bauvek(NE)'!L14)</f>
        <v/>
      </c>
      <c r="E494" t="str">
        <f>IF('Obra Bauvek(NE)'!G14="","",'Obra Bauvek(NE)'!M14)</f>
        <v/>
      </c>
      <c r="F494" t="str">
        <f>IF('Obra Bauvek(NE)'!G14="","",'Obra Bauvek(NE)'!N14)</f>
        <v/>
      </c>
    </row>
    <row r="495" spans="1:6">
      <c r="A495" t="str">
        <f>IF('Obra Bauvek(NE)'!G15="","","Obra Bauvek(NE)")</f>
        <v>Obra Bauvek(NE)</v>
      </c>
      <c r="B495" t="str">
        <f>IF('Obra Bauvek(NE)'!G15="","",'Obra Bauvek(NE)'!G15)</f>
        <v>Mendio SA</v>
      </c>
      <c r="C495">
        <f>IF('Obra Bauvek(NE)'!G15="","",'Obra Bauvek(NE)'!I15)</f>
        <v>101642.26</v>
      </c>
      <c r="D495" t="str">
        <f>IF('Obra Bauvek(NE)'!G15="","",'Obra Bauvek(NE)'!L15)</f>
        <v>Pagado</v>
      </c>
      <c r="E495">
        <f>IF('Obra Bauvek(NE)'!G15="","",'Obra Bauvek(NE)'!M15)</f>
        <v>0</v>
      </c>
      <c r="F495">
        <f>IF('Obra Bauvek(NE)'!G15="","",'Obra Bauvek(NE)'!N15)</f>
        <v>0</v>
      </c>
    </row>
    <row r="496" spans="1:6">
      <c r="A496" t="str">
        <f>IF('Obra Bauvek(NE)'!G16="","","Obra Bauvek(NE)")</f>
        <v/>
      </c>
      <c r="B496" t="str">
        <f>IF('Obra Bauvek(NE)'!G16="","",'Obra Bauvek(NE)'!G16)</f>
        <v/>
      </c>
      <c r="C496" t="str">
        <f>IF('Obra Bauvek(NE)'!G16="","",'Obra Bauvek(NE)'!I16)</f>
        <v/>
      </c>
      <c r="D496" t="str">
        <f>IF('Obra Bauvek(NE)'!G16="","",'Obra Bauvek(NE)'!L16)</f>
        <v/>
      </c>
      <c r="E496" t="str">
        <f>IF('Obra Bauvek(NE)'!G16="","",'Obra Bauvek(NE)'!M16)</f>
        <v/>
      </c>
      <c r="F496" t="str">
        <f>IF('Obra Bauvek(NE)'!G16="","",'Obra Bauvek(NE)'!N16)</f>
        <v/>
      </c>
    </row>
    <row r="497" spans="1:6">
      <c r="A497" t="str">
        <f>IF('Obra Bauvek(NE)'!G17="","","Obra Bauvek(NE)")</f>
        <v/>
      </c>
      <c r="B497" t="str">
        <f>IF('Obra Bauvek(NE)'!G17="","",'Obra Bauvek(NE)'!G17)</f>
        <v/>
      </c>
      <c r="C497" t="str">
        <f>IF('Obra Bauvek(NE)'!G17="","",'Obra Bauvek(NE)'!I17)</f>
        <v/>
      </c>
      <c r="D497" t="str">
        <f>IF('Obra Bauvek(NE)'!G17="","",'Obra Bauvek(NE)'!L17)</f>
        <v/>
      </c>
      <c r="E497" t="str">
        <f>IF('Obra Bauvek(NE)'!G17="","",'Obra Bauvek(NE)'!M17)</f>
        <v/>
      </c>
      <c r="F497" t="str">
        <f>IF('Obra Bauvek(NE)'!G17="","",'Obra Bauvek(NE)'!N17)</f>
        <v/>
      </c>
    </row>
    <row r="498" spans="1:6">
      <c r="A498" t="str">
        <f>IF('Obra Bauvek(NE)'!G18="","","Obra Bauvek(NE)")</f>
        <v/>
      </c>
      <c r="B498" t="str">
        <f>IF('Obra Bauvek(NE)'!G18="","",'Obra Bauvek(NE)'!G18)</f>
        <v/>
      </c>
      <c r="C498" t="str">
        <f>IF('Obra Bauvek(NE)'!G18="","",'Obra Bauvek(NE)'!I18)</f>
        <v/>
      </c>
      <c r="D498" t="str">
        <f>IF('Obra Bauvek(NE)'!G18="","",'Obra Bauvek(NE)'!L18)</f>
        <v/>
      </c>
      <c r="E498" t="str">
        <f>IF('Obra Bauvek(NE)'!G18="","",'Obra Bauvek(NE)'!M18)</f>
        <v/>
      </c>
      <c r="F498" t="str">
        <f>IF('Obra Bauvek(NE)'!G18="","",'Obra Bauvek(NE)'!N18)</f>
        <v/>
      </c>
    </row>
    <row r="499" spans="1:6">
      <c r="A499" t="str">
        <f>IF('Obra Bauvek(NE)'!G19="","","Obra Bauvek(NE)")</f>
        <v/>
      </c>
      <c r="B499" t="str">
        <f>IF('Obra Bauvek(NE)'!G19="","",'Obra Bauvek(NE)'!G19)</f>
        <v/>
      </c>
      <c r="C499" t="str">
        <f>IF('Obra Bauvek(NE)'!G19="","",'Obra Bauvek(NE)'!I19)</f>
        <v/>
      </c>
      <c r="D499" t="str">
        <f>IF('Obra Bauvek(NE)'!G19="","",'Obra Bauvek(NE)'!L19)</f>
        <v/>
      </c>
      <c r="E499" t="str">
        <f>IF('Obra Bauvek(NE)'!G19="","",'Obra Bauvek(NE)'!M19)</f>
        <v/>
      </c>
      <c r="F499" t="str">
        <f>IF('Obra Bauvek(NE)'!G19="","",'Obra Bauvek(NE)'!N19)</f>
        <v/>
      </c>
    </row>
    <row r="500" spans="1:6">
      <c r="A500" t="str">
        <f>IF('Obra Bauvek(NE)'!G20="","","Obra Bauvek(NE)")</f>
        <v>Obra Bauvek(NE)</v>
      </c>
      <c r="B500" t="str">
        <f>IF('Obra Bauvek(NE)'!G20="","",'Obra Bauvek(NE)'!G20)</f>
        <v>Jack SRL</v>
      </c>
      <c r="C500">
        <f>IF('Obra Bauvek(NE)'!G20="","",'Obra Bauvek(NE)'!I20)</f>
        <v>116099.45</v>
      </c>
      <c r="D500" t="str">
        <f>IF('Obra Bauvek(NE)'!G20="","",'Obra Bauvek(NE)'!L20)</f>
        <v>Pagado</v>
      </c>
      <c r="E500">
        <f>IF('Obra Bauvek(NE)'!G20="","",'Obra Bauvek(NE)'!M20)</f>
        <v>0</v>
      </c>
      <c r="F500" t="str">
        <f>IF('Obra Bauvek(NE)'!G20="","",'Obra Bauvek(NE)'!N20)</f>
        <v>Recibido en obra</v>
      </c>
    </row>
    <row r="501" spans="1:6">
      <c r="A501" t="e">
        <f>IF('Obra Bauvek(NE)'!#REF!="","","Obra Bauvek(NE)")</f>
        <v>#REF!</v>
      </c>
      <c r="B501" t="e">
        <f>IF('Obra Bauvek(NE)'!#REF!="","",'Obra Bauvek(NE)'!#REF!)</f>
        <v>#REF!</v>
      </c>
      <c r="C501" t="e">
        <f>IF('Obra Bauvek(NE)'!#REF!="","",'Obra Bauvek(NE)'!#REF!)</f>
        <v>#REF!</v>
      </c>
      <c r="D501" t="e">
        <f>IF('Obra Bauvek(NE)'!#REF!="","",'Obra Bauvek(NE)'!#REF!)</f>
        <v>#REF!</v>
      </c>
      <c r="E501" t="e">
        <f>IF('Obra Bauvek(NE)'!#REF!="","",'Obra Bauvek(NE)'!#REF!)</f>
        <v>#REF!</v>
      </c>
      <c r="F501" t="e">
        <f>IF('Obra Bauvek(NE)'!#REF!="","",'Obra Bauvek(NE)'!#REF!)</f>
        <v>#REF!</v>
      </c>
    </row>
    <row r="502" spans="1:6">
      <c r="A502" t="e">
        <f>IF('Obra Bauvek(NE)'!#REF!="","","Obra Bauvek(NE)")</f>
        <v>#REF!</v>
      </c>
      <c r="B502" t="e">
        <f>IF('Obra Bauvek(NE)'!#REF!="","",'Obra Bauvek(NE)'!#REF!)</f>
        <v>#REF!</v>
      </c>
      <c r="C502" t="e">
        <f>IF('Obra Bauvek(NE)'!#REF!="","",'Obra Bauvek(NE)'!#REF!)</f>
        <v>#REF!</v>
      </c>
      <c r="D502" t="e">
        <f>IF('Obra Bauvek(NE)'!#REF!="","",'Obra Bauvek(NE)'!#REF!)</f>
        <v>#REF!</v>
      </c>
      <c r="E502" t="e">
        <f>IF('Obra Bauvek(NE)'!#REF!="","",'Obra Bauvek(NE)'!#REF!)</f>
        <v>#REF!</v>
      </c>
      <c r="F502" t="e">
        <f>IF('Obra Bauvek(NE)'!#REF!="","",'Obra Bauvek(NE)'!#REF!)</f>
        <v>#REF!</v>
      </c>
    </row>
    <row r="503" spans="1:6">
      <c r="A503" t="str">
        <f>IF('Obra Bauvek(NE)'!G21="","","Obra Bauvek(NE)")</f>
        <v/>
      </c>
      <c r="B503" t="str">
        <f>IF('Obra Bauvek(NE)'!G21="","",'Obra Bauvek(NE)'!G21)</f>
        <v/>
      </c>
      <c r="C503" t="str">
        <f>IF('Obra Bauvek(NE)'!G21="","",'Obra Bauvek(NE)'!I21)</f>
        <v/>
      </c>
      <c r="D503" t="str">
        <f>IF('Obra Bauvek(NE)'!G21="","",'Obra Bauvek(NE)'!L21)</f>
        <v/>
      </c>
      <c r="E503" t="str">
        <f>IF('Obra Bauvek(NE)'!G21="","",'Obra Bauvek(NE)'!M21)</f>
        <v/>
      </c>
      <c r="F503" t="str">
        <f>IF('Obra Bauvek(NE)'!G21="","",'Obra Bauvek(NE)'!N21)</f>
        <v/>
      </c>
    </row>
    <row r="504" spans="1:6">
      <c r="A504" t="e">
        <f>IF('Obra Bauvek(NE)'!#REF!="","","Obra Bauvek(NE)")</f>
        <v>#REF!</v>
      </c>
      <c r="B504" t="e">
        <f>IF('Obra Bauvek(NE)'!#REF!="","",'Obra Bauvek(NE)'!#REF!)</f>
        <v>#REF!</v>
      </c>
      <c r="C504" t="e">
        <f>IF('Obra Bauvek(NE)'!#REF!="","",'Obra Bauvek(NE)'!#REF!)</f>
        <v>#REF!</v>
      </c>
      <c r="D504" t="e">
        <f>IF('Obra Bauvek(NE)'!#REF!="","",'Obra Bauvek(NE)'!#REF!)</f>
        <v>#REF!</v>
      </c>
      <c r="E504" t="e">
        <f>IF('Obra Bauvek(NE)'!#REF!="","",'Obra Bauvek(NE)'!#REF!)</f>
        <v>#REF!</v>
      </c>
      <c r="F504" t="e">
        <f>IF('Obra Bauvek(NE)'!#REF!="","",'Obra Bauvek(NE)'!#REF!)</f>
        <v>#REF!</v>
      </c>
    </row>
    <row r="505" spans="1:6">
      <c r="A505" t="e">
        <f>IF('Obra Bauvek(NE)'!#REF!="","","Obra Bauvek(NE)")</f>
        <v>#REF!</v>
      </c>
      <c r="B505" t="e">
        <f>IF('Obra Bauvek(NE)'!#REF!="","",'Obra Bauvek(NE)'!#REF!)</f>
        <v>#REF!</v>
      </c>
      <c r="C505" t="e">
        <f>IF('Obra Bauvek(NE)'!#REF!="","",'Obra Bauvek(NE)'!#REF!)</f>
        <v>#REF!</v>
      </c>
      <c r="D505" t="e">
        <f>IF('Obra Bauvek(NE)'!#REF!="","",'Obra Bauvek(NE)'!#REF!)</f>
        <v>#REF!</v>
      </c>
      <c r="E505" t="e">
        <f>IF('Obra Bauvek(NE)'!#REF!="","",'Obra Bauvek(NE)'!#REF!)</f>
        <v>#REF!</v>
      </c>
      <c r="F505" t="e">
        <f>IF('Obra Bauvek(NE)'!#REF!="","",'Obra Bauvek(NE)'!#REF!)</f>
        <v>#REF!</v>
      </c>
    </row>
    <row r="506" spans="1:6">
      <c r="A506" t="e">
        <f>IF('Obra Bauvek(NE)'!#REF!="","","Obra Bauvek(NE)")</f>
        <v>#REF!</v>
      </c>
      <c r="B506" t="e">
        <f>IF('Obra Bauvek(NE)'!#REF!="","",'Obra Bauvek(NE)'!#REF!)</f>
        <v>#REF!</v>
      </c>
      <c r="C506" t="e">
        <f>IF('Obra Bauvek(NE)'!#REF!="","",'Obra Bauvek(NE)'!#REF!)</f>
        <v>#REF!</v>
      </c>
      <c r="D506" t="e">
        <f>IF('Obra Bauvek(NE)'!#REF!="","",'Obra Bauvek(NE)'!#REF!)</f>
        <v>#REF!</v>
      </c>
      <c r="E506" t="e">
        <f>IF('Obra Bauvek(NE)'!#REF!="","",'Obra Bauvek(NE)'!#REF!)</f>
        <v>#REF!</v>
      </c>
      <c r="F506" t="e">
        <f>IF('Obra Bauvek(NE)'!#REF!="","",'Obra Bauvek(NE)'!#REF!)</f>
        <v>#REF!</v>
      </c>
    </row>
    <row r="507" spans="1:6">
      <c r="A507" t="str">
        <f>IF('Obra Bauvek(NE)'!G22="","","Obra Bauvek(NE)")</f>
        <v/>
      </c>
      <c r="B507" t="str">
        <f>IF('Obra Bauvek(NE)'!G22="","",'Obra Bauvek(NE)'!G22)</f>
        <v/>
      </c>
      <c r="C507" t="str">
        <f>IF('Obra Bauvek(NE)'!G22="","",'Obra Bauvek(NE)'!I22)</f>
        <v/>
      </c>
      <c r="D507" t="str">
        <f>IF('Obra Bauvek(NE)'!G22="","",'Obra Bauvek(NE)'!L22)</f>
        <v/>
      </c>
      <c r="E507" t="str">
        <f>IF('Obra Bauvek(NE)'!G22="","",'Obra Bauvek(NE)'!M22)</f>
        <v/>
      </c>
      <c r="F507" t="str">
        <f>IF('Obra Bauvek(NE)'!G22="","",'Obra Bauvek(NE)'!N22)</f>
        <v/>
      </c>
    </row>
    <row r="508" spans="1:6">
      <c r="A508" t="str">
        <f>IF('Obra Bauvek(NE)'!G23="","","Obra Bauvek(NE)")</f>
        <v/>
      </c>
      <c r="B508" t="str">
        <f>IF('Obra Bauvek(NE)'!G23="","",'Obra Bauvek(NE)'!G23)</f>
        <v/>
      </c>
      <c r="C508" t="str">
        <f>IF('Obra Bauvek(NE)'!G23="","",'Obra Bauvek(NE)'!I23)</f>
        <v/>
      </c>
      <c r="D508" t="str">
        <f>IF('Obra Bauvek(NE)'!G23="","",'Obra Bauvek(NE)'!L23)</f>
        <v/>
      </c>
      <c r="E508" t="str">
        <f>IF('Obra Bauvek(NE)'!G23="","",'Obra Bauvek(NE)'!M23)</f>
        <v/>
      </c>
      <c r="F508" t="str">
        <f>IF('Obra Bauvek(NE)'!G23="","",'Obra Bauvek(NE)'!N23)</f>
        <v/>
      </c>
    </row>
    <row r="509" spans="1:6">
      <c r="A509" t="str">
        <f>IF('Obra Bauvek(NE)'!G25="","","Obra Bauvek(NE)")</f>
        <v/>
      </c>
      <c r="B509" t="str">
        <f>IF('Obra Bauvek(NE)'!G25="","",'Obra Bauvek(NE)'!G25)</f>
        <v/>
      </c>
      <c r="C509" t="str">
        <f>IF('Obra Bauvek(NE)'!G25="","",'Obra Bauvek(NE)'!I25)</f>
        <v/>
      </c>
      <c r="D509" t="str">
        <f>IF('Obra Bauvek(NE)'!G25="","",'Obra Bauvek(NE)'!L25)</f>
        <v/>
      </c>
      <c r="E509" t="str">
        <f>IF('Obra Bauvek(NE)'!G25="","",'Obra Bauvek(NE)'!M25)</f>
        <v/>
      </c>
      <c r="F509" t="str">
        <f>IF('Obra Bauvek(NE)'!G25="","",'Obra Bauvek(NE)'!N25)</f>
        <v/>
      </c>
    </row>
    <row r="510" spans="1:6">
      <c r="A510" t="str">
        <f>IF('Obra Bauvek(NE)'!G26="","","Obra Bauvek(NE)")</f>
        <v>Obra Bauvek(NE)</v>
      </c>
      <c r="B510" t="str">
        <f>IF('Obra Bauvek(NE)'!G26="","",'Obra Bauvek(NE)'!G26)</f>
        <v>Jack SRL</v>
      </c>
      <c r="C510">
        <f>IF('Obra Bauvek(NE)'!G26="","",'Obra Bauvek(NE)'!I26)</f>
        <v>73239.490000000005</v>
      </c>
      <c r="D510" t="str">
        <f>IF('Obra Bauvek(NE)'!G26="","",'Obra Bauvek(NE)'!L26)</f>
        <v>No Pagado</v>
      </c>
      <c r="E510" t="str">
        <f>IF('Obra Bauvek(NE)'!G26="","",'Obra Bauvek(NE)'!M26)</f>
        <v>No Pagado</v>
      </c>
      <c r="F510" t="str">
        <f>IF('Obra Bauvek(NE)'!G26="","",'Obra Bauvek(NE)'!N26)</f>
        <v>Recibido en obra</v>
      </c>
    </row>
    <row r="511" spans="1:6">
      <c r="A511" t="str">
        <f>IF('Obra Bauvek(NE)'!G27="","","Obra Bauvek(NE)")</f>
        <v>Obra Bauvek(NE)</v>
      </c>
      <c r="B511" t="str">
        <f>IF('Obra Bauvek(NE)'!G27="","",'Obra Bauvek(NE)'!G27)</f>
        <v>Jack SRL</v>
      </c>
      <c r="C511">
        <f>IF('Obra Bauvek(NE)'!G27="","",'Obra Bauvek(NE)'!I27)</f>
        <v>17011.05</v>
      </c>
      <c r="D511" t="str">
        <f>IF('Obra Bauvek(NE)'!G27="","",'Obra Bauvek(NE)'!L27)</f>
        <v>No Pagado</v>
      </c>
      <c r="E511" t="str">
        <f>IF('Obra Bauvek(NE)'!G27="","",'Obra Bauvek(NE)'!M27)</f>
        <v>No Pagado</v>
      </c>
      <c r="F511" t="str">
        <f>IF('Obra Bauvek(NE)'!G27="","",'Obra Bauvek(NE)'!N27)</f>
        <v>Recibido en obra</v>
      </c>
    </row>
    <row r="512" spans="1:6">
      <c r="A512" t="e">
        <f>IF('Obra Bauvek(NE)'!#REF!="","","Obra Bauvek(NE)")</f>
        <v>#REF!</v>
      </c>
      <c r="B512" t="e">
        <f>IF('Obra Bauvek(NE)'!#REF!="","",'Obra Bauvek(NE)'!#REF!)</f>
        <v>#REF!</v>
      </c>
      <c r="C512" t="e">
        <f>IF('Obra Bauvek(NE)'!#REF!="","",'Obra Bauvek(NE)'!#REF!)</f>
        <v>#REF!</v>
      </c>
      <c r="D512" t="e">
        <f>IF('Obra Bauvek(NE)'!#REF!="","",'Obra Bauvek(NE)'!#REF!)</f>
        <v>#REF!</v>
      </c>
      <c r="E512" t="e">
        <f>IF('Obra Bauvek(NE)'!#REF!="","",'Obra Bauvek(NE)'!#REF!)</f>
        <v>#REF!</v>
      </c>
      <c r="F512" t="e">
        <f>IF('Obra Bauvek(NE)'!#REF!="","",'Obra Bauvek(NE)'!#REF!)</f>
        <v>#REF!</v>
      </c>
    </row>
    <row r="513" spans="1:6">
      <c r="A513" t="str">
        <f>IF('Obra Bauvek(NE)'!G29="","","Obra Bauvek(NE)")</f>
        <v/>
      </c>
      <c r="B513" t="str">
        <f>IF('Obra Bauvek(NE)'!G29="","",'Obra Bauvek(NE)'!G29)</f>
        <v/>
      </c>
      <c r="C513" t="str">
        <f>IF('Obra Bauvek(NE)'!G29="","",'Obra Bauvek(NE)'!I29)</f>
        <v/>
      </c>
      <c r="D513" t="str">
        <f>IF('Obra Bauvek(NE)'!G29="","",'Obra Bauvek(NE)'!L29)</f>
        <v/>
      </c>
      <c r="E513" t="str">
        <f>IF('Obra Bauvek(NE)'!G29="","",'Obra Bauvek(NE)'!M29)</f>
        <v/>
      </c>
      <c r="F513" t="str">
        <f>IF('Obra Bauvek(NE)'!G29="","",'Obra Bauvek(NE)'!N29)</f>
        <v/>
      </c>
    </row>
    <row r="514" spans="1:6">
      <c r="A514" t="str">
        <f>IF('Obra Bauvek(NE)'!G30="","","Obra Bauvek(NE)")</f>
        <v>Obra Bauvek(NE)</v>
      </c>
      <c r="B514" t="str">
        <f>IF('Obra Bauvek(NE)'!G30="","",'Obra Bauvek(NE)'!G30)</f>
        <v>Feyro</v>
      </c>
      <c r="C514">
        <f>IF('Obra Bauvek(NE)'!G30="","",'Obra Bauvek(NE)'!I30)</f>
        <v>116243.41</v>
      </c>
      <c r="D514" t="str">
        <f>IF('Obra Bauvek(NE)'!G30="","",'Obra Bauvek(NE)'!L30)</f>
        <v>No Pagado</v>
      </c>
      <c r="E514" t="str">
        <f>IF('Obra Bauvek(NE)'!G30="","",'Obra Bauvek(NE)'!M30)</f>
        <v>No Pagado</v>
      </c>
      <c r="F514" t="str">
        <f>IF('Obra Bauvek(NE)'!G30="","",'Obra Bauvek(NE)'!N30)</f>
        <v>Recibido en obra</v>
      </c>
    </row>
    <row r="515" spans="1:6">
      <c r="A515" t="str">
        <f>IF('Obra Bauvek(NE)'!G31="","","Obra Bauvek(NE)")</f>
        <v/>
      </c>
      <c r="B515" t="str">
        <f>IF('Obra Bauvek(NE)'!G31="","",'Obra Bauvek(NE)'!G31)</f>
        <v/>
      </c>
      <c r="C515" t="str">
        <f>IF('Obra Bauvek(NE)'!G31="","",'Obra Bauvek(NE)'!I31)</f>
        <v/>
      </c>
      <c r="D515" t="str">
        <f>IF('Obra Bauvek(NE)'!G31="","",'Obra Bauvek(NE)'!L31)</f>
        <v/>
      </c>
      <c r="E515" t="str">
        <f>IF('Obra Bauvek(NE)'!G31="","",'Obra Bauvek(NE)'!M31)</f>
        <v/>
      </c>
      <c r="F515" t="str">
        <f>IF('Obra Bauvek(NE)'!G31="","",'Obra Bauvek(NE)'!N31)</f>
        <v/>
      </c>
    </row>
    <row r="516" spans="1:6">
      <c r="A516" t="str">
        <f>IF('Obra Bauvek(NE)'!G32="","","Obra Bauvek(NE)")</f>
        <v/>
      </c>
      <c r="B516" t="str">
        <f>IF('Obra Bauvek(NE)'!G32="","",'Obra Bauvek(NE)'!G32)</f>
        <v/>
      </c>
      <c r="C516" t="str">
        <f>IF('Obra Bauvek(NE)'!G32="","",'Obra Bauvek(NE)'!I32)</f>
        <v/>
      </c>
      <c r="D516" t="str">
        <f>IF('Obra Bauvek(NE)'!G32="","",'Obra Bauvek(NE)'!L32)</f>
        <v/>
      </c>
      <c r="E516" t="str">
        <f>IF('Obra Bauvek(NE)'!G32="","",'Obra Bauvek(NE)'!M32)</f>
        <v/>
      </c>
      <c r="F516" t="str">
        <f>IF('Obra Bauvek(NE)'!G32="","",'Obra Bauvek(NE)'!N32)</f>
        <v/>
      </c>
    </row>
    <row r="517" spans="1:6">
      <c r="A517" t="e">
        <f>IF('Obra Bauvek(NE)'!#REF!="","","Obra Bauvek(NE)")</f>
        <v>#REF!</v>
      </c>
      <c r="B517" t="e">
        <f>IF('Obra Bauvek(NE)'!#REF!="","",'Obra Bauvek(NE)'!#REF!)</f>
        <v>#REF!</v>
      </c>
      <c r="C517" t="e">
        <f>IF('Obra Bauvek(NE)'!#REF!="","",'Obra Bauvek(NE)'!#REF!)</f>
        <v>#REF!</v>
      </c>
      <c r="D517" t="e">
        <f>IF('Obra Bauvek(NE)'!#REF!="","",'Obra Bauvek(NE)'!#REF!)</f>
        <v>#REF!</v>
      </c>
      <c r="E517" t="e">
        <f>IF('Obra Bauvek(NE)'!#REF!="","",'Obra Bauvek(NE)'!#REF!)</f>
        <v>#REF!</v>
      </c>
      <c r="F517" t="e">
        <f>IF('Obra Bauvek(NE)'!#REF!="","",'Obra Bauvek(NE)'!#REF!)</f>
        <v>#REF!</v>
      </c>
    </row>
    <row r="518" spans="1:6">
      <c r="A518" t="e">
        <f>IF('Obra Bauvek(NE)'!#REF!="","","Obra Bauvek(NE)")</f>
        <v>#REF!</v>
      </c>
      <c r="B518" t="e">
        <f>IF('Obra Bauvek(NE)'!#REF!="","",'Obra Bauvek(NE)'!#REF!)</f>
        <v>#REF!</v>
      </c>
      <c r="C518" t="e">
        <f>IF('Obra Bauvek(NE)'!#REF!="","",'Obra Bauvek(NE)'!#REF!)</f>
        <v>#REF!</v>
      </c>
      <c r="D518" t="e">
        <f>IF('Obra Bauvek(NE)'!#REF!="","",'Obra Bauvek(NE)'!#REF!)</f>
        <v>#REF!</v>
      </c>
      <c r="E518" t="e">
        <f>IF('Obra Bauvek(NE)'!#REF!="","",'Obra Bauvek(NE)'!#REF!)</f>
        <v>#REF!</v>
      </c>
      <c r="F518" t="e">
        <f>IF('Obra Bauvek(NE)'!#REF!="","",'Obra Bauvek(NE)'!#REF!)</f>
        <v>#REF!</v>
      </c>
    </row>
    <row r="519" spans="1:6">
      <c r="A519" t="str">
        <f>IF('Obra Bauvek(NE)'!G38="","","Obra Bauvek(NE)")</f>
        <v/>
      </c>
      <c r="B519" t="str">
        <f>IF('Obra Bauvek(NE)'!G38="","",'Obra Bauvek(NE)'!G38)</f>
        <v/>
      </c>
      <c r="C519" t="str">
        <f>IF('Obra Bauvek(NE)'!G38="","",'Obra Bauvek(NE)'!I38)</f>
        <v/>
      </c>
      <c r="D519" t="str">
        <f>IF('Obra Bauvek(NE)'!G38="","",'Obra Bauvek(NE)'!L38)</f>
        <v/>
      </c>
      <c r="E519" t="str">
        <f>IF('Obra Bauvek(NE)'!G38="","",'Obra Bauvek(NE)'!M38)</f>
        <v/>
      </c>
      <c r="F519" t="str">
        <f>IF('Obra Bauvek(NE)'!G38="","",'Obra Bauvek(NE)'!N38)</f>
        <v/>
      </c>
    </row>
    <row r="520" spans="1:6">
      <c r="A520" t="str">
        <f>IF('Obra Bauvek(NE)'!G39="","","Obra Bauvek(NE)")</f>
        <v>Obra Bauvek(NE)</v>
      </c>
      <c r="B520" t="str">
        <f>IF('Obra Bauvek(NE)'!G39="","",'Obra Bauvek(NE)'!G39)</f>
        <v>Garin</v>
      </c>
      <c r="C520">
        <f>IF('Obra Bauvek(NE)'!G39="","",'Obra Bauvek(NE)'!I39)</f>
        <v>293515.55</v>
      </c>
      <c r="D520" t="str">
        <f>IF('Obra Bauvek(NE)'!G39="","",'Obra Bauvek(NE)'!L39)</f>
        <v>No Pagado</v>
      </c>
      <c r="E520" t="str">
        <f>IF('Obra Bauvek(NE)'!G39="","",'Obra Bauvek(NE)'!M39)</f>
        <v>No Pagado</v>
      </c>
      <c r="F520" t="str">
        <f>IF('Obra Bauvek(NE)'!G39="","",'Obra Bauvek(NE)'!N39)</f>
        <v>Recibido en obra</v>
      </c>
    </row>
    <row r="521" spans="1:6">
      <c r="A521" t="str">
        <f>IF('Obra Bauvek(NE)'!G57="","","Obra Bauvek(NE)")</f>
        <v/>
      </c>
      <c r="B521" t="str">
        <f>IF('Obra Bauvek(NE)'!G57="","",'Obra Bauvek(NE)'!G57)</f>
        <v/>
      </c>
      <c r="C521" t="str">
        <f>IF('Obra Bauvek(NE)'!G57="","",'Obra Bauvek(NE)'!I57)</f>
        <v/>
      </c>
      <c r="D521" t="str">
        <f>IF('Obra Bauvek(NE)'!G57="","",'Obra Bauvek(NE)'!L57)</f>
        <v/>
      </c>
      <c r="E521" t="str">
        <f>IF('Obra Bauvek(NE)'!G57="","",'Obra Bauvek(NE)'!M57)</f>
        <v/>
      </c>
      <c r="F521" t="str">
        <f>IF('Obra Bauvek(NE)'!G57="","",'Obra Bauvek(NE)'!N57)</f>
        <v/>
      </c>
    </row>
    <row r="522" spans="1:6">
      <c r="A522" t="str">
        <f>IF('Obra Bauvek(NE)'!G58="","","Obra Bauvek(NE)")</f>
        <v/>
      </c>
      <c r="B522" t="str">
        <f>IF('Obra Bauvek(NE)'!G58="","",'Obra Bauvek(NE)'!G58)</f>
        <v/>
      </c>
      <c r="C522" t="str">
        <f>IF('Obra Bauvek(NE)'!G58="","",'Obra Bauvek(NE)'!I58)</f>
        <v/>
      </c>
      <c r="D522" t="str">
        <f>IF('Obra Bauvek(NE)'!G58="","",'Obra Bauvek(NE)'!L58)</f>
        <v/>
      </c>
      <c r="E522" t="str">
        <f>IF('Obra Bauvek(NE)'!G58="","",'Obra Bauvek(NE)'!M58)</f>
        <v/>
      </c>
      <c r="F522" t="str">
        <f>IF('Obra Bauvek(NE)'!G58="","",'Obra Bauvek(NE)'!N58)</f>
        <v/>
      </c>
    </row>
    <row r="523" spans="1:6">
      <c r="A523" t="str">
        <f>IF('Obra Bauvek(NE)'!H59="","","Obra Bauvek(NE)")</f>
        <v>Obra Bauvek(NE)</v>
      </c>
      <c r="B523" t="str">
        <f>IF('Obra Bauvek(NE)'!H59="","",'Obra Bauvek(NE)'!H59)</f>
        <v>TOTAL</v>
      </c>
      <c r="C523" t="e">
        <f>IF('Obra Bauvek(NE)'!H59="","",'Obra Bauvek(NE)'!#REF!)</f>
        <v>#REF!</v>
      </c>
      <c r="D523">
        <f>IF('Obra Bauvek(NE)'!H59="","",'Obra Bauvek(NE)'!L59)</f>
        <v>0</v>
      </c>
      <c r="E523">
        <f>IF('Obra Bauvek(NE)'!H59="","",'Obra Bauvek(NE)'!M59)</f>
        <v>0</v>
      </c>
      <c r="F523">
        <f>IF('Obra Bauvek(NE)'!H59="","",'Obra Bauvek(NE)'!N59)</f>
        <v>0</v>
      </c>
    </row>
    <row r="524" spans="1:6">
      <c r="A524" t="str">
        <f>IF('Obra Bauvek(NE)'!G60="","","Obra Bauvek(NE)")</f>
        <v/>
      </c>
      <c r="B524" t="str">
        <f>IF('Obra Bauvek(NE)'!G60="","",'Obra Bauvek(NE)'!G60)</f>
        <v/>
      </c>
      <c r="C524" t="str">
        <f>IF('Obra Bauvek(NE)'!G60="","",'Obra Bauvek(NE)'!I60)</f>
        <v/>
      </c>
      <c r="D524" t="str">
        <f>IF('Obra Bauvek(NE)'!G60="","",'Obra Bauvek(NE)'!L60)</f>
        <v/>
      </c>
      <c r="E524" t="str">
        <f>IF('Obra Bauvek(NE)'!G60="","",'Obra Bauvek(NE)'!M60)</f>
        <v/>
      </c>
      <c r="F524" t="str">
        <f>IF('Obra Bauvek(NE)'!G60="","",'Obra Bauvek(NE)'!N60)</f>
        <v/>
      </c>
    </row>
    <row r="525" spans="1:6">
      <c r="A525" t="str">
        <f>IF('Obra Bauvek(NE)'!G61="","","Obra Bauvek(NE)")</f>
        <v/>
      </c>
      <c r="B525" t="str">
        <f>IF('Obra Bauvek(NE)'!G61="","",'Obra Bauvek(NE)'!G61)</f>
        <v/>
      </c>
      <c r="C525" t="str">
        <f>IF('Obra Bauvek(NE)'!G61="","",'Obra Bauvek(NE)'!I61)</f>
        <v/>
      </c>
      <c r="D525" t="str">
        <f>IF('Obra Bauvek(NE)'!G61="","",'Obra Bauvek(NE)'!L61)</f>
        <v/>
      </c>
      <c r="E525" t="str">
        <f>IF('Obra Bauvek(NE)'!G61="","",'Obra Bauvek(NE)'!M61)</f>
        <v/>
      </c>
      <c r="F525" t="str">
        <f>IF('Obra Bauvek(NE)'!G61="","",'Obra Bauvek(NE)'!N61)</f>
        <v/>
      </c>
    </row>
    <row r="526" spans="1:6">
      <c r="A526" t="str">
        <f>IF('Obra Bauvek(NE)'!G62="","","Obra Bauvek(NE)")</f>
        <v/>
      </c>
      <c r="B526" t="str">
        <f>IF('Obra Bauvek(NE)'!G62="","",'Obra Bauvek(NE)'!G62)</f>
        <v/>
      </c>
      <c r="C526" t="str">
        <f>IF('Obra Bauvek(NE)'!G62="","",'Obra Bauvek(NE)'!I62)</f>
        <v/>
      </c>
      <c r="D526" t="str">
        <f>IF('Obra Bauvek(NE)'!G62="","",'Obra Bauvek(NE)'!L62)</f>
        <v/>
      </c>
      <c r="E526" t="str">
        <f>IF('Obra Bauvek(NE)'!G62="","",'Obra Bauvek(NE)'!M62)</f>
        <v/>
      </c>
      <c r="F526" t="str">
        <f>IF('Obra Bauvek(NE)'!G62="","",'Obra Bauvek(NE)'!N62)</f>
        <v/>
      </c>
    </row>
    <row r="527" spans="1:6">
      <c r="A527" t="str">
        <f>IF('Obra Bauvek(NE)'!G63="","","Obra Bauvek(NE)")</f>
        <v/>
      </c>
      <c r="B527" t="str">
        <f>IF('Obra Bauvek(NE)'!G63="","",'Obra Bauvek(NE)'!G63)</f>
        <v/>
      </c>
      <c r="C527" t="str">
        <f>IF('Obra Bauvek(NE)'!G63="","",'Obra Bauvek(NE)'!I63)</f>
        <v/>
      </c>
      <c r="D527" t="str">
        <f>IF('Obra Bauvek(NE)'!G63="","",'Obra Bauvek(NE)'!L63)</f>
        <v/>
      </c>
      <c r="E527" t="str">
        <f>IF('Obra Bauvek(NE)'!G63="","",'Obra Bauvek(NE)'!M63)</f>
        <v/>
      </c>
      <c r="F527" t="str">
        <f>IF('Obra Bauvek(NE)'!G63="","",'Obra Bauvek(NE)'!N63)</f>
        <v/>
      </c>
    </row>
    <row r="528" spans="1:6">
      <c r="A528" t="str">
        <f>IF('Obra Bauvek(NE)'!G64="","","Obra Bauvek(NE)")</f>
        <v/>
      </c>
      <c r="B528" t="str">
        <f>IF('Obra Bauvek(NE)'!G64="","",'Obra Bauvek(NE)'!G64)</f>
        <v/>
      </c>
      <c r="C528" t="str">
        <f>IF('Obra Bauvek(NE)'!G64="","",'Obra Bauvek(NE)'!I64)</f>
        <v/>
      </c>
      <c r="D528" t="str">
        <f>IF('Obra Bauvek(NE)'!G64="","",'Obra Bauvek(NE)'!L64)</f>
        <v/>
      </c>
      <c r="E528" t="str">
        <f>IF('Obra Bauvek(NE)'!G64="","",'Obra Bauvek(NE)'!M64)</f>
        <v/>
      </c>
      <c r="F528" t="str">
        <f>IF('Obra Bauvek(NE)'!G64="","",'Obra Bauvek(NE)'!N64)</f>
        <v/>
      </c>
    </row>
    <row r="529" spans="1:6">
      <c r="A529" t="str">
        <f>IF('Obra Bauvek(NE)'!G65="","","Obra Bauvek(NE)")</f>
        <v/>
      </c>
      <c r="B529" t="str">
        <f>IF('Obra Bauvek(NE)'!G65="","",'Obra Bauvek(NE)'!G65)</f>
        <v/>
      </c>
      <c r="C529" t="str">
        <f>IF('Obra Bauvek(NE)'!G65="","",'Obra Bauvek(NE)'!I65)</f>
        <v/>
      </c>
      <c r="D529" t="str">
        <f>IF('Obra Bauvek(NE)'!G65="","",'Obra Bauvek(NE)'!L65)</f>
        <v/>
      </c>
      <c r="E529" t="str">
        <f>IF('Obra Bauvek(NE)'!G65="","",'Obra Bauvek(NE)'!M65)</f>
        <v/>
      </c>
      <c r="F529" t="str">
        <f>IF('Obra Bauvek(NE)'!G65="","",'Obra Bauvek(NE)'!N65)</f>
        <v/>
      </c>
    </row>
    <row r="530" spans="1:6">
      <c r="A530" t="str">
        <f>IF('Obra Bauvek(NE)'!G66="","","Obra Bauvek(NE)")</f>
        <v/>
      </c>
      <c r="B530" t="str">
        <f>IF('Obra Bauvek(NE)'!G66="","",'Obra Bauvek(NE)'!G66)</f>
        <v/>
      </c>
      <c r="C530" t="str">
        <f>IF('Obra Bauvek(NE)'!G66="","",'Obra Bauvek(NE)'!I66)</f>
        <v/>
      </c>
      <c r="D530" t="str">
        <f>IF('Obra Bauvek(NE)'!G66="","",'Obra Bauvek(NE)'!L66)</f>
        <v/>
      </c>
      <c r="E530" t="str">
        <f>IF('Obra Bauvek(NE)'!G66="","",'Obra Bauvek(NE)'!M66)</f>
        <v/>
      </c>
      <c r="F530" t="str">
        <f>IF('Obra Bauvek(NE)'!G66="","",'Obra Bauvek(NE)'!N66)</f>
        <v/>
      </c>
    </row>
    <row r="531" spans="1:6">
      <c r="A531" t="str">
        <f>IF('Obra Bauvek(NE)'!G67="","","Obra Bauvek(NE)")</f>
        <v/>
      </c>
      <c r="B531" t="str">
        <f>IF('Obra Bauvek(NE)'!G67="","",'Obra Bauvek(NE)'!G67)</f>
        <v/>
      </c>
      <c r="C531" t="str">
        <f>IF('Obra Bauvek(NE)'!G67="","",'Obra Bauvek(NE)'!I67)</f>
        <v/>
      </c>
      <c r="D531" t="str">
        <f>IF('Obra Bauvek(NE)'!G67="","",'Obra Bauvek(NE)'!L67)</f>
        <v/>
      </c>
      <c r="E531" t="str">
        <f>IF('Obra Bauvek(NE)'!G67="","",'Obra Bauvek(NE)'!M67)</f>
        <v/>
      </c>
      <c r="F531" t="str">
        <f>IF('Obra Bauvek(NE)'!G67="","",'Obra Bauvek(NE)'!N67)</f>
        <v/>
      </c>
    </row>
    <row r="532" spans="1:6">
      <c r="A532" t="str">
        <f>IF('Obra Bauvek(NE)'!G68="","","Obra Bauvek(NE)")</f>
        <v/>
      </c>
      <c r="B532" t="str">
        <f>IF('Obra Bauvek(NE)'!G68="","",'Obra Bauvek(NE)'!G68)</f>
        <v/>
      </c>
      <c r="C532" t="str">
        <f>IF('Obra Bauvek(NE)'!G68="","",'Obra Bauvek(NE)'!I68)</f>
        <v/>
      </c>
      <c r="D532" t="str">
        <f>IF('Obra Bauvek(NE)'!G68="","",'Obra Bauvek(NE)'!L68)</f>
        <v/>
      </c>
      <c r="E532" t="str">
        <f>IF('Obra Bauvek(NE)'!G68="","",'Obra Bauvek(NE)'!M68)</f>
        <v/>
      </c>
      <c r="F532" t="str">
        <f>IF('Obra Bauvek(NE)'!G68="","",'Obra Bauvek(NE)'!N68)</f>
        <v/>
      </c>
    </row>
    <row r="533" spans="1:6">
      <c r="A533" t="str">
        <f>IF('Obra Bauvek(NE)'!G69="","","Obra Bauvek(NE)")</f>
        <v/>
      </c>
      <c r="B533" t="str">
        <f>IF('Obra Bauvek(NE)'!G69="","",'Obra Bauvek(NE)'!G69)</f>
        <v/>
      </c>
      <c r="C533" t="str">
        <f>IF('Obra Bauvek(NE)'!G69="","",'Obra Bauvek(NE)'!I69)</f>
        <v/>
      </c>
      <c r="D533" t="str">
        <f>IF('Obra Bauvek(NE)'!G69="","",'Obra Bauvek(NE)'!L69)</f>
        <v/>
      </c>
      <c r="E533" t="str">
        <f>IF('Obra Bauvek(NE)'!G69="","",'Obra Bauvek(NE)'!M69)</f>
        <v/>
      </c>
      <c r="F533" t="str">
        <f>IF('Obra Bauvek(NE)'!G69="","",'Obra Bauvek(NE)'!N69)</f>
        <v/>
      </c>
    </row>
    <row r="534" spans="1:6">
      <c r="A534" t="str">
        <f>IF('Obra Bauvek(NE)'!G70="","","Obra Bauvek(NE)")</f>
        <v/>
      </c>
      <c r="B534" t="str">
        <f>IF('Obra Bauvek(NE)'!G70="","",'Obra Bauvek(NE)'!G70)</f>
        <v/>
      </c>
      <c r="C534" t="str">
        <f>IF('Obra Bauvek(NE)'!G70="","",'Obra Bauvek(NE)'!I70)</f>
        <v/>
      </c>
      <c r="D534" t="str">
        <f>IF('Obra Bauvek(NE)'!G70="","",'Obra Bauvek(NE)'!L70)</f>
        <v/>
      </c>
      <c r="E534" t="str">
        <f>IF('Obra Bauvek(NE)'!G70="","",'Obra Bauvek(NE)'!M70)</f>
        <v/>
      </c>
      <c r="F534" t="str">
        <f>IF('Obra Bauvek(NE)'!G70="","",'Obra Bauvek(NE)'!N70)</f>
        <v/>
      </c>
    </row>
    <row r="535" spans="1:6">
      <c r="A535" t="str">
        <f>IF('Obra Bauvek(NE)'!G71="","","Obra Bauvek(NE)")</f>
        <v/>
      </c>
      <c r="B535" t="str">
        <f>IF('Obra Bauvek(NE)'!G71="","",'Obra Bauvek(NE)'!G71)</f>
        <v/>
      </c>
      <c r="C535" t="str">
        <f>IF('Obra Bauvek(NE)'!G71="","",'Obra Bauvek(NE)'!I71)</f>
        <v/>
      </c>
      <c r="D535" t="str">
        <f>IF('Obra Bauvek(NE)'!G71="","",'Obra Bauvek(NE)'!L71)</f>
        <v/>
      </c>
      <c r="E535" t="str">
        <f>IF('Obra Bauvek(NE)'!G71="","",'Obra Bauvek(NE)'!M71)</f>
        <v/>
      </c>
      <c r="F535" t="str">
        <f>IF('Obra Bauvek(NE)'!G71="","",'Obra Bauvek(NE)'!N71)</f>
        <v/>
      </c>
    </row>
    <row r="536" spans="1:6">
      <c r="A536" t="str">
        <f>IF('Obra Bauvek(NE)'!G72="","","Obra Bauvek(NE)")</f>
        <v/>
      </c>
      <c r="B536" t="str">
        <f>IF('Obra Bauvek(NE)'!G72="","",'Obra Bauvek(NE)'!G72)</f>
        <v/>
      </c>
      <c r="C536" t="str">
        <f>IF('Obra Bauvek(NE)'!G72="","",'Obra Bauvek(NE)'!I72)</f>
        <v/>
      </c>
      <c r="D536" t="str">
        <f>IF('Obra Bauvek(NE)'!G72="","",'Obra Bauvek(NE)'!L72)</f>
        <v/>
      </c>
      <c r="E536" t="str">
        <f>IF('Obra Bauvek(NE)'!G72="","",'Obra Bauvek(NE)'!M72)</f>
        <v/>
      </c>
      <c r="F536" t="str">
        <f>IF('Obra Bauvek(NE)'!G72="","",'Obra Bauvek(NE)'!N72)</f>
        <v/>
      </c>
    </row>
    <row r="537" spans="1:6">
      <c r="A537" t="str">
        <f>IF('Obra Bauvek(NE)'!G73="","","Obra Bauvek(NE)")</f>
        <v/>
      </c>
      <c r="B537" t="str">
        <f>IF('Obra Bauvek(NE)'!G73="","",'Obra Bauvek(NE)'!G73)</f>
        <v/>
      </c>
      <c r="C537" t="str">
        <f>IF('Obra Bauvek(NE)'!G73="","",'Obra Bauvek(NE)'!I73)</f>
        <v/>
      </c>
      <c r="D537" t="str">
        <f>IF('Obra Bauvek(NE)'!G73="","",'Obra Bauvek(NE)'!L73)</f>
        <v/>
      </c>
      <c r="E537" t="str">
        <f>IF('Obra Bauvek(NE)'!G73="","",'Obra Bauvek(NE)'!M73)</f>
        <v/>
      </c>
      <c r="F537" t="str">
        <f>IF('Obra Bauvek(NE)'!G73="","",'Obra Bauvek(NE)'!N73)</f>
        <v/>
      </c>
    </row>
    <row r="538" spans="1:6">
      <c r="A538" t="str">
        <f>IF('Obra Bauvek(NE)'!G74="","","Obra Bauvek(NE)")</f>
        <v/>
      </c>
      <c r="B538" t="str">
        <f>IF('Obra Bauvek(NE)'!G74="","",'Obra Bauvek(NE)'!G74)</f>
        <v/>
      </c>
      <c r="C538" t="str">
        <f>IF('Obra Bauvek(NE)'!G74="","",'Obra Bauvek(NE)'!I74)</f>
        <v/>
      </c>
      <c r="D538" t="str">
        <f>IF('Obra Bauvek(NE)'!G74="","",'Obra Bauvek(NE)'!L74)</f>
        <v/>
      </c>
      <c r="E538" t="str">
        <f>IF('Obra Bauvek(NE)'!G74="","",'Obra Bauvek(NE)'!M74)</f>
        <v/>
      </c>
      <c r="F538" t="str">
        <f>IF('Obra Bauvek(NE)'!G74="","",'Obra Bauvek(NE)'!N74)</f>
        <v/>
      </c>
    </row>
    <row r="539" spans="1:6">
      <c r="A539" t="str">
        <f>IF('Obra Bauvek(NE)'!G75="","","Obra Bauvek(NE)")</f>
        <v/>
      </c>
      <c r="B539" t="str">
        <f>IF('Obra Bauvek(NE)'!G75="","",'Obra Bauvek(NE)'!G75)</f>
        <v/>
      </c>
      <c r="C539" t="str">
        <f>IF('Obra Bauvek(NE)'!G75="","",'Obra Bauvek(NE)'!I75)</f>
        <v/>
      </c>
      <c r="D539" t="str">
        <f>IF('Obra Bauvek(NE)'!G75="","",'Obra Bauvek(NE)'!L75)</f>
        <v/>
      </c>
      <c r="E539" t="str">
        <f>IF('Obra Bauvek(NE)'!G75="","",'Obra Bauvek(NE)'!M75)</f>
        <v/>
      </c>
      <c r="F539" t="str">
        <f>IF('Obra Bauvek(NE)'!G75="","",'Obra Bauvek(NE)'!N75)</f>
        <v/>
      </c>
    </row>
    <row r="540" spans="1:6">
      <c r="A540" t="str">
        <f>IF('Obra Bauvek(NE)'!G76="","","Obra Bauvek(NE)")</f>
        <v/>
      </c>
      <c r="B540" t="str">
        <f>IF('Obra Bauvek(NE)'!G76="","",'Obra Bauvek(NE)'!G76)</f>
        <v/>
      </c>
      <c r="C540" t="str">
        <f>IF('Obra Bauvek(NE)'!G76="","",'Obra Bauvek(NE)'!I76)</f>
        <v/>
      </c>
      <c r="D540" t="str">
        <f>IF('Obra Bauvek(NE)'!G76="","",'Obra Bauvek(NE)'!L76)</f>
        <v/>
      </c>
      <c r="E540" t="str">
        <f>IF('Obra Bauvek(NE)'!G76="","",'Obra Bauvek(NE)'!M76)</f>
        <v/>
      </c>
      <c r="F540" t="str">
        <f>IF('Obra Bauvek(NE)'!G76="","",'Obra Bauvek(NE)'!N76)</f>
        <v/>
      </c>
    </row>
    <row r="541" spans="1:6">
      <c r="A541" t="str">
        <f>IF('Obra Bauvek(NE)'!G77="","","Obra Bauvek(NE)")</f>
        <v/>
      </c>
      <c r="B541" t="str">
        <f>IF('Obra Bauvek(NE)'!G77="","",'Obra Bauvek(NE)'!G77)</f>
        <v/>
      </c>
      <c r="C541" t="str">
        <f>IF('Obra Bauvek(NE)'!G77="","",'Obra Bauvek(NE)'!I77)</f>
        <v/>
      </c>
      <c r="D541" t="str">
        <f>IF('Obra Bauvek(NE)'!G77="","",'Obra Bauvek(NE)'!L77)</f>
        <v/>
      </c>
      <c r="E541" t="str">
        <f>IF('Obra Bauvek(NE)'!G77="","",'Obra Bauvek(NE)'!M77)</f>
        <v/>
      </c>
      <c r="F541" t="str">
        <f>IF('Obra Bauvek(NE)'!G77="","",'Obra Bauvek(NE)'!N77)</f>
        <v/>
      </c>
    </row>
    <row r="542" spans="1:6">
      <c r="A542" t="str">
        <f>IF('Obra Bauvek(NE)'!G78="","","Obra Bauvek(NE)")</f>
        <v/>
      </c>
      <c r="B542" t="str">
        <f>IF('Obra Bauvek(NE)'!G78="","",'Obra Bauvek(NE)'!G78)</f>
        <v/>
      </c>
      <c r="C542" t="str">
        <f>IF('Obra Bauvek(NE)'!G78="","",'Obra Bauvek(NE)'!I78)</f>
        <v/>
      </c>
      <c r="D542" t="str">
        <f>IF('Obra Bauvek(NE)'!G78="","",'Obra Bauvek(NE)'!L78)</f>
        <v/>
      </c>
      <c r="E542" t="str">
        <f>IF('Obra Bauvek(NE)'!G78="","",'Obra Bauvek(NE)'!M78)</f>
        <v/>
      </c>
      <c r="F542" t="str">
        <f>IF('Obra Bauvek(NE)'!G78="","",'Obra Bauvek(NE)'!N78)</f>
        <v/>
      </c>
    </row>
    <row r="543" spans="1:6">
      <c r="A543" t="str">
        <f>IF('Obra Bauvek(NE)'!G79="","","Obra Bauvek(NE)")</f>
        <v/>
      </c>
      <c r="B543" t="str">
        <f>IF('Obra Bauvek(NE)'!G79="","",'Obra Bauvek(NE)'!G79)</f>
        <v/>
      </c>
      <c r="C543" t="str">
        <f>IF('Obra Bauvek(NE)'!G79="","",'Obra Bauvek(NE)'!I79)</f>
        <v/>
      </c>
      <c r="D543" t="str">
        <f>IF('Obra Bauvek(NE)'!G79="","",'Obra Bauvek(NE)'!L79)</f>
        <v/>
      </c>
      <c r="E543" t="str">
        <f>IF('Obra Bauvek(NE)'!G79="","",'Obra Bauvek(NE)'!M79)</f>
        <v/>
      </c>
      <c r="F543" t="str">
        <f>IF('Obra Bauvek(NE)'!G79="","",'Obra Bauvek(NE)'!N79)</f>
        <v/>
      </c>
    </row>
    <row r="544" spans="1:6">
      <c r="A544" t="str">
        <f>IF('Obra Bauvek(NE)'!G80="","","Obra Bauvek(NE)")</f>
        <v/>
      </c>
      <c r="B544" t="str">
        <f>IF('Obra Bauvek(NE)'!G80="","",'Obra Bauvek(NE)'!G80)</f>
        <v/>
      </c>
      <c r="C544" t="str">
        <f>IF('Obra Bauvek(NE)'!G80="","",'Obra Bauvek(NE)'!I80)</f>
        <v/>
      </c>
      <c r="D544" t="str">
        <f>IF('Obra Bauvek(NE)'!G80="","",'Obra Bauvek(NE)'!L80)</f>
        <v/>
      </c>
      <c r="E544" t="str">
        <f>IF('Obra Bauvek(NE)'!G80="","",'Obra Bauvek(NE)'!M80)</f>
        <v/>
      </c>
      <c r="F544" t="str">
        <f>IF('Obra Bauvek(NE)'!G80="","",'Obra Bauvek(NE)'!N80)</f>
        <v/>
      </c>
    </row>
    <row r="545" spans="1:6">
      <c r="A545" t="str">
        <f>IF('Obra Bauvek(NE)'!G81="","","Obra Bauvek(NE)")</f>
        <v/>
      </c>
      <c r="B545" t="str">
        <f>IF('Obra Bauvek(NE)'!G81="","",'Obra Bauvek(NE)'!G81)</f>
        <v/>
      </c>
      <c r="C545" t="str">
        <f>IF('Obra Bauvek(NE)'!G81="","",'Obra Bauvek(NE)'!I81)</f>
        <v/>
      </c>
      <c r="D545" t="str">
        <f>IF('Obra Bauvek(NE)'!G81="","",'Obra Bauvek(NE)'!L81)</f>
        <v/>
      </c>
      <c r="E545" t="str">
        <f>IF('Obra Bauvek(NE)'!G81="","",'Obra Bauvek(NE)'!M81)</f>
        <v/>
      </c>
      <c r="F545" t="str">
        <f>IF('Obra Bauvek(NE)'!G81="","",'Obra Bauvek(NE)'!N81)</f>
        <v/>
      </c>
    </row>
    <row r="546" spans="1:6">
      <c r="A546" t="str">
        <f>IF('Obra Bauvek(NE)'!G82="","","Obra Bauvek(NE)")</f>
        <v/>
      </c>
      <c r="B546" t="str">
        <f>IF('Obra Bauvek(NE)'!G82="","",'Obra Bauvek(NE)'!G82)</f>
        <v/>
      </c>
      <c r="C546" t="str">
        <f>IF('Obra Bauvek(NE)'!G82="","",'Obra Bauvek(NE)'!I82)</f>
        <v/>
      </c>
      <c r="D546" t="str">
        <f>IF('Obra Bauvek(NE)'!G82="","",'Obra Bauvek(NE)'!L82)</f>
        <v/>
      </c>
      <c r="E546" t="str">
        <f>IF('Obra Bauvek(NE)'!G82="","",'Obra Bauvek(NE)'!M82)</f>
        <v/>
      </c>
      <c r="F546" t="str">
        <f>IF('Obra Bauvek(NE)'!G82="","",'Obra Bauvek(NE)'!N82)</f>
        <v/>
      </c>
    </row>
    <row r="547" spans="1:6">
      <c r="A547" t="str">
        <f>IF('Obra Bauvek(NE)'!G83="","","Obra Bauvek(NE)")</f>
        <v/>
      </c>
      <c r="B547" t="str">
        <f>IF('Obra Bauvek(NE)'!G83="","",'Obra Bauvek(NE)'!G83)</f>
        <v/>
      </c>
      <c r="C547" t="str">
        <f>IF('Obra Bauvek(NE)'!G83="","",'Obra Bauvek(NE)'!I83)</f>
        <v/>
      </c>
      <c r="D547" t="str">
        <f>IF('Obra Bauvek(NE)'!G83="","",'Obra Bauvek(NE)'!L83)</f>
        <v/>
      </c>
      <c r="E547" t="str">
        <f>IF('Obra Bauvek(NE)'!G83="","",'Obra Bauvek(NE)'!M83)</f>
        <v/>
      </c>
      <c r="F547" t="str">
        <f>IF('Obra Bauvek(NE)'!G83="","",'Obra Bauvek(NE)'!N83)</f>
        <v/>
      </c>
    </row>
    <row r="548" spans="1:6">
      <c r="A548" t="str">
        <f>IF('Obra Bauvek(NE)'!G84="","","Obra Bauvek(NE)")</f>
        <v/>
      </c>
      <c r="B548" t="str">
        <f>IF('Obra Bauvek(NE)'!G84="","",'Obra Bauvek(NE)'!G84)</f>
        <v/>
      </c>
      <c r="C548" t="str">
        <f>IF('Obra Bauvek(NE)'!G84="","",'Obra Bauvek(NE)'!I84)</f>
        <v/>
      </c>
      <c r="D548" t="str">
        <f>IF('Obra Bauvek(NE)'!G84="","",'Obra Bauvek(NE)'!L84)</f>
        <v/>
      </c>
      <c r="E548" t="str">
        <f>IF('Obra Bauvek(NE)'!G84="","",'Obra Bauvek(NE)'!M84)</f>
        <v/>
      </c>
      <c r="F548" t="str">
        <f>IF('Obra Bauvek(NE)'!G84="","",'Obra Bauvek(NE)'!N84)</f>
        <v/>
      </c>
    </row>
    <row r="549" spans="1:6">
      <c r="A549" t="str">
        <f>IF('Obra Bauvek(NE)'!G85="","","Obra Bauvek(NE)")</f>
        <v/>
      </c>
      <c r="B549" t="str">
        <f>IF('Obra Bauvek(NE)'!G85="","",'Obra Bauvek(NE)'!G85)</f>
        <v/>
      </c>
      <c r="C549" t="str">
        <f>IF('Obra Bauvek(NE)'!G85="","",'Obra Bauvek(NE)'!I85)</f>
        <v/>
      </c>
      <c r="D549" t="str">
        <f>IF('Obra Bauvek(NE)'!G85="","",'Obra Bauvek(NE)'!L85)</f>
        <v/>
      </c>
      <c r="E549" t="str">
        <f>IF('Obra Bauvek(NE)'!G85="","",'Obra Bauvek(NE)'!M85)</f>
        <v/>
      </c>
      <c r="F549" t="str">
        <f>IF('Obra Bauvek(NE)'!G85="","",'Obra Bauvek(NE)'!N85)</f>
        <v/>
      </c>
    </row>
    <row r="550" spans="1:6">
      <c r="A550" t="str">
        <f>IF('Obra Bauvek(NE)'!G86="","","Obra Bauvek(NE)")</f>
        <v/>
      </c>
      <c r="B550" t="str">
        <f>IF('Obra Bauvek(NE)'!G86="","",'Obra Bauvek(NE)'!G86)</f>
        <v/>
      </c>
      <c r="C550" t="str">
        <f>IF('Obra Bauvek(NE)'!G86="","",'Obra Bauvek(NE)'!I86)</f>
        <v/>
      </c>
      <c r="D550" t="str">
        <f>IF('Obra Bauvek(NE)'!G86="","",'Obra Bauvek(NE)'!L86)</f>
        <v/>
      </c>
      <c r="E550" t="str">
        <f>IF('Obra Bauvek(NE)'!G86="","",'Obra Bauvek(NE)'!M86)</f>
        <v/>
      </c>
      <c r="F550" t="str">
        <f>IF('Obra Bauvek(NE)'!G86="","",'Obra Bauvek(NE)'!N86)</f>
        <v/>
      </c>
    </row>
    <row r="551" spans="1:6">
      <c r="A551" t="str">
        <f>IF('Obra AV'!G10="","","Obra AV")</f>
        <v>Obra AV</v>
      </c>
      <c r="B551" t="str">
        <f>IF('Obra AV'!G10="","",'Obra AV'!G10)</f>
        <v>Flete Hugo Godoy</v>
      </c>
      <c r="C551">
        <f>IF('Obra AV'!G10="","",'Obra AV'!I10)</f>
        <v>100000</v>
      </c>
      <c r="D551" t="str">
        <f>IF('Obra AV'!G10="","",'Obra AV'!L10)</f>
        <v>Pagado</v>
      </c>
      <c r="E551">
        <f>IF('Obra AV'!G10="","",'Obra AV'!M10)</f>
        <v>0</v>
      </c>
      <c r="F551" t="str">
        <f>IF('Obra AV'!G10="","",'Obra AV'!N10)</f>
        <v>Recibido en obra</v>
      </c>
    </row>
    <row r="552" spans="1:6">
      <c r="A552" t="str">
        <f>IF('Obra AV'!G11="","","Obra AV")</f>
        <v>Obra AV</v>
      </c>
      <c r="B552" t="str">
        <f>IF('Obra AV'!G11="","",'Obra AV'!G11)</f>
        <v>Flete Hugo Godoy</v>
      </c>
      <c r="C552">
        <f>IF('Obra AV'!G11="","",'Obra AV'!I11)</f>
        <v>100000</v>
      </c>
      <c r="D552" t="str">
        <f>IF('Obra AV'!G11="","",'Obra AV'!L11)</f>
        <v>Pagado</v>
      </c>
      <c r="E552">
        <f>IF('Obra AV'!G11="","",'Obra AV'!M11)</f>
        <v>0</v>
      </c>
      <c r="F552" t="str">
        <f>IF('Obra AV'!G11="","",'Obra AV'!N11)</f>
        <v>Recibido en obra</v>
      </c>
    </row>
    <row r="553" spans="1:6">
      <c r="A553" t="str">
        <f>IF('Obra AV'!G12="","","Obra AV")</f>
        <v>Obra AV</v>
      </c>
      <c r="B553" t="str">
        <f>IF('Obra AV'!G12="","",'Obra AV'!G12)</f>
        <v>Flete Jonatan</v>
      </c>
      <c r="C553">
        <f>IF('Obra AV'!G12="","",'Obra AV'!I12)</f>
        <v>240000</v>
      </c>
      <c r="D553" t="str">
        <f>IF('Obra AV'!G12="","",'Obra AV'!L12)</f>
        <v>Pagado</v>
      </c>
      <c r="E553">
        <f>IF('Obra AV'!G12="","",'Obra AV'!M12)</f>
        <v>0</v>
      </c>
      <c r="F553" t="str">
        <f>IF('Obra AV'!G12="","",'Obra AV'!N12)</f>
        <v>Recibido en obra</v>
      </c>
    </row>
    <row r="554" spans="1:6">
      <c r="A554" t="str">
        <f>IF('Obra AV'!G13="","","Obra AV")</f>
        <v>Obra AV</v>
      </c>
      <c r="B554" t="str">
        <f>IF('Obra AV'!G13="","",'Obra AV'!G13)</f>
        <v>Flete Jonatan</v>
      </c>
      <c r="C554">
        <f>IF('Obra AV'!G13="","",'Obra AV'!I13)</f>
        <v>240000</v>
      </c>
      <c r="D554" t="str">
        <f>IF('Obra AV'!G13="","",'Obra AV'!L13)</f>
        <v>Pagado</v>
      </c>
      <c r="E554">
        <f>IF('Obra AV'!G13="","",'Obra AV'!M13)</f>
        <v>0</v>
      </c>
      <c r="F554" t="str">
        <f>IF('Obra AV'!G13="","",'Obra AV'!N13)</f>
        <v>Recibido en obra</v>
      </c>
    </row>
    <row r="555" spans="1:6">
      <c r="A555" t="str">
        <f>IF('Obra AV'!G14="","","Obra AV")</f>
        <v>Obra AV</v>
      </c>
      <c r="B555" t="str">
        <f>IF('Obra AV'!G14="","",'Obra AV'!G14)</f>
        <v>Flete Jonatan</v>
      </c>
      <c r="C555">
        <f>IF('Obra AV'!G14="","",'Obra AV'!I14)</f>
        <v>240000</v>
      </c>
      <c r="D555" t="str">
        <f>IF('Obra AV'!G14="","",'Obra AV'!L14)</f>
        <v>Pagado</v>
      </c>
      <c r="E555">
        <f>IF('Obra AV'!G14="","",'Obra AV'!M14)</f>
        <v>0</v>
      </c>
      <c r="F555" t="str">
        <f>IF('Obra AV'!G14="","",'Obra AV'!N14)</f>
        <v>Recibido en obra</v>
      </c>
    </row>
    <row r="556" spans="1:6">
      <c r="A556" t="str">
        <f>IF('Obra AV'!G15="","","Obra AV")</f>
        <v/>
      </c>
      <c r="B556" t="str">
        <f>IF('Obra AV'!G15="","",'Obra AV'!G15)</f>
        <v/>
      </c>
      <c r="C556" t="str">
        <f>IF('Obra AV'!G15="","",'Obra AV'!I15)</f>
        <v/>
      </c>
      <c r="D556" t="str">
        <f>IF('Obra AV'!G15="","",'Obra AV'!L15)</f>
        <v/>
      </c>
      <c r="E556" t="str">
        <f>IF('Obra AV'!G15="","",'Obra AV'!M15)</f>
        <v/>
      </c>
      <c r="F556" t="str">
        <f>IF('Obra AV'!G15="","",'Obra AV'!N15)</f>
        <v/>
      </c>
    </row>
    <row r="557" spans="1:6">
      <c r="A557" t="str">
        <f>IF('Obra AV'!G16="","","Obra AV")</f>
        <v>Obra AV</v>
      </c>
      <c r="B557" t="str">
        <f>IF('Obra AV'!G16="","",'Obra AV'!G16)</f>
        <v>Flete Hugo Godoy</v>
      </c>
      <c r="C557">
        <f>IF('Obra AV'!G16="","",'Obra AV'!I16)</f>
        <v>100000</v>
      </c>
      <c r="D557" t="str">
        <f>IF('Obra AV'!G16="","",'Obra AV'!L16)</f>
        <v>Pagado</v>
      </c>
      <c r="E557">
        <f>IF('Obra AV'!G16="","",'Obra AV'!M16)</f>
        <v>0</v>
      </c>
      <c r="F557" t="str">
        <f>IF('Obra AV'!G16="","",'Obra AV'!N16)</f>
        <v>Recibido en obra</v>
      </c>
    </row>
    <row r="558" spans="1:6">
      <c r="A558" t="str">
        <f>IF('Obra AV'!G17="","","Obra AV")</f>
        <v>Obra AV</v>
      </c>
      <c r="B558" t="str">
        <f>IF('Obra AV'!G17="","",'Obra AV'!G17)</f>
        <v>Flete Hugo Godoy</v>
      </c>
      <c r="C558">
        <f>IF('Obra AV'!G17="","",'Obra AV'!I17)</f>
        <v>100000</v>
      </c>
      <c r="D558" t="str">
        <f>IF('Obra AV'!G17="","",'Obra AV'!L17)</f>
        <v>Pagado</v>
      </c>
      <c r="E558">
        <f>IF('Obra AV'!G17="","",'Obra AV'!M17)</f>
        <v>0</v>
      </c>
      <c r="F558" t="str">
        <f>IF('Obra AV'!G17="","",'Obra AV'!N17)</f>
        <v>Recibido en obra</v>
      </c>
    </row>
    <row r="559" spans="1:6">
      <c r="A559" t="str">
        <f>IF('Obra AV'!G18="","","Obra AV")</f>
        <v>Obra AV</v>
      </c>
      <c r="B559" t="str">
        <f>IF('Obra AV'!G18="","",'Obra AV'!G18)</f>
        <v>Flete Jonatan</v>
      </c>
      <c r="C559">
        <f>IF('Obra AV'!G18="","",'Obra AV'!I18)</f>
        <v>240000</v>
      </c>
      <c r="D559" t="str">
        <f>IF('Obra AV'!G18="","",'Obra AV'!L18)</f>
        <v>Pagado</v>
      </c>
      <c r="E559">
        <f>IF('Obra AV'!G18="","",'Obra AV'!M18)</f>
        <v>0</v>
      </c>
      <c r="F559" t="str">
        <f>IF('Obra AV'!G18="","",'Obra AV'!N18)</f>
        <v>Recibido en obra</v>
      </c>
    </row>
    <row r="560" spans="1:6">
      <c r="A560" t="str">
        <f>IF('Obra AV'!G19="","","Obra AV")</f>
        <v>Obra AV</v>
      </c>
      <c r="B560" t="str">
        <f>IF('Obra AV'!G19="","",'Obra AV'!G19)</f>
        <v>Flete Jonatan</v>
      </c>
      <c r="C560">
        <f>IF('Obra AV'!G19="","",'Obra AV'!I19)</f>
        <v>240000</v>
      </c>
      <c r="D560" t="str">
        <f>IF('Obra AV'!G19="","",'Obra AV'!L19)</f>
        <v>Pagado</v>
      </c>
      <c r="E560">
        <f>IF('Obra AV'!G19="","",'Obra AV'!M19)</f>
        <v>0</v>
      </c>
      <c r="F560" t="str">
        <f>IF('Obra AV'!G19="","",'Obra AV'!N19)</f>
        <v>Recibido en obra</v>
      </c>
    </row>
    <row r="561" spans="1:6">
      <c r="A561" t="str">
        <f>IF('Obra AV'!G20="","","Obra AV")</f>
        <v>Obra AV</v>
      </c>
      <c r="B561" t="str">
        <f>IF('Obra AV'!G20="","",'Obra AV'!G20)</f>
        <v>Flete Jonatan</v>
      </c>
      <c r="C561">
        <f>IF('Obra AV'!G20="","",'Obra AV'!I20)</f>
        <v>240000</v>
      </c>
      <c r="D561" t="str">
        <f>IF('Obra AV'!G20="","",'Obra AV'!L20)</f>
        <v>Pagado</v>
      </c>
      <c r="E561">
        <f>IF('Obra AV'!G20="","",'Obra AV'!M20)</f>
        <v>0</v>
      </c>
      <c r="F561" t="str">
        <f>IF('Obra AV'!G20="","",'Obra AV'!N20)</f>
        <v>Recibido en obra</v>
      </c>
    </row>
    <row r="562" spans="1:6">
      <c r="A562" t="str">
        <f>IF('Obra AV'!G21="","","Obra AV")</f>
        <v/>
      </c>
      <c r="B562" t="str">
        <f>IF('Obra AV'!G21="","",'Obra AV'!G21)</f>
        <v/>
      </c>
      <c r="C562" t="str">
        <f>IF('Obra AV'!G21="","",'Obra AV'!I21)</f>
        <v/>
      </c>
      <c r="D562" t="str">
        <f>IF('Obra AV'!G21="","",'Obra AV'!L21)</f>
        <v/>
      </c>
      <c r="E562" t="str">
        <f>IF('Obra AV'!G21="","",'Obra AV'!M21)</f>
        <v/>
      </c>
      <c r="F562" t="str">
        <f>IF('Obra AV'!G21="","",'Obra AV'!N21)</f>
        <v/>
      </c>
    </row>
    <row r="563" spans="1:6">
      <c r="A563" t="str">
        <f>IF('Obra AV'!G22="","","Obra AV")</f>
        <v>Obra AV</v>
      </c>
      <c r="B563" t="str">
        <f>IF('Obra AV'!G22="","",'Obra AV'!G22)</f>
        <v>Flete Hugo Godoy</v>
      </c>
      <c r="C563">
        <f>IF('Obra AV'!G22="","",'Obra AV'!I22)</f>
        <v>110000</v>
      </c>
      <c r="D563" t="str">
        <f>IF('Obra AV'!G22="","",'Obra AV'!L22)</f>
        <v>Pagado</v>
      </c>
      <c r="E563">
        <f>IF('Obra AV'!G22="","",'Obra AV'!M22)</f>
        <v>0</v>
      </c>
      <c r="F563" t="str">
        <f>IF('Obra AV'!G22="","",'Obra AV'!N22)</f>
        <v>Recibido en obra</v>
      </c>
    </row>
    <row r="564" spans="1:6">
      <c r="A564" t="str">
        <f>IF('Obra AV'!G23="","","Obra AV")</f>
        <v/>
      </c>
      <c r="B564" t="str">
        <f>IF('Obra AV'!G23="","",'Obra AV'!G23)</f>
        <v/>
      </c>
      <c r="C564" t="str">
        <f>IF('Obra AV'!G23="","",'Obra AV'!I23)</f>
        <v/>
      </c>
      <c r="D564" t="str">
        <f>IF('Obra AV'!G23="","",'Obra AV'!L23)</f>
        <v/>
      </c>
      <c r="E564" t="str">
        <f>IF('Obra AV'!G23="","",'Obra AV'!M23)</f>
        <v/>
      </c>
      <c r="F564" t="str">
        <f>IF('Obra AV'!G23="","",'Obra AV'!N23)</f>
        <v/>
      </c>
    </row>
    <row r="565" spans="1:6">
      <c r="A565" t="str">
        <f>IF('Obra AV'!G24="","","Obra AV")</f>
        <v/>
      </c>
      <c r="B565" t="str">
        <f>IF('Obra AV'!G24="","",'Obra AV'!G24)</f>
        <v/>
      </c>
      <c r="C565" t="str">
        <f>IF('Obra AV'!G24="","",'Obra AV'!I24)</f>
        <v/>
      </c>
      <c r="D565" t="str">
        <f>IF('Obra AV'!G24="","",'Obra AV'!L24)</f>
        <v/>
      </c>
      <c r="E565" t="str">
        <f>IF('Obra AV'!G24="","",'Obra AV'!M24)</f>
        <v/>
      </c>
      <c r="F565" t="str">
        <f>IF('Obra AV'!G24="","",'Obra AV'!N24)</f>
        <v/>
      </c>
    </row>
    <row r="566" spans="1:6">
      <c r="A566" t="str">
        <f>IF('Obra AV'!G25="","","Obra AV")</f>
        <v>Obra AV</v>
      </c>
      <c r="B566" t="str">
        <f>IF('Obra AV'!G25="","",'Obra AV'!G25)</f>
        <v>Alquilo Todo</v>
      </c>
      <c r="C566">
        <f>IF('Obra AV'!G25="","",'Obra AV'!I25)</f>
        <v>50000</v>
      </c>
      <c r="D566" t="str">
        <f>IF('Obra AV'!G25="","",'Obra AV'!L25)</f>
        <v>Pagado</v>
      </c>
      <c r="E566">
        <f>IF('Obra AV'!G25="","",'Obra AV'!M25)</f>
        <v>0</v>
      </c>
      <c r="F566" t="str">
        <f>IF('Obra AV'!G25="","",'Obra AV'!N25)</f>
        <v>Recibido en obra</v>
      </c>
    </row>
    <row r="567" spans="1:6">
      <c r="A567" t="str">
        <f>IF('Obra AV'!G26="","","Obra AV")</f>
        <v/>
      </c>
      <c r="B567" t="str">
        <f>IF('Obra AV'!G26="","",'Obra AV'!G26)</f>
        <v/>
      </c>
      <c r="C567" t="str">
        <f>IF('Obra AV'!G26="","",'Obra AV'!I26)</f>
        <v/>
      </c>
      <c r="D567" t="str">
        <f>IF('Obra AV'!G26="","",'Obra AV'!L26)</f>
        <v/>
      </c>
      <c r="E567" t="str">
        <f>IF('Obra AV'!G26="","",'Obra AV'!M26)</f>
        <v/>
      </c>
      <c r="F567" t="str">
        <f>IF('Obra AV'!G26="","",'Obra AV'!N26)</f>
        <v/>
      </c>
    </row>
    <row r="568" spans="1:6">
      <c r="A568" t="str">
        <f>IF('Obra AV'!G27="","","Obra AV")</f>
        <v>Obra AV</v>
      </c>
      <c r="B568" t="str">
        <f>IF('Obra AV'!G27="","",'Obra AV'!G27)</f>
        <v>Flete de ENAS</v>
      </c>
      <c r="C568">
        <f>IF('Obra AV'!G27="","",'Obra AV'!I27)</f>
        <v>175692</v>
      </c>
      <c r="D568" t="str">
        <f>IF('Obra AV'!G27="","",'Obra AV'!L27)</f>
        <v>Pagado</v>
      </c>
      <c r="E568" t="str">
        <f>IF('Obra AV'!G27="","",'Obra AV'!M27)</f>
        <v>Pagado</v>
      </c>
      <c r="F568">
        <f>IF('Obra AV'!G27="","",'Obra AV'!N27)</f>
        <v>0</v>
      </c>
    </row>
    <row r="569" spans="1:6">
      <c r="A569" t="str">
        <f>IF('Obra AV'!G28="","","Obra AV")</f>
        <v>Obra AV</v>
      </c>
      <c r="B569" t="str">
        <f>IF('Obra AV'!G28="","",'Obra AV'!G28)</f>
        <v>Flete de ENAS</v>
      </c>
      <c r="C569">
        <f>IF('Obra AV'!G28="","",'Obra AV'!I28)</f>
        <v>175692</v>
      </c>
      <c r="D569" t="str">
        <f>IF('Obra AV'!G28="","",'Obra AV'!L28)</f>
        <v>Pagado</v>
      </c>
      <c r="E569" t="str">
        <f>IF('Obra AV'!G28="","",'Obra AV'!M28)</f>
        <v>Pagado</v>
      </c>
      <c r="F569">
        <f>IF('Obra AV'!G28="","",'Obra AV'!N28)</f>
        <v>0</v>
      </c>
    </row>
    <row r="570" spans="1:6">
      <c r="A570" t="str">
        <f>IF('Obra AV'!G29="","","Obra AV")</f>
        <v/>
      </c>
      <c r="B570" t="str">
        <f>IF('Obra AV'!G29="","",'Obra AV'!G29)</f>
        <v/>
      </c>
      <c r="C570" t="str">
        <f>IF('Obra AV'!G29="","",'Obra AV'!I29)</f>
        <v/>
      </c>
      <c r="D570" t="str">
        <f>IF('Obra AV'!G29="","",'Obra AV'!L29)</f>
        <v/>
      </c>
      <c r="E570" t="str">
        <f>IF('Obra AV'!G29="","",'Obra AV'!M29)</f>
        <v/>
      </c>
      <c r="F570" t="str">
        <f>IF('Obra AV'!G29="","",'Obra AV'!N29)</f>
        <v/>
      </c>
    </row>
    <row r="571" spans="1:6">
      <c r="A571" t="str">
        <f>IF('Obra AV'!G30="","","Obra AV")</f>
        <v/>
      </c>
      <c r="B571" t="str">
        <f>IF('Obra AV'!G30="","",'Obra AV'!G30)</f>
        <v/>
      </c>
      <c r="C571" t="str">
        <f>IF('Obra AV'!G30="","",'Obra AV'!I30)</f>
        <v/>
      </c>
      <c r="D571" t="str">
        <f>IF('Obra AV'!G30="","",'Obra AV'!L30)</f>
        <v/>
      </c>
      <c r="E571" t="str">
        <f>IF('Obra AV'!G30="","",'Obra AV'!M30)</f>
        <v/>
      </c>
      <c r="F571" t="str">
        <f>IF('Obra AV'!G30="","",'Obra AV'!N30)</f>
        <v/>
      </c>
    </row>
    <row r="572" spans="1:6">
      <c r="A572" t="str">
        <f>IF('Obra AV'!G31="","","Obra AV")</f>
        <v/>
      </c>
      <c r="B572" t="str">
        <f>IF('Obra AV'!G31="","",'Obra AV'!G31)</f>
        <v/>
      </c>
      <c r="C572" t="str">
        <f>IF('Obra AV'!G31="","",'Obra AV'!I31)</f>
        <v/>
      </c>
      <c r="D572" t="str">
        <f>IF('Obra AV'!G31="","",'Obra AV'!L31)</f>
        <v/>
      </c>
      <c r="E572" t="str">
        <f>IF('Obra AV'!G31="","",'Obra AV'!M31)</f>
        <v/>
      </c>
      <c r="F572" t="str">
        <f>IF('Obra AV'!G31="","",'Obra AV'!N31)</f>
        <v/>
      </c>
    </row>
    <row r="573" spans="1:6">
      <c r="A573" t="str">
        <f>IF('Obra AV'!G32="","","Obra AV")</f>
        <v/>
      </c>
      <c r="B573" t="str">
        <f>IF('Obra AV'!G32="","",'Obra AV'!G32)</f>
        <v/>
      </c>
      <c r="C573" t="str">
        <f>IF('Obra AV'!G32="","",'Obra AV'!I32)</f>
        <v/>
      </c>
      <c r="D573" t="str">
        <f>IF('Obra AV'!G32="","",'Obra AV'!L32)</f>
        <v/>
      </c>
      <c r="E573" t="str">
        <f>IF('Obra AV'!G32="","",'Obra AV'!M32)</f>
        <v/>
      </c>
      <c r="F573" t="str">
        <f>IF('Obra AV'!G32="","",'Obra AV'!N32)</f>
        <v/>
      </c>
    </row>
    <row r="574" spans="1:6">
      <c r="A574" t="str">
        <f>IF('Obra AV'!G33="","","Obra AV")</f>
        <v>Obra AV</v>
      </c>
      <c r="B574" t="str">
        <f>IF('Obra AV'!G33="","",'Obra AV'!G33)</f>
        <v>Flete Jonatan</v>
      </c>
      <c r="C574">
        <f>IF('Obra AV'!G33="","",'Obra AV'!I33)</f>
        <v>220000</v>
      </c>
      <c r="D574" t="str">
        <f>IF('Obra AV'!G33="","",'Obra AV'!L33)</f>
        <v>Pagado</v>
      </c>
      <c r="E574">
        <f>IF('Obra AV'!G33="","",'Obra AV'!M33)</f>
        <v>0</v>
      </c>
      <c r="F574" t="str">
        <f>IF('Obra AV'!G33="","",'Obra AV'!N33)</f>
        <v>Recibido en obra</v>
      </c>
    </row>
    <row r="575" spans="1:6">
      <c r="A575" t="e">
        <f>IF('Obra AV'!#REF!="","","Obra AV")</f>
        <v>#REF!</v>
      </c>
      <c r="B575" t="e">
        <f>IF('Obra AV'!#REF!="","",'Obra AV'!#REF!)</f>
        <v>#REF!</v>
      </c>
      <c r="C575" t="e">
        <f>IF('Obra AV'!#REF!="","",'Obra AV'!#REF!)</f>
        <v>#REF!</v>
      </c>
      <c r="D575" t="e">
        <f>IF('Obra AV'!#REF!="","",'Obra AV'!#REF!)</f>
        <v>#REF!</v>
      </c>
      <c r="E575" t="e">
        <f>IF('Obra AV'!#REF!="","",'Obra AV'!#REF!)</f>
        <v>#REF!</v>
      </c>
      <c r="F575" t="e">
        <f>IF('Obra AV'!#REF!="","",'Obra AV'!#REF!)</f>
        <v>#REF!</v>
      </c>
    </row>
    <row r="576" spans="1:6">
      <c r="A576" t="e">
        <f>IF('Obra AV'!#REF!="","","Obra AV")</f>
        <v>#REF!</v>
      </c>
      <c r="B576" t="e">
        <f>IF('Obra AV'!#REF!="","",'Obra AV'!#REF!)</f>
        <v>#REF!</v>
      </c>
      <c r="C576" t="e">
        <f>IF('Obra AV'!#REF!="","",'Obra AV'!#REF!)</f>
        <v>#REF!</v>
      </c>
      <c r="D576" t="e">
        <f>IF('Obra AV'!#REF!="","",'Obra AV'!#REF!)</f>
        <v>#REF!</v>
      </c>
      <c r="E576" t="e">
        <f>IF('Obra AV'!#REF!="","",'Obra AV'!#REF!)</f>
        <v>#REF!</v>
      </c>
      <c r="F576" t="e">
        <f>IF('Obra AV'!#REF!="","",'Obra AV'!#REF!)</f>
        <v>#REF!</v>
      </c>
    </row>
    <row r="577" spans="1:6">
      <c r="A577" t="str">
        <f>IF('Obra AV'!G45="","","Obra AV")</f>
        <v/>
      </c>
      <c r="B577" t="str">
        <f>IF('Obra AV'!G45="","",'Obra AV'!G45)</f>
        <v/>
      </c>
      <c r="C577" t="str">
        <f>IF('Obra AV'!G45="","",'Obra AV'!I45)</f>
        <v/>
      </c>
      <c r="D577" t="str">
        <f>IF('Obra AV'!G45="","",'Obra AV'!L45)</f>
        <v/>
      </c>
      <c r="E577" t="str">
        <f>IF('Obra AV'!G45="","",'Obra AV'!M45)</f>
        <v/>
      </c>
      <c r="F577" t="str">
        <f>IF('Obra AV'!G45="","",'Obra AV'!N45)</f>
        <v/>
      </c>
    </row>
    <row r="578" spans="1:6">
      <c r="A578" t="e">
        <f>IF('Obra AV'!#REF!="","","Obra AV")</f>
        <v>#REF!</v>
      </c>
      <c r="B578" t="e">
        <f>IF('Obra AV'!#REF!="","",'Obra AV'!#REF!)</f>
        <v>#REF!</v>
      </c>
      <c r="C578" t="e">
        <f>IF('Obra AV'!#REF!="","",'Obra AV'!#REF!)</f>
        <v>#REF!</v>
      </c>
      <c r="D578" t="e">
        <f>IF('Obra AV'!#REF!="","",'Obra AV'!#REF!)</f>
        <v>#REF!</v>
      </c>
      <c r="E578" t="e">
        <f>IF('Obra AV'!#REF!="","",'Obra AV'!#REF!)</f>
        <v>#REF!</v>
      </c>
      <c r="F578" t="e">
        <f>IF('Obra AV'!#REF!="","",'Obra AV'!#REF!)</f>
        <v>#REF!</v>
      </c>
    </row>
    <row r="579" spans="1:6">
      <c r="A579" t="e">
        <f>IF('Obra AV'!#REF!="","","Obra AV")</f>
        <v>#REF!</v>
      </c>
      <c r="B579" t="e">
        <f>IF('Obra AV'!#REF!="","",'Obra AV'!#REF!)</f>
        <v>#REF!</v>
      </c>
      <c r="C579" t="e">
        <f>IF('Obra AV'!#REF!="","",'Obra AV'!#REF!)</f>
        <v>#REF!</v>
      </c>
      <c r="D579" t="e">
        <f>IF('Obra AV'!#REF!="","",'Obra AV'!#REF!)</f>
        <v>#REF!</v>
      </c>
      <c r="E579" t="e">
        <f>IF('Obra AV'!#REF!="","",'Obra AV'!#REF!)</f>
        <v>#REF!</v>
      </c>
      <c r="F579" t="e">
        <f>IF('Obra AV'!#REF!="","",'Obra AV'!#REF!)</f>
        <v>#REF!</v>
      </c>
    </row>
    <row r="580" spans="1:6">
      <c r="A580" t="str">
        <f>IF('Obra AV'!G46="","","Obra AV")</f>
        <v/>
      </c>
      <c r="B580" t="str">
        <f>IF('Obra AV'!G46="","",'Obra AV'!G46)</f>
        <v/>
      </c>
      <c r="C580" t="str">
        <f>IF('Obra AV'!G46="","",'Obra AV'!I46)</f>
        <v/>
      </c>
      <c r="D580" t="str">
        <f>IF('Obra AV'!G46="","",'Obra AV'!L46)</f>
        <v/>
      </c>
      <c r="E580" t="str">
        <f>IF('Obra AV'!G46="","",'Obra AV'!M46)</f>
        <v/>
      </c>
      <c r="F580" t="str">
        <f>IF('Obra AV'!G46="","",'Obra AV'!N46)</f>
        <v/>
      </c>
    </row>
    <row r="581" spans="1:6">
      <c r="A581" t="str">
        <f>IF('Obra AV'!G47="","","Obra AV")</f>
        <v/>
      </c>
      <c r="B581" t="str">
        <f>IF('Obra AV'!G47="","",'Obra AV'!G47)</f>
        <v/>
      </c>
      <c r="C581" t="str">
        <f>IF('Obra AV'!G47="","",'Obra AV'!I47)</f>
        <v/>
      </c>
      <c r="D581" t="str">
        <f>IF('Obra AV'!G47="","",'Obra AV'!L47)</f>
        <v/>
      </c>
      <c r="E581" t="str">
        <f>IF('Obra AV'!G47="","",'Obra AV'!M47)</f>
        <v/>
      </c>
      <c r="F581" t="str">
        <f>IF('Obra AV'!G47="","",'Obra AV'!N47)</f>
        <v/>
      </c>
    </row>
    <row r="582" spans="1:6">
      <c r="A582" t="str">
        <f>IF('Obra AV'!G48="","","Obra AV")</f>
        <v/>
      </c>
      <c r="B582" t="str">
        <f>IF('Obra AV'!G48="","",'Obra AV'!G48)</f>
        <v/>
      </c>
      <c r="C582" t="str">
        <f>IF('Obra AV'!G48="","",'Obra AV'!I48)</f>
        <v/>
      </c>
      <c r="D582" t="str">
        <f>IF('Obra AV'!G48="","",'Obra AV'!L48)</f>
        <v/>
      </c>
      <c r="E582" t="str">
        <f>IF('Obra AV'!G48="","",'Obra AV'!M48)</f>
        <v/>
      </c>
      <c r="F582" t="str">
        <f>IF('Obra AV'!G48="","",'Obra AV'!N48)</f>
        <v/>
      </c>
    </row>
    <row r="583" spans="1:6">
      <c r="A583" t="str">
        <f>IF('Obra AV'!G49="","","Obra AV")</f>
        <v/>
      </c>
      <c r="B583" t="str">
        <f>IF('Obra AV'!G49="","",'Obra AV'!G49)</f>
        <v/>
      </c>
      <c r="C583" t="str">
        <f>IF('Obra AV'!G49="","",'Obra AV'!I49)</f>
        <v/>
      </c>
      <c r="D583" t="str">
        <f>IF('Obra AV'!G49="","",'Obra AV'!L49)</f>
        <v/>
      </c>
      <c r="E583" t="str">
        <f>IF('Obra AV'!G49="","",'Obra AV'!M49)</f>
        <v/>
      </c>
      <c r="F583" t="str">
        <f>IF('Obra AV'!G49="","",'Obra AV'!N49)</f>
        <v/>
      </c>
    </row>
    <row r="584" spans="1:6">
      <c r="A584" t="str">
        <f>IF('Obra AV'!G50="","","Obra AV")</f>
        <v/>
      </c>
      <c r="B584" t="str">
        <f>IF('Obra AV'!G50="","",'Obra AV'!G50)</f>
        <v/>
      </c>
      <c r="C584" t="str">
        <f>IF('Obra AV'!G50="","",'Obra AV'!I50)</f>
        <v/>
      </c>
      <c r="D584" t="str">
        <f>IF('Obra AV'!G50="","",'Obra AV'!L50)</f>
        <v/>
      </c>
      <c r="E584" t="str">
        <f>IF('Obra AV'!G50="","",'Obra AV'!M50)</f>
        <v/>
      </c>
      <c r="F584" t="str">
        <f>IF('Obra AV'!G50="","",'Obra AV'!N50)</f>
        <v/>
      </c>
    </row>
    <row r="585" spans="1:6">
      <c r="A585" t="str">
        <f>IF('Obra AV'!G51="","","Obra AV")</f>
        <v/>
      </c>
      <c r="B585" t="str">
        <f>IF('Obra AV'!G51="","",'Obra AV'!G51)</f>
        <v/>
      </c>
      <c r="C585" t="str">
        <f>IF('Obra AV'!G51="","",'Obra AV'!I51)</f>
        <v/>
      </c>
      <c r="D585" t="str">
        <f>IF('Obra AV'!G51="","",'Obra AV'!L51)</f>
        <v/>
      </c>
      <c r="E585" t="str">
        <f>IF('Obra AV'!G51="","",'Obra AV'!M51)</f>
        <v/>
      </c>
      <c r="F585" t="str">
        <f>IF('Obra AV'!G51="","",'Obra AV'!N51)</f>
        <v/>
      </c>
    </row>
    <row r="586" spans="1:6">
      <c r="A586" t="str">
        <f>IF('Obra AV'!G52="","","Obra AV")</f>
        <v/>
      </c>
      <c r="B586" t="str">
        <f>IF('Obra AV'!G52="","",'Obra AV'!G52)</f>
        <v/>
      </c>
      <c r="C586" t="str">
        <f>IF('Obra AV'!G52="","",'Obra AV'!I52)</f>
        <v/>
      </c>
      <c r="D586" t="str">
        <f>IF('Obra AV'!G52="","",'Obra AV'!L52)</f>
        <v/>
      </c>
      <c r="E586" t="str">
        <f>IF('Obra AV'!G52="","",'Obra AV'!M52)</f>
        <v/>
      </c>
      <c r="F586" t="str">
        <f>IF('Obra AV'!G52="","",'Obra AV'!N52)</f>
        <v/>
      </c>
    </row>
    <row r="587" spans="1:6">
      <c r="A587" t="str">
        <f>IF('Obra AV'!G53="","","Obra AV")</f>
        <v/>
      </c>
      <c r="B587" t="str">
        <f>IF('Obra AV'!G53="","",'Obra AV'!G53)</f>
        <v/>
      </c>
      <c r="C587" t="str">
        <f>IF('Obra AV'!G53="","",'Obra AV'!I53)</f>
        <v/>
      </c>
      <c r="D587" t="str">
        <f>IF('Obra AV'!G53="","",'Obra AV'!L53)</f>
        <v/>
      </c>
      <c r="E587" t="str">
        <f>IF('Obra AV'!G53="","",'Obra AV'!M53)</f>
        <v/>
      </c>
      <c r="F587" t="str">
        <f>IF('Obra AV'!G53="","",'Obra AV'!N53)</f>
        <v/>
      </c>
    </row>
    <row r="588" spans="1:6">
      <c r="A588" t="str">
        <f>IF('Obra AV'!G54="","","Obra AV")</f>
        <v/>
      </c>
      <c r="B588" t="str">
        <f>IF('Obra AV'!G54="","",'Obra AV'!G54)</f>
        <v/>
      </c>
      <c r="C588" t="str">
        <f>IF('Obra AV'!G54="","",'Obra AV'!I54)</f>
        <v/>
      </c>
      <c r="D588" t="str">
        <f>IF('Obra AV'!G54="","",'Obra AV'!L54)</f>
        <v/>
      </c>
      <c r="E588" t="str">
        <f>IF('Obra AV'!G54="","",'Obra AV'!M54)</f>
        <v/>
      </c>
      <c r="F588" t="str">
        <f>IF('Obra AV'!G54="","",'Obra AV'!N54)</f>
        <v/>
      </c>
    </row>
    <row r="589" spans="1:6">
      <c r="A589" t="str">
        <f>IF('Obra AV'!G55="","","Obra AV")</f>
        <v/>
      </c>
      <c r="B589" t="str">
        <f>IF('Obra AV'!G55="","",'Obra AV'!G55)</f>
        <v/>
      </c>
      <c r="C589" t="str">
        <f>IF('Obra AV'!G55="","",'Obra AV'!I55)</f>
        <v/>
      </c>
      <c r="D589" t="str">
        <f>IF('Obra AV'!G55="","",'Obra AV'!L55)</f>
        <v/>
      </c>
      <c r="E589" t="str">
        <f>IF('Obra AV'!G55="","",'Obra AV'!M55)</f>
        <v/>
      </c>
      <c r="F589" t="str">
        <f>IF('Obra AV'!G55="","",'Obra AV'!N55)</f>
        <v/>
      </c>
    </row>
    <row r="590" spans="1:6">
      <c r="A590" t="str">
        <f>IF('Obra AV'!G56="","","Obra AV")</f>
        <v/>
      </c>
      <c r="B590" t="str">
        <f>IF('Obra AV'!G56="","",'Obra AV'!G56)</f>
        <v/>
      </c>
      <c r="C590" t="str">
        <f>IF('Obra AV'!G56="","",'Obra AV'!I56)</f>
        <v/>
      </c>
      <c r="D590" t="str">
        <f>IF('Obra AV'!G56="","",'Obra AV'!L56)</f>
        <v/>
      </c>
      <c r="E590" t="str">
        <f>IF('Obra AV'!G56="","",'Obra AV'!M56)</f>
        <v/>
      </c>
      <c r="F590" t="str">
        <f>IF('Obra AV'!G56="","",'Obra AV'!N56)</f>
        <v/>
      </c>
    </row>
    <row r="591" spans="1:6">
      <c r="A591" t="str">
        <f>IF('Obra AV'!G57="","","Obra AV")</f>
        <v/>
      </c>
      <c r="B591" t="str">
        <f>IF('Obra AV'!G57="","",'Obra AV'!G57)</f>
        <v/>
      </c>
      <c r="C591" t="str">
        <f>IF('Obra AV'!G57="","",'Obra AV'!I57)</f>
        <v/>
      </c>
      <c r="D591" t="str">
        <f>IF('Obra AV'!G57="","",'Obra AV'!L57)</f>
        <v/>
      </c>
      <c r="E591" t="str">
        <f>IF('Obra AV'!G57="","",'Obra AV'!M57)</f>
        <v/>
      </c>
      <c r="F591" t="str">
        <f>IF('Obra AV'!G57="","",'Obra AV'!N57)</f>
        <v/>
      </c>
    </row>
    <row r="592" spans="1:6">
      <c r="A592" t="str">
        <f>IF('Obra AV'!G58="","","Obra AV")</f>
        <v/>
      </c>
      <c r="B592" t="str">
        <f>IF('Obra AV'!G58="","",'Obra AV'!G58)</f>
        <v/>
      </c>
      <c r="C592" t="str">
        <f>IF('Obra AV'!G58="","",'Obra AV'!I58)</f>
        <v/>
      </c>
      <c r="D592" t="str">
        <f>IF('Obra AV'!G58="","",'Obra AV'!L58)</f>
        <v/>
      </c>
      <c r="E592" t="str">
        <f>IF('Obra AV'!G58="","",'Obra AV'!M58)</f>
        <v/>
      </c>
      <c r="F592" t="str">
        <f>IF('Obra AV'!G58="","",'Obra AV'!N58)</f>
        <v/>
      </c>
    </row>
    <row r="593" spans="1:6">
      <c r="A593" t="str">
        <f>IF('Obra AV'!G59="","","Obra AV")</f>
        <v/>
      </c>
      <c r="B593" t="str">
        <f>IF('Obra AV'!G59="","",'Obra AV'!G59)</f>
        <v/>
      </c>
      <c r="C593" t="str">
        <f>IF('Obra AV'!G59="","",'Obra AV'!I59)</f>
        <v/>
      </c>
      <c r="D593" t="str">
        <f>IF('Obra AV'!G59="","",'Obra AV'!L59)</f>
        <v/>
      </c>
      <c r="E593" t="str">
        <f>IF('Obra AV'!G59="","",'Obra AV'!M59)</f>
        <v/>
      </c>
      <c r="F593" t="str">
        <f>IF('Obra AV'!G59="","",'Obra AV'!N59)</f>
        <v/>
      </c>
    </row>
    <row r="594" spans="1:6">
      <c r="A594" t="str">
        <f>IF('Obra AV'!G60="","","Obra AV")</f>
        <v/>
      </c>
      <c r="B594" t="str">
        <f>IF('Obra AV'!G60="","",'Obra AV'!G60)</f>
        <v/>
      </c>
      <c r="C594" t="str">
        <f>IF('Obra AV'!G60="","",'Obra AV'!I60)</f>
        <v/>
      </c>
      <c r="D594" t="str">
        <f>IF('Obra AV'!G60="","",'Obra AV'!L60)</f>
        <v/>
      </c>
      <c r="E594" t="str">
        <f>IF('Obra AV'!G60="","",'Obra AV'!M60)</f>
        <v/>
      </c>
      <c r="F594" t="str">
        <f>IF('Obra AV'!G60="","",'Obra AV'!N60)</f>
        <v/>
      </c>
    </row>
    <row r="595" spans="1:6">
      <c r="A595" t="str">
        <f>IF('Obra AV'!G61="","","Obra AV")</f>
        <v/>
      </c>
      <c r="B595" t="str">
        <f>IF('Obra AV'!G61="","",'Obra AV'!G61)</f>
        <v/>
      </c>
      <c r="C595" t="str">
        <f>IF('Obra AV'!G61="","",'Obra AV'!I61)</f>
        <v/>
      </c>
      <c r="D595" t="str">
        <f>IF('Obra AV'!G61="","",'Obra AV'!L61)</f>
        <v/>
      </c>
      <c r="E595" t="str">
        <f>IF('Obra AV'!G61="","",'Obra AV'!M61)</f>
        <v/>
      </c>
      <c r="F595" t="str">
        <f>IF('Obra AV'!G61="","",'Obra AV'!N61)</f>
        <v/>
      </c>
    </row>
    <row r="596" spans="1:6">
      <c r="A596" t="str">
        <f>IF('Obra AV'!G62="","","Obra AV")</f>
        <v/>
      </c>
      <c r="B596" t="str">
        <f>IF('Obra AV'!G62="","",'Obra AV'!G62)</f>
        <v/>
      </c>
      <c r="C596" t="str">
        <f>IF('Obra AV'!G62="","",'Obra AV'!I62)</f>
        <v/>
      </c>
      <c r="D596" t="str">
        <f>IF('Obra AV'!G62="","",'Obra AV'!L62)</f>
        <v/>
      </c>
      <c r="E596" t="str">
        <f>IF('Obra AV'!G62="","",'Obra AV'!M62)</f>
        <v/>
      </c>
      <c r="F596" t="str">
        <f>IF('Obra AV'!G62="","",'Obra AV'!N62)</f>
        <v/>
      </c>
    </row>
    <row r="597" spans="1:6">
      <c r="A597" t="str">
        <f>IF('Obra AV'!G63="","","Obra AV")</f>
        <v/>
      </c>
      <c r="B597" t="str">
        <f>IF('Obra AV'!G63="","",'Obra AV'!G63)</f>
        <v/>
      </c>
      <c r="C597" t="str">
        <f>IF('Obra AV'!G63="","",'Obra AV'!I63)</f>
        <v/>
      </c>
      <c r="D597" t="str">
        <f>IF('Obra AV'!G63="","",'Obra AV'!L63)</f>
        <v/>
      </c>
      <c r="E597" t="str">
        <f>IF('Obra AV'!G63="","",'Obra AV'!M63)</f>
        <v/>
      </c>
      <c r="F597" t="str">
        <f>IF('Obra AV'!G63="","",'Obra AV'!N63)</f>
        <v/>
      </c>
    </row>
    <row r="598" spans="1:6">
      <c r="A598" t="str">
        <f>IF('Obra AV'!G64="","","Obra AV")</f>
        <v/>
      </c>
      <c r="B598" t="str">
        <f>IF('Obra AV'!G64="","",'Obra AV'!G64)</f>
        <v/>
      </c>
      <c r="C598" t="str">
        <f>IF('Obra AV'!G64="","",'Obra AV'!I64)</f>
        <v/>
      </c>
      <c r="D598" t="str">
        <f>IF('Obra AV'!G64="","",'Obra AV'!L64)</f>
        <v/>
      </c>
      <c r="E598" t="str">
        <f>IF('Obra AV'!G64="","",'Obra AV'!M64)</f>
        <v/>
      </c>
      <c r="F598" t="str">
        <f>IF('Obra AV'!G64="","",'Obra AV'!N64)</f>
        <v/>
      </c>
    </row>
    <row r="599" spans="1:6">
      <c r="A599" t="str">
        <f>IF('Obra AV'!G65="","","Obra AV")</f>
        <v/>
      </c>
      <c r="B599" t="str">
        <f>IF('Obra AV'!G65="","",'Obra AV'!G65)</f>
        <v/>
      </c>
      <c r="C599" t="str">
        <f>IF('Obra AV'!G65="","",'Obra AV'!I65)</f>
        <v/>
      </c>
      <c r="D599" t="str">
        <f>IF('Obra AV'!G65="","",'Obra AV'!L65)</f>
        <v/>
      </c>
      <c r="E599" t="str">
        <f>IF('Obra AV'!G65="","",'Obra AV'!M65)</f>
        <v/>
      </c>
      <c r="F599" t="str">
        <f>IF('Obra AV'!G65="","",'Obra AV'!N65)</f>
        <v/>
      </c>
    </row>
    <row r="600" spans="1:6">
      <c r="A600" t="str">
        <f>IF('Obra AV'!G66="","","Obra AV")</f>
        <v/>
      </c>
      <c r="B600" t="str">
        <f>IF('Obra AV'!G66="","",'Obra AV'!G66)</f>
        <v/>
      </c>
      <c r="C600" t="str">
        <f>IF('Obra AV'!G66="","",'Obra AV'!I66)</f>
        <v/>
      </c>
      <c r="D600" t="str">
        <f>IF('Obra AV'!G66="","",'Obra AV'!L66)</f>
        <v/>
      </c>
      <c r="E600" t="str">
        <f>IF('Obra AV'!G66="","",'Obra AV'!M66)</f>
        <v/>
      </c>
      <c r="F600" t="str">
        <f>IF('Obra AV'!G66="","",'Obra AV'!N66)</f>
        <v/>
      </c>
    </row>
    <row r="601" spans="1:6">
      <c r="A601" t="str">
        <f>IF('Obra AV'!G67="","","Obra AV")</f>
        <v/>
      </c>
      <c r="B601" t="str">
        <f>IF('Obra AV'!G67="","",'Obra AV'!G67)</f>
        <v/>
      </c>
      <c r="C601" t="str">
        <f>IF('Obra AV'!G67="","",'Obra AV'!I67)</f>
        <v/>
      </c>
      <c r="D601" t="str">
        <f>IF('Obra AV'!G67="","",'Obra AV'!L67)</f>
        <v/>
      </c>
      <c r="E601" t="str">
        <f>IF('Obra AV'!G67="","",'Obra AV'!M67)</f>
        <v/>
      </c>
      <c r="F601" t="str">
        <f>IF('Obra AV'!G67="","",'Obra AV'!N67)</f>
        <v/>
      </c>
    </row>
    <row r="602" spans="1:6">
      <c r="A602" t="str">
        <f>IF('Obra AV'!G68="","","Obra AV")</f>
        <v/>
      </c>
      <c r="B602" t="str">
        <f>IF('Obra AV'!G68="","",'Obra AV'!G68)</f>
        <v/>
      </c>
      <c r="C602" t="str">
        <f>IF('Obra AV'!G68="","",'Obra AV'!I68)</f>
        <v/>
      </c>
      <c r="D602" t="str">
        <f>IF('Obra AV'!G68="","",'Obra AV'!L68)</f>
        <v/>
      </c>
      <c r="E602" t="str">
        <f>IF('Obra AV'!G68="","",'Obra AV'!M68)</f>
        <v/>
      </c>
      <c r="F602" t="str">
        <f>IF('Obra AV'!G68="","",'Obra AV'!N68)</f>
        <v/>
      </c>
    </row>
    <row r="603" spans="1:6">
      <c r="A603" t="str">
        <f>IF('Obra AV'!G69="","","Obra AV")</f>
        <v/>
      </c>
      <c r="B603" t="str">
        <f>IF('Obra AV'!G69="","",'Obra AV'!G69)</f>
        <v/>
      </c>
      <c r="C603" t="str">
        <f>IF('Obra AV'!G69="","",'Obra AV'!I69)</f>
        <v/>
      </c>
      <c r="D603" t="str">
        <f>IF('Obra AV'!G69="","",'Obra AV'!L69)</f>
        <v/>
      </c>
      <c r="E603" t="str">
        <f>IF('Obra AV'!G69="","",'Obra AV'!M69)</f>
        <v/>
      </c>
      <c r="F603" t="str">
        <f>IF('Obra AV'!G69="","",'Obra AV'!N69)</f>
        <v/>
      </c>
    </row>
    <row r="604" spans="1:6">
      <c r="A604" t="str">
        <f>IF('Obra AV'!G70="","","Obra AV")</f>
        <v/>
      </c>
      <c r="B604" t="str">
        <f>IF('Obra AV'!G70="","",'Obra AV'!G70)</f>
        <v/>
      </c>
      <c r="C604" t="str">
        <f>IF('Obra AV'!G70="","",'Obra AV'!I70)</f>
        <v/>
      </c>
      <c r="D604" t="str">
        <f>IF('Obra AV'!G70="","",'Obra AV'!L70)</f>
        <v/>
      </c>
      <c r="E604" t="str">
        <f>IF('Obra AV'!G70="","",'Obra AV'!M70)</f>
        <v/>
      </c>
      <c r="F604" t="str">
        <f>IF('Obra AV'!G70="","",'Obra AV'!N70)</f>
        <v/>
      </c>
    </row>
    <row r="605" spans="1:6">
      <c r="A605" t="str">
        <f>IF('Obra AV'!G71="","","Obra AV")</f>
        <v/>
      </c>
      <c r="B605" t="str">
        <f>IF('Obra AV'!G71="","",'Obra AV'!G71)</f>
        <v/>
      </c>
      <c r="C605" t="str">
        <f>IF('Obra AV'!G71="","",'Obra AV'!I71)</f>
        <v/>
      </c>
      <c r="D605" t="str">
        <f>IF('Obra AV'!G71="","",'Obra AV'!L71)</f>
        <v/>
      </c>
      <c r="E605" t="str">
        <f>IF('Obra AV'!G71="","",'Obra AV'!M71)</f>
        <v/>
      </c>
      <c r="F605" t="str">
        <f>IF('Obra AV'!G71="","",'Obra AV'!N71)</f>
        <v/>
      </c>
    </row>
    <row r="606" spans="1:6">
      <c r="A606" t="str">
        <f>IF('Obra AV'!G72="","","Obra AV")</f>
        <v/>
      </c>
      <c r="B606" t="str">
        <f>IF('Obra AV'!G72="","",'Obra AV'!G72)</f>
        <v/>
      </c>
      <c r="C606" t="str">
        <f>IF('Obra AV'!G72="","",'Obra AV'!I72)</f>
        <v/>
      </c>
      <c r="D606" t="str">
        <f>IF('Obra AV'!G72="","",'Obra AV'!L72)</f>
        <v/>
      </c>
      <c r="E606" t="str">
        <f>IF('Obra AV'!G72="","",'Obra AV'!M72)</f>
        <v/>
      </c>
      <c r="F606" t="str">
        <f>IF('Obra AV'!G72="","",'Obra AV'!N72)</f>
        <v/>
      </c>
    </row>
    <row r="607" spans="1:6">
      <c r="A607" t="str">
        <f>IF('Obra AV'!G73="","","Obra AV")</f>
        <v/>
      </c>
      <c r="B607" t="str">
        <f>IF('Obra AV'!G73="","",'Obra AV'!G73)</f>
        <v/>
      </c>
      <c r="C607" t="str">
        <f>IF('Obra AV'!G73="","",'Obra AV'!I73)</f>
        <v/>
      </c>
      <c r="D607" t="str">
        <f>IF('Obra AV'!G73="","",'Obra AV'!L73)</f>
        <v/>
      </c>
      <c r="E607" t="str">
        <f>IF('Obra AV'!G73="","",'Obra AV'!M73)</f>
        <v/>
      </c>
      <c r="F607" t="str">
        <f>IF('Obra AV'!G73="","",'Obra AV'!N73)</f>
        <v/>
      </c>
    </row>
    <row r="608" spans="1:6">
      <c r="A608" t="str">
        <f>IF('Obra AV'!G74="","","Obra AV")</f>
        <v/>
      </c>
      <c r="B608" t="str">
        <f>IF('Obra AV'!G74="","",'Obra AV'!G74)</f>
        <v/>
      </c>
      <c r="C608" t="str">
        <f>IF('Obra AV'!G74="","",'Obra AV'!I74)</f>
        <v/>
      </c>
      <c r="D608" t="str">
        <f>IF('Obra AV'!G74="","",'Obra AV'!L74)</f>
        <v/>
      </c>
      <c r="E608" t="str">
        <f>IF('Obra AV'!G74="","",'Obra AV'!M74)</f>
        <v/>
      </c>
      <c r="F608" t="str">
        <f>IF('Obra AV'!G74="","",'Obra AV'!N74)</f>
        <v/>
      </c>
    </row>
    <row r="609" spans="1:6">
      <c r="A609" t="str">
        <f>IF('Obra AV'!G75="","","Obra AV")</f>
        <v/>
      </c>
      <c r="B609" t="str">
        <f>IF('Obra AV'!G75="","",'Obra AV'!G75)</f>
        <v/>
      </c>
      <c r="C609" t="str">
        <f>IF('Obra AV'!G75="","",'Obra AV'!I75)</f>
        <v/>
      </c>
      <c r="D609" t="str">
        <f>IF('Obra AV'!G75="","",'Obra AV'!L75)</f>
        <v/>
      </c>
      <c r="E609" t="str">
        <f>IF('Obra AV'!G75="","",'Obra AV'!M75)</f>
        <v/>
      </c>
      <c r="F609" t="str">
        <f>IF('Obra AV'!G75="","",'Obra AV'!N75)</f>
        <v/>
      </c>
    </row>
    <row r="610" spans="1:6">
      <c r="A610" t="str">
        <f>IF('Obra AV'!G76="","","Obra AV")</f>
        <v/>
      </c>
      <c r="B610" t="str">
        <f>IF('Obra AV'!G76="","",'Obra AV'!G76)</f>
        <v/>
      </c>
      <c r="C610" t="str">
        <f>IF('Obra AV'!G76="","",'Obra AV'!I76)</f>
        <v/>
      </c>
      <c r="D610" t="str">
        <f>IF('Obra AV'!G76="","",'Obra AV'!L76)</f>
        <v/>
      </c>
      <c r="E610" t="str">
        <f>IF('Obra AV'!G76="","",'Obra AV'!M76)</f>
        <v/>
      </c>
      <c r="F610" t="str">
        <f>IF('Obra AV'!G76="","",'Obra AV'!N76)</f>
        <v/>
      </c>
    </row>
    <row r="611" spans="1:6">
      <c r="A611" t="str">
        <f>IF('Obra AV'!G77="","","Obra AV")</f>
        <v/>
      </c>
      <c r="B611" t="str">
        <f>IF('Obra AV'!G77="","",'Obra AV'!G77)</f>
        <v/>
      </c>
      <c r="C611" t="str">
        <f>IF('Obra AV'!G77="","",'Obra AV'!I77)</f>
        <v/>
      </c>
      <c r="D611" t="str">
        <f>IF('Obra AV'!G77="","",'Obra AV'!L77)</f>
        <v/>
      </c>
      <c r="E611" t="str">
        <f>IF('Obra AV'!G77="","",'Obra AV'!M77)</f>
        <v/>
      </c>
      <c r="F611" t="str">
        <f>IF('Obra AV'!G77="","",'Obra AV'!N77)</f>
        <v/>
      </c>
    </row>
    <row r="612" spans="1:6">
      <c r="A612" t="str">
        <f>IF('Obra LH'!G10="","","Obra LH")</f>
        <v>Obra LH</v>
      </c>
      <c r="B612" t="str">
        <f>IF('Obra LH'!G10="","",'Obra LH'!G10)</f>
        <v>Alquilo Todo</v>
      </c>
      <c r="C612">
        <f>IF('Obra LH'!G10="","",'Obra LH'!I10)</f>
        <v>50000</v>
      </c>
      <c r="D612" t="str">
        <f>IF('Obra LH'!G10="","",'Obra LH'!L10)</f>
        <v>Pagado</v>
      </c>
      <c r="E612">
        <f>IF('Obra LH'!G10="","",'Obra LH'!M10)</f>
        <v>0</v>
      </c>
      <c r="F612" t="str">
        <f>IF('Obra LH'!G10="","",'Obra LH'!N10)</f>
        <v>Recibido en obra</v>
      </c>
    </row>
    <row r="613" spans="1:6">
      <c r="A613" t="str">
        <f>IF('Obra LH'!G11="","","Obra LH")</f>
        <v/>
      </c>
      <c r="B613" t="str">
        <f>IF('Obra LH'!G11="","",'Obra LH'!G11)</f>
        <v/>
      </c>
      <c r="C613" t="str">
        <f>IF('Obra LH'!G11="","",'Obra LH'!I11)</f>
        <v/>
      </c>
      <c r="D613" t="str">
        <f>IF('Obra LH'!G11="","",'Obra LH'!L11)</f>
        <v/>
      </c>
      <c r="E613" t="str">
        <f>IF('Obra LH'!G11="","",'Obra LH'!M11)</f>
        <v/>
      </c>
      <c r="F613" t="str">
        <f>IF('Obra LH'!G11="","",'Obra LH'!N11)</f>
        <v/>
      </c>
    </row>
    <row r="614" spans="1:6">
      <c r="A614" t="str">
        <f>IF('Obra LH'!G12="","","Obra LH")</f>
        <v>Obra LH</v>
      </c>
      <c r="B614" t="str">
        <f>IF('Obra LH'!G12="","",'Obra LH'!G12)</f>
        <v xml:space="preserve">Flete Jonatan </v>
      </c>
      <c r="C614">
        <f>IF('Obra LH'!G12="","",'Obra LH'!I12)</f>
        <v>200000</v>
      </c>
      <c r="D614" t="str">
        <f>IF('Obra LH'!G12="","",'Obra LH'!L12)</f>
        <v>Pagado</v>
      </c>
      <c r="E614">
        <f>IF('Obra LH'!G12="","",'Obra LH'!M12)</f>
        <v>0</v>
      </c>
      <c r="F614" t="str">
        <f>IF('Obra LH'!G12="","",'Obra LH'!N12)</f>
        <v>Recibido en obra</v>
      </c>
    </row>
    <row r="615" spans="1:6">
      <c r="A615" t="str">
        <f>IF('Obra LH'!G13="","","Obra LH")</f>
        <v>Obra LH</v>
      </c>
      <c r="B615" t="str">
        <f>IF('Obra LH'!G13="","",'Obra LH'!G13)</f>
        <v xml:space="preserve">Flete Jonatan </v>
      </c>
      <c r="C615">
        <f>IF('Obra LH'!G13="","",'Obra LH'!I13)</f>
        <v>200000</v>
      </c>
      <c r="D615" t="str">
        <f>IF('Obra LH'!G13="","",'Obra LH'!L13)</f>
        <v>Pagado</v>
      </c>
      <c r="E615">
        <f>IF('Obra LH'!G13="","",'Obra LH'!M13)</f>
        <v>0</v>
      </c>
      <c r="F615" t="str">
        <f>IF('Obra LH'!G13="","",'Obra LH'!N13)</f>
        <v>Recibido en obra</v>
      </c>
    </row>
    <row r="616" spans="1:6">
      <c r="A616" t="str">
        <f>IF('Obra LH'!G14="","","Obra LH")</f>
        <v>Obra LH</v>
      </c>
      <c r="B616" t="str">
        <f>IF('Obra LH'!G14="","",'Obra LH'!G14)</f>
        <v xml:space="preserve">Flete Jonatan </v>
      </c>
      <c r="C616">
        <f>IF('Obra LH'!G14="","",'Obra LH'!I14)</f>
        <v>200000</v>
      </c>
      <c r="D616" t="str">
        <f>IF('Obra LH'!G14="","",'Obra LH'!L14)</f>
        <v>Pagado</v>
      </c>
      <c r="E616">
        <f>IF('Obra LH'!G14="","",'Obra LH'!M14)</f>
        <v>0</v>
      </c>
      <c r="F616" t="str">
        <f>IF('Obra LH'!G14="","",'Obra LH'!N14)</f>
        <v>Recibido en obra</v>
      </c>
    </row>
    <row r="617" spans="1:6">
      <c r="A617" t="str">
        <f>IF('Obra LH'!G15="","","Obra LH")</f>
        <v/>
      </c>
      <c r="B617" t="str">
        <f>IF('Obra LH'!G15="","",'Obra LH'!G15)</f>
        <v/>
      </c>
      <c r="C617" t="str">
        <f>IF('Obra LH'!G15="","",'Obra LH'!I15)</f>
        <v/>
      </c>
      <c r="D617" t="str">
        <f>IF('Obra LH'!G15="","",'Obra LH'!L15)</f>
        <v/>
      </c>
      <c r="E617" t="str">
        <f>IF('Obra LH'!G15="","",'Obra LH'!M15)</f>
        <v/>
      </c>
      <c r="F617" t="str">
        <f>IF('Obra LH'!G15="","",'Obra LH'!N15)</f>
        <v/>
      </c>
    </row>
    <row r="618" spans="1:6">
      <c r="A618" t="str">
        <f>IF('Obra LH'!G16="","","Obra LH")</f>
        <v/>
      </c>
      <c r="B618" t="str">
        <f>IF('Obra LH'!G16="","",'Obra LH'!G16)</f>
        <v/>
      </c>
      <c r="C618" t="str">
        <f>IF('Obra LH'!G16="","",'Obra LH'!I16)</f>
        <v/>
      </c>
      <c r="D618" t="str">
        <f>IF('Obra LH'!G16="","",'Obra LH'!L16)</f>
        <v/>
      </c>
      <c r="E618" t="str">
        <f>IF('Obra LH'!G16="","",'Obra LH'!M16)</f>
        <v/>
      </c>
      <c r="F618" t="str">
        <f>IF('Obra LH'!G16="","",'Obra LH'!N16)</f>
        <v/>
      </c>
    </row>
    <row r="619" spans="1:6">
      <c r="A619" t="e">
        <f>IF('Obra LH'!#REF!="","","Obra LH")</f>
        <v>#REF!</v>
      </c>
      <c r="B619" t="e">
        <f>IF('Obra LH'!#REF!="","",'Obra LH'!#REF!)</f>
        <v>#REF!</v>
      </c>
      <c r="C619" t="e">
        <f>IF('Obra LH'!#REF!="","",'Obra LH'!#REF!)</f>
        <v>#REF!</v>
      </c>
      <c r="D619" t="e">
        <f>IF('Obra LH'!#REF!="","",'Obra LH'!#REF!)</f>
        <v>#REF!</v>
      </c>
      <c r="E619" t="e">
        <f>IF('Obra LH'!#REF!="","",'Obra LH'!#REF!)</f>
        <v>#REF!</v>
      </c>
      <c r="F619" t="e">
        <f>IF('Obra LH'!#REF!="","",'Obra LH'!#REF!)</f>
        <v>#REF!</v>
      </c>
    </row>
    <row r="620" spans="1:6">
      <c r="A620" t="str">
        <f>IF('Obra LH'!G17="","","Obra LH")</f>
        <v/>
      </c>
      <c r="B620" t="str">
        <f>IF('Obra LH'!G17="","",'Obra LH'!G17)</f>
        <v/>
      </c>
      <c r="C620" t="str">
        <f>IF('Obra LH'!G17="","",'Obra LH'!I17)</f>
        <v/>
      </c>
      <c r="D620" t="str">
        <f>IF('Obra LH'!G17="","",'Obra LH'!L17)</f>
        <v/>
      </c>
      <c r="E620" t="str">
        <f>IF('Obra LH'!G17="","",'Obra LH'!M17)</f>
        <v/>
      </c>
      <c r="F620" t="str">
        <f>IF('Obra LH'!G17="","",'Obra LH'!N17)</f>
        <v/>
      </c>
    </row>
    <row r="621" spans="1:6">
      <c r="A621" t="str">
        <f>IF('Obra LH'!G24="","","Obra LH")</f>
        <v/>
      </c>
      <c r="B621" t="str">
        <f>IF('Obra LH'!G24="","",'Obra LH'!G24)</f>
        <v/>
      </c>
      <c r="C621" t="str">
        <f>IF('Obra LH'!G24="","",'Obra LH'!I24)</f>
        <v/>
      </c>
      <c r="D621" t="str">
        <f>IF('Obra LH'!G24="","",'Obra LH'!L24)</f>
        <v/>
      </c>
      <c r="E621" t="str">
        <f>IF('Obra LH'!G24="","",'Obra LH'!M24)</f>
        <v/>
      </c>
      <c r="F621" t="str">
        <f>IF('Obra LH'!G24="","",'Obra LH'!N24)</f>
        <v/>
      </c>
    </row>
    <row r="622" spans="1:6">
      <c r="A622" t="e">
        <f>IF('Obra LH'!#REF!="","","Obra LH")</f>
        <v>#REF!</v>
      </c>
      <c r="B622" t="e">
        <f>IF('Obra LH'!#REF!="","",'Obra LH'!#REF!)</f>
        <v>#REF!</v>
      </c>
      <c r="C622" t="e">
        <f>IF('Obra LH'!#REF!="","",'Obra LH'!#REF!)</f>
        <v>#REF!</v>
      </c>
      <c r="D622" t="e">
        <f>IF('Obra LH'!#REF!="","",'Obra LH'!#REF!)</f>
        <v>#REF!</v>
      </c>
      <c r="E622" t="e">
        <f>IF('Obra LH'!#REF!="","",'Obra LH'!#REF!)</f>
        <v>#REF!</v>
      </c>
      <c r="F622" t="e">
        <f>IF('Obra LH'!#REF!="","",'Obra LH'!#REF!)</f>
        <v>#REF!</v>
      </c>
    </row>
    <row r="623" spans="1:6">
      <c r="A623" t="e">
        <f>IF('Obra LH'!#REF!="","","Obra LH")</f>
        <v>#REF!</v>
      </c>
      <c r="B623" t="e">
        <f>IF('Obra LH'!#REF!="","",'Obra LH'!#REF!)</f>
        <v>#REF!</v>
      </c>
      <c r="C623" t="e">
        <f>IF('Obra LH'!#REF!="","",'Obra LH'!#REF!)</f>
        <v>#REF!</v>
      </c>
      <c r="D623" t="e">
        <f>IF('Obra LH'!#REF!="","",'Obra LH'!#REF!)</f>
        <v>#REF!</v>
      </c>
      <c r="E623" t="e">
        <f>IF('Obra LH'!#REF!="","",'Obra LH'!#REF!)</f>
        <v>#REF!</v>
      </c>
      <c r="F623" t="e">
        <f>IF('Obra LH'!#REF!="","",'Obra LH'!#REF!)</f>
        <v>#REF!</v>
      </c>
    </row>
    <row r="624" spans="1:6">
      <c r="A624" t="str">
        <f>IF('Obra LH'!G25="","","Obra LH")</f>
        <v/>
      </c>
      <c r="B624" t="str">
        <f>IF('Obra LH'!G25="","",'Obra LH'!G25)</f>
        <v/>
      </c>
      <c r="C624" t="str">
        <f>IF('Obra LH'!G25="","",'Obra LH'!I25)</f>
        <v/>
      </c>
      <c r="D624" t="str">
        <f>IF('Obra LH'!G25="","",'Obra LH'!L25)</f>
        <v/>
      </c>
      <c r="E624" t="str">
        <f>IF('Obra LH'!G25="","",'Obra LH'!M25)</f>
        <v/>
      </c>
      <c r="F624" t="str">
        <f>IF('Obra LH'!G25="","",'Obra LH'!N25)</f>
        <v/>
      </c>
    </row>
    <row r="625" spans="1:6">
      <c r="A625" t="str">
        <f>IF('Obra LH'!G26="","","Obra LH")</f>
        <v/>
      </c>
      <c r="B625" t="str">
        <f>IF('Obra LH'!G26="","",'Obra LH'!G26)</f>
        <v/>
      </c>
      <c r="C625" t="str">
        <f>IF('Obra LH'!G26="","",'Obra LH'!I26)</f>
        <v/>
      </c>
      <c r="D625" t="str">
        <f>IF('Obra LH'!G26="","",'Obra LH'!L26)</f>
        <v/>
      </c>
      <c r="E625" t="str">
        <f>IF('Obra LH'!G26="","",'Obra LH'!M26)</f>
        <v/>
      </c>
      <c r="F625" t="str">
        <f>IF('Obra LH'!G26="","",'Obra LH'!N26)</f>
        <v/>
      </c>
    </row>
    <row r="626" spans="1:6">
      <c r="A626" t="str">
        <f>IF('Obra LH'!G27="","","Obra LH")</f>
        <v/>
      </c>
      <c r="B626" t="str">
        <f>IF('Obra LH'!G27="","",'Obra LH'!G27)</f>
        <v/>
      </c>
      <c r="C626" t="str">
        <f>IF('Obra LH'!G27="","",'Obra LH'!I27)</f>
        <v/>
      </c>
      <c r="D626" t="str">
        <f>IF('Obra LH'!G27="","",'Obra LH'!L27)</f>
        <v/>
      </c>
      <c r="E626" t="str">
        <f>IF('Obra LH'!G27="","",'Obra LH'!M27)</f>
        <v/>
      </c>
      <c r="F626" t="str">
        <f>IF('Obra LH'!G27="","",'Obra LH'!N27)</f>
        <v/>
      </c>
    </row>
    <row r="627" spans="1:6">
      <c r="A627" t="str">
        <f>IF('Obra LH'!G28="","","Obra LH")</f>
        <v/>
      </c>
      <c r="B627" t="str">
        <f>IF('Obra LH'!G28="","",'Obra LH'!G28)</f>
        <v/>
      </c>
      <c r="C627" t="str">
        <f>IF('Obra LH'!G28="","",'Obra LH'!I28)</f>
        <v/>
      </c>
      <c r="D627" t="str">
        <f>IF('Obra LH'!G28="","",'Obra LH'!L28)</f>
        <v/>
      </c>
      <c r="E627" t="str">
        <f>IF('Obra LH'!G28="","",'Obra LH'!M28)</f>
        <v/>
      </c>
      <c r="F627" t="str">
        <f>IF('Obra LH'!G28="","",'Obra LH'!N28)</f>
        <v/>
      </c>
    </row>
    <row r="628" spans="1:6">
      <c r="A628" t="str">
        <f>IF('Obra LH'!G29="","","Obra LH")</f>
        <v/>
      </c>
      <c r="B628" t="str">
        <f>IF('Obra LH'!G29="","",'Obra LH'!G29)</f>
        <v/>
      </c>
      <c r="C628" t="str">
        <f>IF('Obra LH'!G29="","",'Obra LH'!I29)</f>
        <v/>
      </c>
      <c r="D628" t="str">
        <f>IF('Obra LH'!G29="","",'Obra LH'!L29)</f>
        <v/>
      </c>
      <c r="E628" t="str">
        <f>IF('Obra LH'!G29="","",'Obra LH'!M29)</f>
        <v/>
      </c>
      <c r="F628" t="str">
        <f>IF('Obra LH'!G29="","",'Obra LH'!N29)</f>
        <v/>
      </c>
    </row>
    <row r="629" spans="1:6">
      <c r="A629" t="str">
        <f>IF('Obra LH'!G30="","","Obra LH")</f>
        <v/>
      </c>
      <c r="B629" t="str">
        <f>IF('Obra LH'!G30="","",'Obra LH'!G30)</f>
        <v/>
      </c>
      <c r="C629" t="str">
        <f>IF('Obra LH'!G30="","",'Obra LH'!I30)</f>
        <v/>
      </c>
      <c r="D629" t="str">
        <f>IF('Obra LH'!G30="","",'Obra LH'!L30)</f>
        <v/>
      </c>
      <c r="E629" t="str">
        <f>IF('Obra LH'!G30="","",'Obra LH'!M30)</f>
        <v/>
      </c>
      <c r="F629" t="str">
        <f>IF('Obra LH'!G30="","",'Obra LH'!N30)</f>
        <v/>
      </c>
    </row>
    <row r="630" spans="1:6">
      <c r="A630" t="str">
        <f>IF('Obra LH'!G31="","","Obra LH")</f>
        <v/>
      </c>
      <c r="B630" t="str">
        <f>IF('Obra LH'!G31="","",'Obra LH'!G31)</f>
        <v/>
      </c>
      <c r="C630" t="str">
        <f>IF('Obra LH'!G31="","",'Obra LH'!I31)</f>
        <v/>
      </c>
      <c r="D630" t="str">
        <f>IF('Obra LH'!G31="","",'Obra LH'!L31)</f>
        <v/>
      </c>
      <c r="E630" t="str">
        <f>IF('Obra LH'!G31="","",'Obra LH'!M31)</f>
        <v/>
      </c>
      <c r="F630" t="str">
        <f>IF('Obra LH'!G31="","",'Obra LH'!N31)</f>
        <v/>
      </c>
    </row>
    <row r="631" spans="1:6">
      <c r="A631" t="str">
        <f>IF('Obra LH'!G32="","","Obra LH")</f>
        <v/>
      </c>
      <c r="B631" t="str">
        <f>IF('Obra LH'!G32="","",'Obra LH'!G32)</f>
        <v/>
      </c>
      <c r="C631" t="str">
        <f>IF('Obra LH'!G32="","",'Obra LH'!I32)</f>
        <v/>
      </c>
      <c r="D631" t="str">
        <f>IF('Obra LH'!G32="","",'Obra LH'!L32)</f>
        <v/>
      </c>
      <c r="E631" t="str">
        <f>IF('Obra LH'!G32="","",'Obra LH'!M32)</f>
        <v/>
      </c>
      <c r="F631" t="str">
        <f>IF('Obra LH'!G32="","",'Obra LH'!N32)</f>
        <v/>
      </c>
    </row>
    <row r="632" spans="1:6">
      <c r="A632" t="str">
        <f>IF('Obra LH'!G33="","","Obra LH")</f>
        <v/>
      </c>
      <c r="B632" t="str">
        <f>IF('Obra LH'!G33="","",'Obra LH'!G33)</f>
        <v/>
      </c>
      <c r="C632" t="str">
        <f>IF('Obra LH'!G33="","",'Obra LH'!I33)</f>
        <v/>
      </c>
      <c r="D632" t="str">
        <f>IF('Obra LH'!G33="","",'Obra LH'!L33)</f>
        <v/>
      </c>
      <c r="E632" t="str">
        <f>IF('Obra LH'!G33="","",'Obra LH'!M33)</f>
        <v/>
      </c>
      <c r="F632" t="str">
        <f>IF('Obra LH'!G33="","",'Obra LH'!N33)</f>
        <v/>
      </c>
    </row>
    <row r="633" spans="1:6">
      <c r="A633" t="str">
        <f>IF('Obra LH'!G34="","","Obra LH")</f>
        <v/>
      </c>
      <c r="B633" t="str">
        <f>IF('Obra LH'!G34="","",'Obra LH'!G34)</f>
        <v/>
      </c>
      <c r="C633" t="str">
        <f>IF('Obra LH'!G34="","",'Obra LH'!I34)</f>
        <v/>
      </c>
      <c r="D633" t="str">
        <f>IF('Obra LH'!G34="","",'Obra LH'!L34)</f>
        <v/>
      </c>
      <c r="E633" t="str">
        <f>IF('Obra LH'!G34="","",'Obra LH'!M34)</f>
        <v/>
      </c>
      <c r="F633" t="str">
        <f>IF('Obra LH'!G34="","",'Obra LH'!N34)</f>
        <v/>
      </c>
    </row>
    <row r="634" spans="1:6">
      <c r="A634" t="str">
        <f>IF('Obra LH'!G35="","","Obra LH")</f>
        <v/>
      </c>
      <c r="B634" t="str">
        <f>IF('Obra LH'!G35="","",'Obra LH'!G35)</f>
        <v/>
      </c>
      <c r="C634" t="str">
        <f>IF('Obra LH'!G35="","",'Obra LH'!I35)</f>
        <v/>
      </c>
      <c r="D634" t="str">
        <f>IF('Obra LH'!G35="","",'Obra LH'!L35)</f>
        <v/>
      </c>
      <c r="E634" t="str">
        <f>IF('Obra LH'!G35="","",'Obra LH'!M35)</f>
        <v/>
      </c>
      <c r="F634" t="str">
        <f>IF('Obra LH'!G35="","",'Obra LH'!N35)</f>
        <v/>
      </c>
    </row>
    <row r="635" spans="1:6">
      <c r="A635" t="str">
        <f>IF('Obra LH'!G36="","","Obra LH")</f>
        <v/>
      </c>
      <c r="B635" t="str">
        <f>IF('Obra LH'!G36="","",'Obra LH'!G36)</f>
        <v/>
      </c>
      <c r="C635" t="str">
        <f>IF('Obra LH'!G36="","",'Obra LH'!I36)</f>
        <v/>
      </c>
      <c r="D635" t="str">
        <f>IF('Obra LH'!G36="","",'Obra LH'!L36)</f>
        <v/>
      </c>
      <c r="E635" t="str">
        <f>IF('Obra LH'!G36="","",'Obra LH'!M36)</f>
        <v/>
      </c>
      <c r="F635" t="str">
        <f>IF('Obra LH'!G36="","",'Obra LH'!N36)</f>
        <v/>
      </c>
    </row>
    <row r="636" spans="1:6">
      <c r="A636" t="str">
        <f>IF('Obra LH'!G37="","","Obra LH")</f>
        <v/>
      </c>
      <c r="B636" t="str">
        <f>IF('Obra LH'!G37="","",'Obra LH'!G37)</f>
        <v/>
      </c>
      <c r="C636" t="str">
        <f>IF('Obra LH'!G37="","",'Obra LH'!I37)</f>
        <v/>
      </c>
      <c r="D636" t="str">
        <f>IF('Obra LH'!G37="","",'Obra LH'!L37)</f>
        <v/>
      </c>
      <c r="E636" t="str">
        <f>IF('Obra LH'!G37="","",'Obra LH'!M37)</f>
        <v/>
      </c>
      <c r="F636" t="str">
        <f>IF('Obra LH'!G37="","",'Obra LH'!N37)</f>
        <v/>
      </c>
    </row>
    <row r="637" spans="1:6">
      <c r="A637" t="str">
        <f>IF('Obra LH'!G38="","","Obra LH")</f>
        <v/>
      </c>
      <c r="B637" t="str">
        <f>IF('Obra LH'!G38="","",'Obra LH'!G38)</f>
        <v/>
      </c>
      <c r="C637" t="str">
        <f>IF('Obra LH'!G38="","",'Obra LH'!I38)</f>
        <v/>
      </c>
      <c r="D637" t="str">
        <f>IF('Obra LH'!G38="","",'Obra LH'!L38)</f>
        <v/>
      </c>
      <c r="E637" t="str">
        <f>IF('Obra LH'!G38="","",'Obra LH'!M38)</f>
        <v/>
      </c>
      <c r="F637" t="str">
        <f>IF('Obra LH'!G38="","",'Obra LH'!N38)</f>
        <v/>
      </c>
    </row>
    <row r="638" spans="1:6">
      <c r="A638" t="str">
        <f>IF('Obra LH'!G39="","","Obra LH")</f>
        <v/>
      </c>
      <c r="B638" t="str">
        <f>IF('Obra LH'!G39="","",'Obra LH'!G39)</f>
        <v/>
      </c>
      <c r="C638" t="str">
        <f>IF('Obra LH'!G39="","",'Obra LH'!I39)</f>
        <v/>
      </c>
      <c r="D638" t="str">
        <f>IF('Obra LH'!G39="","",'Obra LH'!L39)</f>
        <v/>
      </c>
      <c r="E638" t="str">
        <f>IF('Obra LH'!G39="","",'Obra LH'!M39)</f>
        <v/>
      </c>
      <c r="F638" t="str">
        <f>IF('Obra LH'!G39="","",'Obra LH'!N39)</f>
        <v/>
      </c>
    </row>
    <row r="639" spans="1:6">
      <c r="A639" t="str">
        <f>IF('Obra LH'!G40="","","Obra LH")</f>
        <v/>
      </c>
      <c r="B639" t="str">
        <f>IF('Obra LH'!G40="","",'Obra LH'!G40)</f>
        <v/>
      </c>
      <c r="C639" t="str">
        <f>IF('Obra LH'!G40="","",'Obra LH'!I40)</f>
        <v/>
      </c>
      <c r="D639" t="str">
        <f>IF('Obra LH'!G40="","",'Obra LH'!L40)</f>
        <v/>
      </c>
      <c r="E639" t="str">
        <f>IF('Obra LH'!G40="","",'Obra LH'!M40)</f>
        <v/>
      </c>
      <c r="F639" t="str">
        <f>IF('Obra LH'!G40="","",'Obra LH'!N40)</f>
        <v/>
      </c>
    </row>
    <row r="640" spans="1:6">
      <c r="A640" t="str">
        <f>IF('Obra LH'!G41="","","Obra LH")</f>
        <v/>
      </c>
      <c r="B640" t="str">
        <f>IF('Obra LH'!G41="","",'Obra LH'!G41)</f>
        <v/>
      </c>
      <c r="C640" t="str">
        <f>IF('Obra LH'!G41="","",'Obra LH'!I41)</f>
        <v/>
      </c>
      <c r="D640" t="str">
        <f>IF('Obra LH'!G41="","",'Obra LH'!L41)</f>
        <v/>
      </c>
      <c r="E640" t="str">
        <f>IF('Obra LH'!G41="","",'Obra LH'!M41)</f>
        <v/>
      </c>
      <c r="F640" t="str">
        <f>IF('Obra LH'!G41="","",'Obra LH'!N41)</f>
        <v/>
      </c>
    </row>
    <row r="641" spans="1:6">
      <c r="A641" t="str">
        <f>IF('Obra LH'!G42="","","Obra LH")</f>
        <v/>
      </c>
      <c r="B641" t="str">
        <f>IF('Obra LH'!G42="","",'Obra LH'!G42)</f>
        <v/>
      </c>
      <c r="C641" t="str">
        <f>IF('Obra LH'!G42="","",'Obra LH'!I42)</f>
        <v/>
      </c>
      <c r="D641" t="str">
        <f>IF('Obra LH'!G42="","",'Obra LH'!L42)</f>
        <v/>
      </c>
      <c r="E641" t="str">
        <f>IF('Obra LH'!G42="","",'Obra LH'!M42)</f>
        <v/>
      </c>
      <c r="F641" t="str">
        <f>IF('Obra LH'!G42="","",'Obra LH'!N42)</f>
        <v/>
      </c>
    </row>
    <row r="642" spans="1:6">
      <c r="A642" t="str">
        <f>IF('Obra LH'!G43="","","Obra LH")</f>
        <v/>
      </c>
      <c r="B642" t="str">
        <f>IF('Obra LH'!G43="","",'Obra LH'!G43)</f>
        <v/>
      </c>
      <c r="C642" t="str">
        <f>IF('Obra LH'!G43="","",'Obra LH'!I43)</f>
        <v/>
      </c>
      <c r="D642" t="str">
        <f>IF('Obra LH'!G43="","",'Obra LH'!L43)</f>
        <v/>
      </c>
      <c r="E642" t="str">
        <f>IF('Obra LH'!G43="","",'Obra LH'!M43)</f>
        <v/>
      </c>
      <c r="F642" t="str">
        <f>IF('Obra LH'!G43="","",'Obra LH'!N43)</f>
        <v/>
      </c>
    </row>
    <row r="643" spans="1:6">
      <c r="A643" t="str">
        <f>IF('Obra LH'!G44="","","Obra LH")</f>
        <v/>
      </c>
      <c r="B643" t="str">
        <f>IF('Obra LH'!G44="","",'Obra LH'!G44)</f>
        <v/>
      </c>
      <c r="C643" t="str">
        <f>IF('Obra LH'!G44="","",'Obra LH'!I44)</f>
        <v/>
      </c>
      <c r="D643" t="str">
        <f>IF('Obra LH'!G44="","",'Obra LH'!L44)</f>
        <v/>
      </c>
      <c r="E643" t="str">
        <f>IF('Obra LH'!G44="","",'Obra LH'!M44)</f>
        <v/>
      </c>
      <c r="F643" t="str">
        <f>IF('Obra LH'!G44="","",'Obra LH'!N44)</f>
        <v/>
      </c>
    </row>
    <row r="644" spans="1:6">
      <c r="A644" t="str">
        <f>IF('Obra LH'!G45="","","Obra LH")</f>
        <v/>
      </c>
      <c r="B644" t="str">
        <f>IF('Obra LH'!G45="","",'Obra LH'!G45)</f>
        <v/>
      </c>
      <c r="C644" t="str">
        <f>IF('Obra LH'!G45="","",'Obra LH'!I45)</f>
        <v/>
      </c>
      <c r="D644" t="str">
        <f>IF('Obra LH'!G45="","",'Obra LH'!L45)</f>
        <v/>
      </c>
      <c r="E644" t="str">
        <f>IF('Obra LH'!G45="","",'Obra LH'!M45)</f>
        <v/>
      </c>
      <c r="F644" t="str">
        <f>IF('Obra LH'!G45="","",'Obra LH'!N45)</f>
        <v/>
      </c>
    </row>
    <row r="645" spans="1:6">
      <c r="A645" t="str">
        <f>IF('Obra LH'!G46="","","Obra LH")</f>
        <v/>
      </c>
      <c r="B645" t="str">
        <f>IF('Obra LH'!G46="","",'Obra LH'!G46)</f>
        <v/>
      </c>
      <c r="C645" t="str">
        <f>IF('Obra LH'!G46="","",'Obra LH'!I46)</f>
        <v/>
      </c>
      <c r="D645" t="str">
        <f>IF('Obra LH'!G46="","",'Obra LH'!L46)</f>
        <v/>
      </c>
      <c r="E645" t="str">
        <f>IF('Obra LH'!G46="","",'Obra LH'!M46)</f>
        <v/>
      </c>
      <c r="F645" t="str">
        <f>IF('Obra LH'!G46="","",'Obra LH'!N46)</f>
        <v/>
      </c>
    </row>
    <row r="646" spans="1:6">
      <c r="A646" t="str">
        <f>IF('Obra LH'!G47="","","Obra LH")</f>
        <v/>
      </c>
      <c r="B646" t="str">
        <f>IF('Obra LH'!G47="","",'Obra LH'!G47)</f>
        <v/>
      </c>
      <c r="C646" t="str">
        <f>IF('Obra LH'!G47="","",'Obra LH'!I47)</f>
        <v/>
      </c>
      <c r="D646" t="str">
        <f>IF('Obra LH'!G47="","",'Obra LH'!L47)</f>
        <v/>
      </c>
      <c r="E646" t="str">
        <f>IF('Obra LH'!G47="","",'Obra LH'!M47)</f>
        <v/>
      </c>
      <c r="F646" t="str">
        <f>IF('Obra LH'!G47="","",'Obra LH'!N47)</f>
        <v/>
      </c>
    </row>
    <row r="647" spans="1:6">
      <c r="A647" t="str">
        <f>IF('Obra LH'!G48="","","Obra LH")</f>
        <v/>
      </c>
      <c r="B647" t="str">
        <f>IF('Obra LH'!G48="","",'Obra LH'!G48)</f>
        <v/>
      </c>
      <c r="C647" t="str">
        <f>IF('Obra LH'!G48="","",'Obra LH'!I48)</f>
        <v/>
      </c>
      <c r="D647" t="str">
        <f>IF('Obra LH'!G48="","",'Obra LH'!L48)</f>
        <v/>
      </c>
      <c r="E647" t="str">
        <f>IF('Obra LH'!G48="","",'Obra LH'!M48)</f>
        <v/>
      </c>
      <c r="F647" t="str">
        <f>IF('Obra LH'!G48="","",'Obra LH'!N48)</f>
        <v/>
      </c>
    </row>
    <row r="648" spans="1:6">
      <c r="A648" t="str">
        <f>IF('Obra LH'!G49="","","Obra LH")</f>
        <v/>
      </c>
      <c r="B648" t="str">
        <f>IF('Obra LH'!G49="","",'Obra LH'!G49)</f>
        <v/>
      </c>
      <c r="C648" t="str">
        <f>IF('Obra LH'!G49="","",'Obra LH'!I49)</f>
        <v/>
      </c>
      <c r="D648" t="str">
        <f>IF('Obra LH'!G49="","",'Obra LH'!L49)</f>
        <v/>
      </c>
      <c r="E648" t="str">
        <f>IF('Obra LH'!G49="","",'Obra LH'!M49)</f>
        <v/>
      </c>
      <c r="F648" t="str">
        <f>IF('Obra LH'!G49="","",'Obra LH'!N49)</f>
        <v/>
      </c>
    </row>
    <row r="649" spans="1:6">
      <c r="A649" t="str">
        <f>IF('Obra LH'!G50="","","Obra LH")</f>
        <v/>
      </c>
      <c r="B649" t="str">
        <f>IF('Obra LH'!G50="","",'Obra LH'!G50)</f>
        <v/>
      </c>
      <c r="C649" t="str">
        <f>IF('Obra LH'!G50="","",'Obra LH'!I50)</f>
        <v/>
      </c>
      <c r="D649" t="str">
        <f>IF('Obra LH'!G50="","",'Obra LH'!L50)</f>
        <v/>
      </c>
      <c r="E649" t="str">
        <f>IF('Obra LH'!G50="","",'Obra LH'!M50)</f>
        <v/>
      </c>
      <c r="F649" t="str">
        <f>IF('Obra LH'!G50="","",'Obra LH'!N50)</f>
        <v/>
      </c>
    </row>
    <row r="650" spans="1:6">
      <c r="A650" t="str">
        <f>IF('Obra LH'!G51="","","Obra LH")</f>
        <v/>
      </c>
      <c r="B650" t="str">
        <f>IF('Obra LH'!G51="","",'Obra LH'!G51)</f>
        <v/>
      </c>
      <c r="C650" t="str">
        <f>IF('Obra LH'!G51="","",'Obra LH'!I51)</f>
        <v/>
      </c>
      <c r="D650" t="str">
        <f>IF('Obra LH'!G51="","",'Obra LH'!K51)</f>
        <v/>
      </c>
      <c r="E650" t="str">
        <f>IF('Obra LH'!G51="","",'Obra LH'!L51)</f>
        <v/>
      </c>
      <c r="F650" t="str">
        <f>IF('Obra LH'!G51="","",'Obra LH'!M51)</f>
        <v/>
      </c>
    </row>
    <row r="651" spans="1:6">
      <c r="A651" t="str">
        <f>IF('Obra LH'!G52="","","Obra LH")</f>
        <v>Obra LH</v>
      </c>
      <c r="B651" t="str">
        <f>IF('Obra LH'!G52="","",'Obra LH'!G52)</f>
        <v>TOTAL</v>
      </c>
      <c r="C651">
        <f>IF('Obra LH'!G52="","",'Obra LH'!I52)</f>
        <v>0</v>
      </c>
      <c r="D651">
        <f>IF('Obra LH'!G52="","",'Obra LH'!K52)</f>
        <v>0</v>
      </c>
      <c r="E651">
        <f>IF('Obra LH'!G52="","",'Obra LH'!L52)</f>
        <v>0</v>
      </c>
      <c r="F651">
        <f>IF('Obra LH'!G52="","",'Obra LH'!M52)</f>
        <v>0</v>
      </c>
    </row>
    <row r="652" spans="1:6">
      <c r="A652" t="str">
        <f>IF('Obra LH'!G53="","","Obra LH")</f>
        <v/>
      </c>
      <c r="B652" t="str">
        <f>IF('Obra LH'!G53="","",'Obra LH'!G53)</f>
        <v/>
      </c>
      <c r="C652" t="str">
        <f>IF('Obra LH'!G53="","",'Obra LH'!I53)</f>
        <v/>
      </c>
      <c r="D652" t="str">
        <f>IF('Obra LH'!G53="","",'Obra LH'!K53)</f>
        <v/>
      </c>
      <c r="E652" t="str">
        <f>IF('Obra LH'!G53="","",'Obra LH'!L53)</f>
        <v/>
      </c>
      <c r="F652" t="str">
        <f>IF('Obra LH'!G53="","",'Obra LH'!M53)</f>
        <v/>
      </c>
    </row>
    <row r="653" spans="1:6">
      <c r="A653" t="str">
        <f>IF('Obra LH'!G54="","","Obra LH")</f>
        <v/>
      </c>
      <c r="B653" t="str">
        <f>IF('Obra LH'!G54="","",'Obra LH'!G54)</f>
        <v/>
      </c>
      <c r="C653" t="str">
        <f>IF('Obra LH'!G54="","",'Obra LH'!I54)</f>
        <v/>
      </c>
      <c r="D653" t="str">
        <f>IF('Obra LH'!G54="","",'Obra LH'!K54)</f>
        <v/>
      </c>
      <c r="E653" t="str">
        <f>IF('Obra LH'!G54="","",'Obra LH'!L54)</f>
        <v/>
      </c>
      <c r="F653" t="str">
        <f>IF('Obra LH'!G54="","",'Obra LH'!M54)</f>
        <v/>
      </c>
    </row>
    <row r="654" spans="1:6">
      <c r="A654" t="str">
        <f>IF('Obra LH'!G55="","","Obra LH")</f>
        <v/>
      </c>
      <c r="B654" t="str">
        <f>IF('Obra LH'!G55="","",'Obra LH'!G55)</f>
        <v/>
      </c>
      <c r="C654" t="str">
        <f>IF('Obra LH'!G55="","",'Obra LH'!I55)</f>
        <v/>
      </c>
      <c r="D654" t="str">
        <f>IF('Obra LH'!G55="","",'Obra LH'!K55)</f>
        <v/>
      </c>
      <c r="E654" t="str">
        <f>IF('Obra LH'!G55="","",'Obra LH'!L55)</f>
        <v/>
      </c>
      <c r="F654" t="str">
        <f>IF('Obra LH'!G55="","",'Obra LH'!M55)</f>
        <v/>
      </c>
    </row>
    <row r="655" spans="1:6">
      <c r="A655" t="str">
        <f>IF('Obra LH'!G56="","","Obra LH")</f>
        <v/>
      </c>
      <c r="B655" t="str">
        <f>IF('Obra LH'!G56="","",'Obra LH'!G56)</f>
        <v/>
      </c>
      <c r="C655" t="str">
        <f>IF('Obra LH'!G56="","",'Obra LH'!I56)</f>
        <v/>
      </c>
      <c r="D655" t="str">
        <f>IF('Obra LH'!G56="","",'Obra LH'!K56)</f>
        <v/>
      </c>
      <c r="E655" t="str">
        <f>IF('Obra LH'!G56="","",'Obra LH'!L56)</f>
        <v/>
      </c>
      <c r="F655" t="str">
        <f>IF('Obra LH'!G56="","",'Obra LH'!M56)</f>
        <v/>
      </c>
    </row>
    <row r="656" spans="1:6">
      <c r="A656" t="str">
        <f>IF('Obra LH'!G57="","","Obra LH")</f>
        <v/>
      </c>
      <c r="B656" t="str">
        <f>IF('Obra LH'!G57="","",'Obra LH'!G57)</f>
        <v/>
      </c>
      <c r="C656" t="str">
        <f>IF('Obra LH'!G57="","",'Obra LH'!I57)</f>
        <v/>
      </c>
      <c r="D656" t="str">
        <f>IF('Obra LH'!G57="","",'Obra LH'!K57)</f>
        <v/>
      </c>
      <c r="E656" t="str">
        <f>IF('Obra LH'!G57="","",'Obra LH'!L57)</f>
        <v/>
      </c>
      <c r="F656" t="str">
        <f>IF('Obra LH'!G57="","",'Obra LH'!M57)</f>
        <v/>
      </c>
    </row>
    <row r="657" spans="1:6">
      <c r="A657" t="str">
        <f>IF('Obra LH'!G58="","","Obra LH")</f>
        <v/>
      </c>
      <c r="B657" t="str">
        <f>IF('Obra LH'!G58="","",'Obra LH'!G58)</f>
        <v/>
      </c>
      <c r="C657" t="str">
        <f>IF('Obra LH'!G58="","",'Obra LH'!I58)</f>
        <v/>
      </c>
      <c r="D657" t="str">
        <f>IF('Obra LH'!G58="","",'Obra LH'!K58)</f>
        <v/>
      </c>
      <c r="E657" t="str">
        <f>IF('Obra LH'!G58="","",'Obra LH'!L58)</f>
        <v/>
      </c>
      <c r="F657" t="str">
        <f>IF('Obra LH'!G58="","",'Obra LH'!M58)</f>
        <v/>
      </c>
    </row>
    <row r="658" spans="1:6">
      <c r="A658" t="str">
        <f>IF('Obra LH'!G59="","","Obra LH")</f>
        <v/>
      </c>
      <c r="B658" t="str">
        <f>IF('Obra LH'!G59="","",'Obra LH'!G59)</f>
        <v/>
      </c>
      <c r="C658" t="str">
        <f>IF('Obra LH'!G59="","",'Obra LH'!I59)</f>
        <v/>
      </c>
      <c r="D658" t="str">
        <f>IF('Obra LH'!G59="","",'Obra LH'!K59)</f>
        <v/>
      </c>
      <c r="E658" t="str">
        <f>IF('Obra LH'!G59="","",'Obra LH'!L59)</f>
        <v/>
      </c>
      <c r="F658" t="str">
        <f>IF('Obra LH'!G59="","",'Obra LH'!M59)</f>
        <v/>
      </c>
    </row>
    <row r="659" spans="1:6">
      <c r="A659" t="str">
        <f>IF('Obra LH'!G60="","","Obra LH")</f>
        <v/>
      </c>
      <c r="B659" t="str">
        <f>IF('Obra LH'!G60="","",'Obra LH'!G60)</f>
        <v/>
      </c>
      <c r="C659" t="str">
        <f>IF('Obra LH'!G60="","",'Obra LH'!I60)</f>
        <v/>
      </c>
      <c r="D659" t="str">
        <f>IF('Obra LH'!G60="","",'Obra LH'!K60)</f>
        <v/>
      </c>
      <c r="E659" t="str">
        <f>IF('Obra LH'!G60="","",'Obra LH'!L60)</f>
        <v/>
      </c>
      <c r="F659" t="str">
        <f>IF('Obra LH'!G60="","",'Obra LH'!M60)</f>
        <v/>
      </c>
    </row>
    <row r="660" spans="1:6">
      <c r="A660" t="str">
        <f>IF('Obra LH'!G61="","","Obra LH")</f>
        <v/>
      </c>
      <c r="B660" t="str">
        <f>IF('Obra LH'!G61="","",'Obra LH'!G61)</f>
        <v/>
      </c>
      <c r="C660" t="str">
        <f>IF('Obra LH'!G61="","",'Obra LH'!I61)</f>
        <v/>
      </c>
      <c r="D660" t="str">
        <f>IF('Obra LH'!G61="","",'Obra LH'!K61)</f>
        <v/>
      </c>
      <c r="E660" t="str">
        <f>IF('Obra LH'!G61="","",'Obra LH'!L61)</f>
        <v/>
      </c>
      <c r="F660" t="str">
        <f>IF('Obra LH'!G61="","",'Obra LH'!M61)</f>
        <v/>
      </c>
    </row>
    <row r="661" spans="1:6">
      <c r="A661" t="str">
        <f>IF('Obra LH'!G62="","","Obra LH")</f>
        <v/>
      </c>
      <c r="B661" t="str">
        <f>IF('Obra LH'!G62="","",'Obra LH'!G62)</f>
        <v/>
      </c>
      <c r="C661" t="str">
        <f>IF('Obra LH'!G62="","",'Obra LH'!I62)</f>
        <v/>
      </c>
      <c r="D661" t="str">
        <f>IF('Obra LH'!G62="","",'Obra LH'!K62)</f>
        <v/>
      </c>
      <c r="E661" t="str">
        <f>IF('Obra LH'!G62="","",'Obra LH'!L62)</f>
        <v/>
      </c>
      <c r="F661" t="str">
        <f>IF('Obra LH'!G62="","",'Obra LH'!M62)</f>
        <v/>
      </c>
    </row>
    <row r="662" spans="1:6">
      <c r="A662" t="str">
        <f>IF('Obra LH'!G63="","","Obra LH")</f>
        <v/>
      </c>
      <c r="B662" t="str">
        <f>IF('Obra LH'!G63="","",'Obra LH'!G63)</f>
        <v/>
      </c>
      <c r="C662" t="str">
        <f>IF('Obra LH'!G63="","",'Obra LH'!I63)</f>
        <v/>
      </c>
      <c r="D662" t="str">
        <f>IF('Obra LH'!G63="","",'Obra LH'!K63)</f>
        <v/>
      </c>
      <c r="E662" t="str">
        <f>IF('Obra LH'!G63="","",'Obra LH'!L63)</f>
        <v/>
      </c>
      <c r="F662" t="str">
        <f>IF('Obra LH'!G63="","",'Obra LH'!M63)</f>
        <v/>
      </c>
    </row>
    <row r="663" spans="1:6">
      <c r="A663" t="str">
        <f>IF('Obra LH'!G64="","","Obra LH")</f>
        <v/>
      </c>
      <c r="B663" t="str">
        <f>IF('Obra LH'!G64="","",'Obra LH'!G64)</f>
        <v/>
      </c>
      <c r="C663" t="str">
        <f>IF('Obra LH'!G64="","",'Obra LH'!I64)</f>
        <v/>
      </c>
      <c r="D663" t="str">
        <f>IF('Obra LH'!G64="","",'Obra LH'!K64)</f>
        <v/>
      </c>
      <c r="E663" t="str">
        <f>IF('Obra LH'!G64="","",'Obra LH'!L64)</f>
        <v/>
      </c>
      <c r="F663" t="str">
        <f>IF('Obra LH'!G64="","",'Obra LH'!M64)</f>
        <v/>
      </c>
    </row>
    <row r="664" spans="1:6">
      <c r="A664" t="str">
        <f>IF('Obra LH'!G65="","","Obra LH")</f>
        <v/>
      </c>
      <c r="B664" t="str">
        <f>IF('Obra LH'!G65="","",'Obra LH'!G65)</f>
        <v/>
      </c>
      <c r="C664" t="str">
        <f>IF('Obra LH'!G65="","",'Obra LH'!I65)</f>
        <v/>
      </c>
      <c r="D664" t="str">
        <f>IF('Obra LH'!G65="","",'Obra LH'!K65)</f>
        <v/>
      </c>
      <c r="E664" t="str">
        <f>IF('Obra LH'!G65="","",'Obra LH'!L65)</f>
        <v/>
      </c>
      <c r="F664" t="str">
        <f>IF('Obra LH'!G65="","",'Obra LH'!M65)</f>
        <v/>
      </c>
    </row>
    <row r="665" spans="1:6">
      <c r="A665" t="str">
        <f>IF('Obra LH'!G66="","","Obra LH")</f>
        <v/>
      </c>
      <c r="B665" t="str">
        <f>IF('Obra LH'!G66="","",'Obra LH'!G66)</f>
        <v/>
      </c>
      <c r="C665" t="str">
        <f>IF('Obra LH'!G66="","",'Obra LH'!I66)</f>
        <v/>
      </c>
      <c r="D665" t="str">
        <f>IF('Obra LH'!G66="","",'Obra LH'!K66)</f>
        <v/>
      </c>
      <c r="E665" t="str">
        <f>IF('Obra LH'!G66="","",'Obra LH'!L66)</f>
        <v/>
      </c>
      <c r="F665" t="str">
        <f>IF('Obra LH'!G66="","",'Obra LH'!M66)</f>
        <v/>
      </c>
    </row>
    <row r="666" spans="1:6">
      <c r="A666" t="str">
        <f>IF('Obra LH'!G67="","","Obra LH")</f>
        <v/>
      </c>
      <c r="B666" t="str">
        <f>IF('Obra LH'!G67="","",'Obra LH'!G67)</f>
        <v/>
      </c>
      <c r="C666" t="str">
        <f>IF('Obra LH'!G67="","",'Obra LH'!I67)</f>
        <v/>
      </c>
      <c r="D666" t="str">
        <f>IF('Obra LH'!G67="","",'Obra LH'!K67)</f>
        <v/>
      </c>
      <c r="E666" t="str">
        <f>IF('Obra LH'!G67="","",'Obra LH'!L67)</f>
        <v/>
      </c>
      <c r="F666" t="str">
        <f>IF('Obra LH'!G67="","",'Obra LH'!M67)</f>
        <v/>
      </c>
    </row>
    <row r="667" spans="1:6">
      <c r="A667" t="str">
        <f>IF('Obra LH'!G68="","","Obra LH")</f>
        <v/>
      </c>
      <c r="B667" t="str">
        <f>IF('Obra LH'!G68="","",'Obra LH'!G68)</f>
        <v/>
      </c>
      <c r="C667" t="str">
        <f>IF('Obra LH'!G68="","",'Obra LH'!I68)</f>
        <v/>
      </c>
      <c r="D667" t="str">
        <f>IF('Obra LH'!G68="","",'Obra LH'!K68)</f>
        <v/>
      </c>
      <c r="E667" t="str">
        <f>IF('Obra LH'!G68="","",'Obra LH'!L68)</f>
        <v/>
      </c>
      <c r="F667" t="str">
        <f>IF('Obra LH'!G68="","",'Obra LH'!M68)</f>
        <v/>
      </c>
    </row>
    <row r="668" spans="1:6">
      <c r="A668" t="str">
        <f>IF('Obra LH'!G69="","","Obra LH")</f>
        <v/>
      </c>
      <c r="B668" t="str">
        <f>IF('Obra LH'!G69="","",'Obra LH'!G69)</f>
        <v/>
      </c>
      <c r="C668" t="str">
        <f>IF('Obra LH'!G69="","",'Obra LH'!I69)</f>
        <v/>
      </c>
      <c r="D668" t="str">
        <f>IF('Obra LH'!G69="","",'Obra LH'!K69)</f>
        <v/>
      </c>
      <c r="E668" t="str">
        <f>IF('Obra LH'!G69="","",'Obra LH'!L69)</f>
        <v/>
      </c>
      <c r="F668" t="str">
        <f>IF('Obra LH'!G69="","",'Obra LH'!M69)</f>
        <v/>
      </c>
    </row>
    <row r="669" spans="1:6">
      <c r="A669" t="str">
        <f>IF('Obra LH'!G70="","","Obra LH")</f>
        <v/>
      </c>
      <c r="B669" t="str">
        <f>IF('Obra LH'!G70="","",'Obra LH'!G70)</f>
        <v/>
      </c>
      <c r="C669" t="str">
        <f>IF('Obra LH'!G70="","",'Obra LH'!I70)</f>
        <v/>
      </c>
      <c r="D669" t="str">
        <f>IF('Obra LH'!G70="","",'Obra LH'!K70)</f>
        <v/>
      </c>
      <c r="E669" t="str">
        <f>IF('Obra LH'!G70="","",'Obra LH'!L70)</f>
        <v/>
      </c>
      <c r="F669" t="str">
        <f>IF('Obra LH'!G70="","",'Obra LH'!M70)</f>
        <v/>
      </c>
    </row>
    <row r="670" spans="1:6">
      <c r="A670" t="str">
        <f>IF('Obra LH'!G71="","","Obra LH")</f>
        <v/>
      </c>
      <c r="B670" t="str">
        <f>IF('Obra LH'!G71="","",'Obra LH'!G71)</f>
        <v/>
      </c>
      <c r="C670" t="str">
        <f>IF('Obra LH'!G71="","",'Obra LH'!I71)</f>
        <v/>
      </c>
      <c r="D670" t="str">
        <f>IF('Obra LH'!G71="","",'Obra LH'!K71)</f>
        <v/>
      </c>
      <c r="E670" t="str">
        <f>IF('Obra LH'!G71="","",'Obra LH'!L71)</f>
        <v/>
      </c>
      <c r="F670" t="str">
        <f>IF('Obra LH'!G71="","",'Obra LH'!M71)</f>
        <v/>
      </c>
    </row>
    <row r="671" spans="1:6">
      <c r="A671" t="str">
        <f>IF('Obra LH'!G72="","","Obra LH")</f>
        <v/>
      </c>
      <c r="B671" t="str">
        <f>IF('Obra LH'!G72="","",'Obra LH'!G72)</f>
        <v/>
      </c>
      <c r="C671" t="str">
        <f>IF('Obra LH'!G72="","",'Obra LH'!I72)</f>
        <v/>
      </c>
      <c r="D671" t="str">
        <f>IF('Obra LH'!G72="","",'Obra LH'!K72)</f>
        <v/>
      </c>
      <c r="E671" t="str">
        <f>IF('Obra LH'!G72="","",'Obra LH'!L72)</f>
        <v/>
      </c>
      <c r="F671" t="str">
        <f>IF('Obra LH'!G72="","",'Obra LH'!M72)</f>
        <v/>
      </c>
    </row>
    <row r="672" spans="1:6">
      <c r="A672" t="str">
        <f>IF('Obra LH'!G73="","","Obra LH")</f>
        <v/>
      </c>
      <c r="B672" t="str">
        <f>IF('Obra LH'!G73="","",'Obra LH'!G73)</f>
        <v/>
      </c>
      <c r="C672" t="str">
        <f>IF('Obra LH'!G73="","",'Obra LH'!I73)</f>
        <v/>
      </c>
      <c r="D672" t="str">
        <f>IF('Obra LH'!G73="","",'Obra LH'!K73)</f>
        <v/>
      </c>
      <c r="E672" t="str">
        <f>IF('Obra LH'!G73="","",'Obra LH'!L73)</f>
        <v/>
      </c>
      <c r="F672" t="str">
        <f>IF('Obra LH'!G73="","",'Obra LH'!M73)</f>
        <v/>
      </c>
    </row>
    <row r="673" spans="1:6">
      <c r="A673" t="str">
        <f>IF('Obra colegio'!G10="","","Obra colegio")</f>
        <v>Obra colegio</v>
      </c>
      <c r="B673" t="str">
        <f>IF('Obra colegio'!G10="","",'Obra colegio'!G10)</f>
        <v>Flete Hugo Godoy</v>
      </c>
      <c r="C673">
        <f>IF('Obra colegio'!G10="","",'Obra colegio'!I10)</f>
        <v>58000</v>
      </c>
      <c r="D673" t="str">
        <f>IF('Obra colegio'!G10="","",'Obra colegio'!L10)</f>
        <v>Pagado</v>
      </c>
      <c r="E673">
        <f>IF('Obra colegio'!G10="","",'Obra colegio'!M10)</f>
        <v>0</v>
      </c>
      <c r="F673" t="str">
        <f>IF('Obra colegio'!G10="","",'Obra colegio'!N10)</f>
        <v>Recibido en obra</v>
      </c>
    </row>
    <row r="674" spans="1:6">
      <c r="A674" t="str">
        <f>IF('Obra colegio'!G11="","","Obra colegio")</f>
        <v>Obra colegio</v>
      </c>
      <c r="B674" t="str">
        <f>IF('Obra colegio'!G11="","",'Obra colegio'!G11)</f>
        <v>Guaticor</v>
      </c>
      <c r="C674">
        <f>IF('Obra colegio'!G11="","",'Obra colegio'!I11)</f>
        <v>60400</v>
      </c>
      <c r="D674" t="str">
        <f>IF('Obra colegio'!G11="","",'Obra colegio'!L11)</f>
        <v>Pagado</v>
      </c>
      <c r="E674">
        <f>IF('Obra colegio'!G11="","",'Obra colegio'!M11)</f>
        <v>0</v>
      </c>
      <c r="F674" t="str">
        <f>IF('Obra colegio'!G11="","",'Obra colegio'!N11)</f>
        <v>Recibido en obra</v>
      </c>
    </row>
    <row r="675" spans="1:6">
      <c r="A675" t="str">
        <f>IF('Obra colegio'!G12="","","Obra colegio")</f>
        <v/>
      </c>
      <c r="B675" t="str">
        <f>IF('Obra colegio'!G12="","",'Obra colegio'!G12)</f>
        <v/>
      </c>
      <c r="C675" t="str">
        <f>IF('Obra colegio'!G12="","",'Obra colegio'!I12)</f>
        <v/>
      </c>
      <c r="D675" t="str">
        <f>IF('Obra colegio'!G12="","",'Obra colegio'!L12)</f>
        <v/>
      </c>
      <c r="E675" t="str">
        <f>IF('Obra colegio'!G12="","",'Obra colegio'!M12)</f>
        <v/>
      </c>
      <c r="F675" t="str">
        <f>IF('Obra colegio'!G12="","",'Obra colegio'!N12)</f>
        <v/>
      </c>
    </row>
    <row r="676" spans="1:6">
      <c r="A676" t="str">
        <f>IF('Obra colegio'!G13="","","Obra colegio")</f>
        <v/>
      </c>
      <c r="B676" t="str">
        <f>IF('Obra colegio'!G13="","",'Obra colegio'!G13)</f>
        <v/>
      </c>
      <c r="C676" t="str">
        <f>IF('Obra colegio'!G13="","",'Obra colegio'!I13)</f>
        <v/>
      </c>
      <c r="D676" t="str">
        <f>IF('Obra colegio'!G13="","",'Obra colegio'!L13)</f>
        <v/>
      </c>
      <c r="E676" t="str">
        <f>IF('Obra colegio'!G13="","",'Obra colegio'!M13)</f>
        <v/>
      </c>
      <c r="F676" t="str">
        <f>IF('Obra colegio'!G13="","",'Obra colegio'!N13)</f>
        <v/>
      </c>
    </row>
    <row r="677" spans="1:6">
      <c r="A677" t="str">
        <f>IF('Obra colegio'!G15="","","Obra colegio")</f>
        <v>Obra colegio</v>
      </c>
      <c r="B677" t="str">
        <f>IF('Obra colegio'!G15="","",'Obra colegio'!G15)</f>
        <v>Flete Hugo Godoy</v>
      </c>
      <c r="C677">
        <f>IF('Obra colegio'!G15="","",'Obra colegio'!I15)</f>
        <v>52000</v>
      </c>
      <c r="D677" t="str">
        <f>IF('Obra colegio'!G15="","",'Obra colegio'!L15)</f>
        <v>Pagado</v>
      </c>
      <c r="E677" t="str">
        <f>IF('Obra colegio'!G15="","",'Obra colegio'!M15)</f>
        <v>No Pagado</v>
      </c>
      <c r="F677" t="str">
        <f>IF('Obra colegio'!G15="","",'Obra colegio'!N15)</f>
        <v>Recibido en obra</v>
      </c>
    </row>
    <row r="678" spans="1:6">
      <c r="A678" t="str">
        <f>IF('Obra colegio'!G16="","","Obra colegio")</f>
        <v/>
      </c>
      <c r="B678" t="str">
        <f>IF('Obra colegio'!G16="","",'Obra colegio'!G16)</f>
        <v/>
      </c>
      <c r="C678" t="str">
        <f>IF('Obra colegio'!G16="","",'Obra colegio'!I16)</f>
        <v/>
      </c>
      <c r="D678" t="str">
        <f>IF('Obra colegio'!G16="","",'Obra colegio'!L16)</f>
        <v/>
      </c>
      <c r="E678" t="str">
        <f>IF('Obra colegio'!G16="","",'Obra colegio'!M16)</f>
        <v/>
      </c>
      <c r="F678" t="str">
        <f>IF('Obra colegio'!G16="","",'Obra colegio'!N16)</f>
        <v/>
      </c>
    </row>
    <row r="679" spans="1:6">
      <c r="A679" t="e">
        <f>IF('Obra colegio'!#REF!="","","Obra colegio")</f>
        <v>#REF!</v>
      </c>
      <c r="B679" t="e">
        <f>IF('Obra colegio'!#REF!="","",'Obra colegio'!#REF!)</f>
        <v>#REF!</v>
      </c>
      <c r="C679" t="e">
        <f>IF('Obra colegio'!#REF!="","",'Obra colegio'!#REF!)</f>
        <v>#REF!</v>
      </c>
      <c r="D679" t="e">
        <f>IF('Obra colegio'!#REF!="","",'Obra colegio'!#REF!)</f>
        <v>#REF!</v>
      </c>
      <c r="E679" t="e">
        <f>IF('Obra colegio'!#REF!="","",'Obra colegio'!#REF!)</f>
        <v>#REF!</v>
      </c>
      <c r="F679" t="e">
        <f>IF('Obra colegio'!#REF!="","",'Obra colegio'!#REF!)</f>
        <v>#REF!</v>
      </c>
    </row>
    <row r="680" spans="1:6">
      <c r="A680" t="str">
        <f>IF('Obra colegio'!G17="","","Obra colegio")</f>
        <v/>
      </c>
      <c r="B680" t="str">
        <f>IF('Obra colegio'!G17="","",'Obra colegio'!G17)</f>
        <v/>
      </c>
      <c r="C680" t="str">
        <f>IF('Obra colegio'!G17="","",'Obra colegio'!I17)</f>
        <v/>
      </c>
      <c r="D680" t="str">
        <f>IF('Obra colegio'!G17="","",'Obra colegio'!L17)</f>
        <v/>
      </c>
      <c r="E680" t="str">
        <f>IF('Obra colegio'!G17="","",'Obra colegio'!M17)</f>
        <v/>
      </c>
      <c r="F680" t="str">
        <f>IF('Obra colegio'!G17="","",'Obra colegio'!N17)</f>
        <v/>
      </c>
    </row>
    <row r="681" spans="1:6">
      <c r="A681" t="str">
        <f>IF('Obra colegio'!G18="","","Obra colegio")</f>
        <v>Obra colegio</v>
      </c>
      <c r="B681" t="str">
        <f>IF('Obra colegio'!G18="","",'Obra colegio'!G18)</f>
        <v>Flete Hugo Godoy</v>
      </c>
      <c r="C681">
        <f>IF('Obra colegio'!G18="","",'Obra colegio'!I18)</f>
        <v>40000</v>
      </c>
      <c r="D681" t="str">
        <f>IF('Obra colegio'!G18="","",'Obra colegio'!L18)</f>
        <v>Pagado</v>
      </c>
      <c r="E681">
        <f>IF('Obra colegio'!G18="","",'Obra colegio'!M18)</f>
        <v>0</v>
      </c>
      <c r="F681" t="str">
        <f>IF('Obra colegio'!G18="","",'Obra colegio'!N18)</f>
        <v>Recibido en obra</v>
      </c>
    </row>
    <row r="682" spans="1:6">
      <c r="A682" t="str">
        <f>IF('Obra colegio'!G19="","","Obra colegio")</f>
        <v/>
      </c>
      <c r="B682" t="str">
        <f>IF('Obra colegio'!G19="","",'Obra colegio'!G19)</f>
        <v/>
      </c>
      <c r="C682" t="str">
        <f>IF('Obra colegio'!G19="","",'Obra colegio'!I19)</f>
        <v/>
      </c>
      <c r="D682" t="str">
        <f>IF('Obra colegio'!G19="","",'Obra colegio'!L19)</f>
        <v/>
      </c>
      <c r="E682" t="str">
        <f>IF('Obra colegio'!G19="","",'Obra colegio'!M19)</f>
        <v/>
      </c>
      <c r="F682" t="str">
        <f>IF('Obra colegio'!G19="","",'Obra colegio'!N19)</f>
        <v/>
      </c>
    </row>
    <row r="683" spans="1:6">
      <c r="A683" t="str">
        <f>IF('Obra colegio'!G20="","","Obra colegio")</f>
        <v/>
      </c>
      <c r="B683" t="str">
        <f>IF('Obra colegio'!G20="","",'Obra colegio'!G20)</f>
        <v/>
      </c>
      <c r="C683" t="str">
        <f>IF('Obra colegio'!G20="","",'Obra colegio'!I20)</f>
        <v/>
      </c>
      <c r="D683" t="str">
        <f>IF('Obra colegio'!G20="","",'Obra colegio'!L20)</f>
        <v/>
      </c>
      <c r="E683" t="str">
        <f>IF('Obra colegio'!G20="","",'Obra colegio'!M20)</f>
        <v/>
      </c>
      <c r="F683" t="str">
        <f>IF('Obra colegio'!G20="","",'Obra colegio'!N20)</f>
        <v/>
      </c>
    </row>
    <row r="684" spans="1:6">
      <c r="A684" t="str">
        <f>IF('Obra colegio'!G21="","","Obra colegio")</f>
        <v/>
      </c>
      <c r="B684" t="str">
        <f>IF('Obra colegio'!G21="","",'Obra colegio'!G21)</f>
        <v/>
      </c>
      <c r="C684" t="str">
        <f>IF('Obra colegio'!G21="","",'Obra colegio'!I21)</f>
        <v/>
      </c>
      <c r="D684" t="str">
        <f>IF('Obra colegio'!G21="","",'Obra colegio'!L21)</f>
        <v/>
      </c>
      <c r="E684" t="str">
        <f>IF('Obra colegio'!G21="","",'Obra colegio'!M21)</f>
        <v/>
      </c>
      <c r="F684" t="str">
        <f>IF('Obra colegio'!G21="","",'Obra colegio'!N21)</f>
        <v/>
      </c>
    </row>
    <row r="685" spans="1:6">
      <c r="A685" t="str">
        <f>IF('Obra colegio'!G22="","","Obra colegio")</f>
        <v/>
      </c>
      <c r="B685" t="str">
        <f>IF('Obra colegio'!G22="","",'Obra colegio'!G22)</f>
        <v/>
      </c>
      <c r="C685" t="str">
        <f>IF('Obra colegio'!G22="","",'Obra colegio'!I22)</f>
        <v/>
      </c>
      <c r="D685" t="str">
        <f>IF('Obra colegio'!G22="","",'Obra colegio'!L22)</f>
        <v/>
      </c>
      <c r="E685" t="str">
        <f>IF('Obra colegio'!G22="","",'Obra colegio'!M22)</f>
        <v/>
      </c>
      <c r="F685" t="str">
        <f>IF('Obra colegio'!G22="","",'Obra colegio'!N22)</f>
        <v/>
      </c>
    </row>
    <row r="686" spans="1:6">
      <c r="A686" t="str">
        <f>IF('Obra colegio'!G23="","","Obra colegio")</f>
        <v/>
      </c>
      <c r="B686" t="str">
        <f>IF('Obra colegio'!G23="","",'Obra colegio'!G23)</f>
        <v/>
      </c>
      <c r="C686" t="str">
        <f>IF('Obra colegio'!G23="","",'Obra colegio'!I23)</f>
        <v/>
      </c>
      <c r="D686" t="str">
        <f>IF('Obra colegio'!G23="","",'Obra colegio'!L23)</f>
        <v/>
      </c>
      <c r="E686" t="str">
        <f>IF('Obra colegio'!G23="","",'Obra colegio'!M23)</f>
        <v/>
      </c>
      <c r="F686" t="str">
        <f>IF('Obra colegio'!G23="","",'Obra colegio'!N23)</f>
        <v/>
      </c>
    </row>
    <row r="687" spans="1:6">
      <c r="A687" t="str">
        <f>IF('Obra colegio'!G24="","","Obra colegio")</f>
        <v/>
      </c>
      <c r="B687" t="str">
        <f>IF('Obra colegio'!G24="","",'Obra colegio'!G24)</f>
        <v/>
      </c>
      <c r="C687" t="str">
        <f>IF('Obra colegio'!G24="","",'Obra colegio'!I24)</f>
        <v/>
      </c>
      <c r="D687" t="str">
        <f>IF('Obra colegio'!G24="","",'Obra colegio'!L24)</f>
        <v/>
      </c>
      <c r="E687" t="str">
        <f>IF('Obra colegio'!G24="","",'Obra colegio'!M24)</f>
        <v/>
      </c>
      <c r="F687" t="str">
        <f>IF('Obra colegio'!G24="","",'Obra colegio'!N24)</f>
        <v/>
      </c>
    </row>
    <row r="688" spans="1:6">
      <c r="A688" t="str">
        <f>IF('Obra colegio'!G25="","","Obra colegio")</f>
        <v/>
      </c>
      <c r="B688" t="str">
        <f>IF('Obra colegio'!G25="","",'Obra colegio'!G25)</f>
        <v/>
      </c>
      <c r="C688" t="str">
        <f>IF('Obra colegio'!G25="","",'Obra colegio'!I25)</f>
        <v/>
      </c>
      <c r="D688" t="str">
        <f>IF('Obra colegio'!G25="","",'Obra colegio'!L25)</f>
        <v/>
      </c>
      <c r="E688" t="str">
        <f>IF('Obra colegio'!G25="","",'Obra colegio'!M25)</f>
        <v/>
      </c>
      <c r="F688" t="str">
        <f>IF('Obra colegio'!G25="","",'Obra colegio'!N25)</f>
        <v/>
      </c>
    </row>
    <row r="689" spans="1:6">
      <c r="A689" t="str">
        <f>IF('Obra colegio'!G26="","","Obra colegio")</f>
        <v/>
      </c>
      <c r="B689" t="str">
        <f>IF('Obra colegio'!G26="","",'Obra colegio'!G26)</f>
        <v/>
      </c>
      <c r="C689" t="str">
        <f>IF('Obra colegio'!G26="","",'Obra colegio'!I26)</f>
        <v/>
      </c>
      <c r="D689" t="str">
        <f>IF('Obra colegio'!G26="","",'Obra colegio'!L26)</f>
        <v/>
      </c>
      <c r="E689" t="str">
        <f>IF('Obra colegio'!G26="","",'Obra colegio'!M26)</f>
        <v/>
      </c>
      <c r="F689" t="str">
        <f>IF('Obra colegio'!G26="","",'Obra colegio'!N26)</f>
        <v/>
      </c>
    </row>
    <row r="690" spans="1:6">
      <c r="A690" t="str">
        <f>IF('Obra colegio'!G27="","","Obra colegio")</f>
        <v/>
      </c>
      <c r="B690" t="str">
        <f>IF('Obra colegio'!G27="","",'Obra colegio'!G27)</f>
        <v/>
      </c>
      <c r="C690" t="str">
        <f>IF('Obra colegio'!G27="","",'Obra colegio'!I27)</f>
        <v/>
      </c>
      <c r="D690" t="str">
        <f>IF('Obra colegio'!G27="","",'Obra colegio'!L27)</f>
        <v/>
      </c>
      <c r="E690" t="str">
        <f>IF('Obra colegio'!G27="","",'Obra colegio'!M27)</f>
        <v/>
      </c>
      <c r="F690" t="str">
        <f>IF('Obra colegio'!G27="","",'Obra colegio'!N27)</f>
        <v/>
      </c>
    </row>
    <row r="691" spans="1:6">
      <c r="A691" t="str">
        <f>IF('Obra colegio'!G28="","","Obra colegio")</f>
        <v/>
      </c>
      <c r="B691" t="str">
        <f>IF('Obra colegio'!G28="","",'Obra colegio'!G28)</f>
        <v/>
      </c>
      <c r="C691" t="str">
        <f>IF('Obra colegio'!G28="","",'Obra colegio'!I28)</f>
        <v/>
      </c>
      <c r="D691" t="str">
        <f>IF('Obra colegio'!G28="","",'Obra colegio'!L28)</f>
        <v/>
      </c>
      <c r="E691" t="str">
        <f>IF('Obra colegio'!G28="","",'Obra colegio'!M28)</f>
        <v/>
      </c>
      <c r="F691" t="str">
        <f>IF('Obra colegio'!G28="","",'Obra colegio'!N28)</f>
        <v/>
      </c>
    </row>
    <row r="692" spans="1:6">
      <c r="A692" t="str">
        <f>IF('Obra colegio'!G29="","","Obra colegio")</f>
        <v/>
      </c>
      <c r="B692" t="str">
        <f>IF('Obra colegio'!G29="","",'Obra colegio'!G29)</f>
        <v/>
      </c>
      <c r="C692" t="str">
        <f>IF('Obra colegio'!G29="","",'Obra colegio'!I29)</f>
        <v/>
      </c>
      <c r="D692" t="str">
        <f>IF('Obra colegio'!G29="","",'Obra colegio'!L29)</f>
        <v/>
      </c>
      <c r="E692" t="str">
        <f>IF('Obra colegio'!G29="","",'Obra colegio'!M29)</f>
        <v/>
      </c>
      <c r="F692" t="str">
        <f>IF('Obra colegio'!G29="","",'Obra colegio'!N29)</f>
        <v/>
      </c>
    </row>
    <row r="693" spans="1:6">
      <c r="A693" t="str">
        <f>IF('Obra colegio'!G30="","","Obra colegio")</f>
        <v/>
      </c>
      <c r="B693" t="str">
        <f>IF('Obra colegio'!G30="","",'Obra colegio'!G30)</f>
        <v/>
      </c>
      <c r="C693" t="str">
        <f>IF('Obra colegio'!G30="","",'Obra colegio'!I30)</f>
        <v/>
      </c>
      <c r="D693" t="str">
        <f>IF('Obra colegio'!G30="","",'Obra colegio'!L30)</f>
        <v/>
      </c>
      <c r="E693" t="str">
        <f>IF('Obra colegio'!G30="","",'Obra colegio'!M30)</f>
        <v/>
      </c>
      <c r="F693" t="str">
        <f>IF('Obra colegio'!G30="","",'Obra colegio'!N30)</f>
        <v/>
      </c>
    </row>
    <row r="694" spans="1:6">
      <c r="A694" t="str">
        <f>IF('Obra colegio'!G31="","","Obra colegio")</f>
        <v/>
      </c>
      <c r="B694" t="str">
        <f>IF('Obra colegio'!G31="","",'Obra colegio'!G31)</f>
        <v/>
      </c>
      <c r="C694" t="str">
        <f>IF('Obra colegio'!G31="","",'Obra colegio'!I31)</f>
        <v/>
      </c>
      <c r="D694" t="str">
        <f>IF('Obra colegio'!G31="","",'Obra colegio'!L31)</f>
        <v/>
      </c>
      <c r="E694" t="str">
        <f>IF('Obra colegio'!G31="","",'Obra colegio'!M31)</f>
        <v/>
      </c>
      <c r="F694" t="str">
        <f>IF('Obra colegio'!G31="","",'Obra colegio'!N31)</f>
        <v/>
      </c>
    </row>
    <row r="695" spans="1:6">
      <c r="A695" t="str">
        <f>IF('Obra colegio'!G32="","","Obra colegio")</f>
        <v/>
      </c>
      <c r="B695" t="str">
        <f>IF('Obra colegio'!G32="","",'Obra colegio'!G32)</f>
        <v/>
      </c>
      <c r="C695" t="str">
        <f>IF('Obra colegio'!G32="","",'Obra colegio'!I32)</f>
        <v/>
      </c>
      <c r="D695" t="str">
        <f>IF('Obra colegio'!G32="","",'Obra colegio'!L32)</f>
        <v/>
      </c>
      <c r="E695" t="str">
        <f>IF('Obra colegio'!G32="","",'Obra colegio'!M32)</f>
        <v/>
      </c>
      <c r="F695" t="str">
        <f>IF('Obra colegio'!G32="","",'Obra colegio'!N32)</f>
        <v/>
      </c>
    </row>
    <row r="696" spans="1:6">
      <c r="A696" t="str">
        <f>IF('Obra colegio'!G33="","","Obra colegio")</f>
        <v/>
      </c>
      <c r="B696" t="str">
        <f>IF('Obra colegio'!G33="","",'Obra colegio'!G33)</f>
        <v/>
      </c>
      <c r="C696" t="str">
        <f>IF('Obra colegio'!G33="","",'Obra colegio'!I33)</f>
        <v/>
      </c>
      <c r="D696" t="str">
        <f>IF('Obra colegio'!G33="","",'Obra colegio'!L33)</f>
        <v/>
      </c>
      <c r="E696" t="str">
        <f>IF('Obra colegio'!G33="","",'Obra colegio'!M33)</f>
        <v/>
      </c>
      <c r="F696" t="str">
        <f>IF('Obra colegio'!G33="","",'Obra colegio'!N33)</f>
        <v/>
      </c>
    </row>
    <row r="697" spans="1:6">
      <c r="A697" t="str">
        <f>IF('Obra colegio'!G34="","","Obra colegio")</f>
        <v/>
      </c>
      <c r="B697" t="str">
        <f>IF('Obra colegio'!G34="","",'Obra colegio'!G34)</f>
        <v/>
      </c>
      <c r="C697" t="str">
        <f>IF('Obra colegio'!G34="","",'Obra colegio'!I34)</f>
        <v/>
      </c>
      <c r="D697" t="str">
        <f>IF('Obra colegio'!G34="","",'Obra colegio'!L34)</f>
        <v/>
      </c>
      <c r="E697" t="str">
        <f>IF('Obra colegio'!G34="","",'Obra colegio'!M34)</f>
        <v/>
      </c>
      <c r="F697" t="str">
        <f>IF('Obra colegio'!G34="","",'Obra colegio'!N34)</f>
        <v/>
      </c>
    </row>
    <row r="698" spans="1:6">
      <c r="A698" t="str">
        <f>IF('Obra colegio'!G35="","","Obra colegio")</f>
        <v/>
      </c>
      <c r="B698" t="str">
        <f>IF('Obra colegio'!G35="","",'Obra colegio'!G35)</f>
        <v/>
      </c>
      <c r="C698" t="str">
        <f>IF('Obra colegio'!G35="","",'Obra colegio'!I35)</f>
        <v/>
      </c>
      <c r="D698" t="str">
        <f>IF('Obra colegio'!G35="","",'Obra colegio'!L35)</f>
        <v/>
      </c>
      <c r="E698" t="str">
        <f>IF('Obra colegio'!G35="","",'Obra colegio'!M35)</f>
        <v/>
      </c>
      <c r="F698" t="str">
        <f>IF('Obra colegio'!G35="","",'Obra colegio'!N35)</f>
        <v/>
      </c>
    </row>
    <row r="699" spans="1:6">
      <c r="A699" t="str">
        <f>IF('Obra colegio'!G36="","","Obra colegio")</f>
        <v/>
      </c>
      <c r="B699" t="str">
        <f>IF('Obra colegio'!G36="","",'Obra colegio'!G36)</f>
        <v/>
      </c>
      <c r="C699" t="str">
        <f>IF('Obra colegio'!G36="","",'Obra colegio'!I36)</f>
        <v/>
      </c>
      <c r="D699" t="str">
        <f>IF('Obra colegio'!G36="","",'Obra colegio'!L36)</f>
        <v/>
      </c>
      <c r="E699" t="str">
        <f>IF('Obra colegio'!G36="","",'Obra colegio'!M36)</f>
        <v/>
      </c>
      <c r="F699" t="str">
        <f>IF('Obra colegio'!G36="","",'Obra colegio'!N36)</f>
        <v/>
      </c>
    </row>
    <row r="700" spans="1:6">
      <c r="A700" t="str">
        <f>IF('Obra colegio'!G37="","","Obra colegio")</f>
        <v/>
      </c>
      <c r="B700" t="str">
        <f>IF('Obra colegio'!G37="","",'Obra colegio'!G37)</f>
        <v/>
      </c>
      <c r="C700" t="str">
        <f>IF('Obra colegio'!G37="","",'Obra colegio'!I37)</f>
        <v/>
      </c>
      <c r="D700" t="str">
        <f>IF('Obra colegio'!G37="","",'Obra colegio'!L37)</f>
        <v/>
      </c>
      <c r="E700" t="str">
        <f>IF('Obra colegio'!G37="","",'Obra colegio'!M37)</f>
        <v/>
      </c>
      <c r="F700" t="str">
        <f>IF('Obra colegio'!G37="","",'Obra colegio'!N37)</f>
        <v/>
      </c>
    </row>
    <row r="701" spans="1:6">
      <c r="A701" t="str">
        <f>IF('Obra colegio'!G38="","","Obra colegio")</f>
        <v/>
      </c>
      <c r="B701" t="str">
        <f>IF('Obra colegio'!G38="","",'Obra colegio'!G38)</f>
        <v/>
      </c>
      <c r="C701" t="str">
        <f>IF('Obra colegio'!G38="","",'Obra colegio'!I38)</f>
        <v/>
      </c>
      <c r="D701" t="str">
        <f>IF('Obra colegio'!G38="","",'Obra colegio'!L38)</f>
        <v/>
      </c>
      <c r="E701" t="str">
        <f>IF('Obra colegio'!G38="","",'Obra colegio'!M38)</f>
        <v/>
      </c>
      <c r="F701" t="str">
        <f>IF('Obra colegio'!G38="","",'Obra colegio'!N38)</f>
        <v/>
      </c>
    </row>
    <row r="702" spans="1:6">
      <c r="A702" t="str">
        <f>IF('Obra colegio'!G39="","","Obra colegio")</f>
        <v/>
      </c>
      <c r="B702" t="str">
        <f>IF('Obra colegio'!G39="","",'Obra colegio'!G39)</f>
        <v/>
      </c>
      <c r="C702" t="str">
        <f>IF('Obra colegio'!G39="","",'Obra colegio'!I39)</f>
        <v/>
      </c>
      <c r="D702" t="str">
        <f>IF('Obra colegio'!G39="","",'Obra colegio'!L39)</f>
        <v/>
      </c>
      <c r="E702" t="str">
        <f>IF('Obra colegio'!G39="","",'Obra colegio'!M39)</f>
        <v/>
      </c>
      <c r="F702" t="str">
        <f>IF('Obra colegio'!G39="","",'Obra colegio'!N39)</f>
        <v/>
      </c>
    </row>
    <row r="703" spans="1:6">
      <c r="A703" t="str">
        <f>IF('Obra colegio'!G40="","","Obra colegio")</f>
        <v/>
      </c>
      <c r="B703" t="str">
        <f>IF('Obra colegio'!G40="","",'Obra colegio'!G40)</f>
        <v/>
      </c>
      <c r="C703" t="str">
        <f>IF('Obra colegio'!G40="","",'Obra colegio'!I40)</f>
        <v/>
      </c>
      <c r="D703" t="str">
        <f>IF('Obra colegio'!G40="","",'Obra colegio'!L40)</f>
        <v/>
      </c>
      <c r="E703" t="str">
        <f>IF('Obra colegio'!G40="","",'Obra colegio'!M40)</f>
        <v/>
      </c>
      <c r="F703" t="str">
        <f>IF('Obra colegio'!G40="","",'Obra colegio'!N40)</f>
        <v/>
      </c>
    </row>
    <row r="704" spans="1:6">
      <c r="A704" t="str">
        <f>IF('Obra colegio'!G41="","","Obra colegio")</f>
        <v/>
      </c>
      <c r="B704" t="str">
        <f>IF('Obra colegio'!G41="","",'Obra colegio'!G41)</f>
        <v/>
      </c>
      <c r="C704" t="str">
        <f>IF('Obra colegio'!G41="","",'Obra colegio'!I41)</f>
        <v/>
      </c>
      <c r="D704" t="str">
        <f>IF('Obra colegio'!G41="","",'Obra colegio'!L41)</f>
        <v/>
      </c>
      <c r="E704" t="str">
        <f>IF('Obra colegio'!G41="","",'Obra colegio'!M41)</f>
        <v/>
      </c>
      <c r="F704" t="str">
        <f>IF('Obra colegio'!G41="","",'Obra colegio'!N41)</f>
        <v/>
      </c>
    </row>
    <row r="705" spans="1:6">
      <c r="A705" t="str">
        <f>IF('Obra colegio'!G42="","","Obra colegio")</f>
        <v/>
      </c>
      <c r="B705" t="str">
        <f>IF('Obra colegio'!G42="","",'Obra colegio'!G42)</f>
        <v/>
      </c>
      <c r="C705" t="str">
        <f>IF('Obra colegio'!G42="","",'Obra colegio'!I42)</f>
        <v/>
      </c>
      <c r="D705" t="str">
        <f>IF('Obra colegio'!G42="","",'Obra colegio'!L42)</f>
        <v/>
      </c>
      <c r="E705" t="str">
        <f>IF('Obra colegio'!G42="","",'Obra colegio'!M42)</f>
        <v/>
      </c>
      <c r="F705" t="str">
        <f>IF('Obra colegio'!G42="","",'Obra colegio'!N42)</f>
        <v/>
      </c>
    </row>
    <row r="706" spans="1:6">
      <c r="A706" t="str">
        <f>IF('Obra colegio'!G43="","","Obra colegio")</f>
        <v>Obra colegio</v>
      </c>
      <c r="B706" t="str">
        <f>IF('Obra colegio'!G43="","",'Obra colegio'!G43)</f>
        <v>TOTAL</v>
      </c>
      <c r="C706">
        <f>IF('Obra colegio'!G43="","",'Obra colegio'!I43)</f>
        <v>0</v>
      </c>
      <c r="D706">
        <f>IF('Obra colegio'!G43="","",'Obra colegio'!L43)</f>
        <v>0</v>
      </c>
      <c r="E706">
        <f>IF('Obra colegio'!G43="","",'Obra colegio'!M43)</f>
        <v>0</v>
      </c>
      <c r="F706">
        <f>IF('Obra colegio'!G43="","",'Obra colegio'!N43)</f>
        <v>0</v>
      </c>
    </row>
    <row r="707" spans="1:6">
      <c r="A707" t="str">
        <f>IF('Obra colegio'!G44="","","Obra colegio")</f>
        <v/>
      </c>
      <c r="B707" t="str">
        <f>IF('Obra colegio'!G44="","",'Obra colegio'!G44)</f>
        <v/>
      </c>
      <c r="C707" t="str">
        <f>IF('Obra colegio'!G44="","",'Obra colegio'!I44)</f>
        <v/>
      </c>
      <c r="D707" t="str">
        <f>IF('Obra colegio'!G44="","",'Obra colegio'!L44)</f>
        <v/>
      </c>
      <c r="E707" t="str">
        <f>IF('Obra colegio'!G44="","",'Obra colegio'!M44)</f>
        <v/>
      </c>
      <c r="F707" t="str">
        <f>IF('Obra colegio'!G44="","",'Obra colegio'!N44)</f>
        <v/>
      </c>
    </row>
    <row r="708" spans="1:6">
      <c r="A708" t="str">
        <f>IF('Obra colegio'!G45="","","Obra colegio")</f>
        <v/>
      </c>
      <c r="B708" t="str">
        <f>IF('Obra colegio'!G45="","",'Obra colegio'!G45)</f>
        <v/>
      </c>
      <c r="C708" t="str">
        <f>IF('Obra colegio'!G45="","",'Obra colegio'!I45)</f>
        <v/>
      </c>
      <c r="D708" t="str">
        <f>IF('Obra colegio'!G45="","",'Obra colegio'!L45)</f>
        <v/>
      </c>
      <c r="E708" t="str">
        <f>IF('Obra colegio'!G45="","",'Obra colegio'!M45)</f>
        <v/>
      </c>
      <c r="F708" t="str">
        <f>IF('Obra colegio'!G45="","",'Obra colegio'!N45)</f>
        <v/>
      </c>
    </row>
    <row r="709" spans="1:6">
      <c r="A709" t="str">
        <f>IF('Obra colegio'!G46="","","Obra colegio")</f>
        <v/>
      </c>
      <c r="B709" t="str">
        <f>IF('Obra colegio'!G46="","",'Obra colegio'!G46)</f>
        <v/>
      </c>
      <c r="C709" t="str">
        <f>IF('Obra colegio'!G46="","",'Obra colegio'!I46)</f>
        <v/>
      </c>
      <c r="D709" t="str">
        <f>IF('Obra colegio'!G46="","",'Obra colegio'!L46)</f>
        <v/>
      </c>
      <c r="E709" t="str">
        <f>IF('Obra colegio'!G46="","",'Obra colegio'!M46)</f>
        <v/>
      </c>
      <c r="F709" t="str">
        <f>IF('Obra colegio'!G46="","",'Obra colegio'!N46)</f>
        <v/>
      </c>
    </row>
    <row r="710" spans="1:6">
      <c r="A710" t="str">
        <f>IF('Obra colegio'!G47="","","Obra colegio")</f>
        <v/>
      </c>
      <c r="B710" t="str">
        <f>IF('Obra colegio'!G47="","",'Obra colegio'!G47)</f>
        <v/>
      </c>
      <c r="C710" t="str">
        <f>IF('Obra colegio'!G47="","",'Obra colegio'!I47)</f>
        <v/>
      </c>
      <c r="D710" t="str">
        <f>IF('Obra colegio'!G47="","",'Obra colegio'!L47)</f>
        <v/>
      </c>
      <c r="E710" t="str">
        <f>IF('Obra colegio'!G47="","",'Obra colegio'!M47)</f>
        <v/>
      </c>
      <c r="F710" t="str">
        <f>IF('Obra colegio'!G47="","",'Obra colegio'!N47)</f>
        <v/>
      </c>
    </row>
    <row r="711" spans="1:6">
      <c r="A711" t="str">
        <f>IF('Obra colegio'!G48="","","Obra colegio")</f>
        <v/>
      </c>
      <c r="B711" t="str">
        <f>IF('Obra colegio'!G48="","",'Obra colegio'!G48)</f>
        <v/>
      </c>
      <c r="C711" t="str">
        <f>IF('Obra colegio'!G48="","",'Obra colegio'!I48)</f>
        <v/>
      </c>
      <c r="D711" t="str">
        <f>IF('Obra colegio'!G48="","",'Obra colegio'!L48)</f>
        <v/>
      </c>
      <c r="E711" t="str">
        <f>IF('Obra colegio'!G48="","",'Obra colegio'!M48)</f>
        <v/>
      </c>
      <c r="F711" t="str">
        <f>IF('Obra colegio'!G48="","",'Obra colegio'!N48)</f>
        <v/>
      </c>
    </row>
    <row r="712" spans="1:6">
      <c r="A712" t="str">
        <f>IF('Obra colegio'!G49="","","Obra colegio")</f>
        <v/>
      </c>
      <c r="B712" t="str">
        <f>IF('Obra colegio'!G49="","",'Obra colegio'!G49)</f>
        <v/>
      </c>
      <c r="C712" t="str">
        <f>IF('Obra colegio'!G49="","",'Obra colegio'!I49)</f>
        <v/>
      </c>
      <c r="D712" t="str">
        <f>IF('Obra colegio'!G49="","",'Obra colegio'!L49)</f>
        <v/>
      </c>
      <c r="E712" t="str">
        <f>IF('Obra colegio'!G49="","",'Obra colegio'!M49)</f>
        <v/>
      </c>
      <c r="F712" t="str">
        <f>IF('Obra colegio'!G49="","",'Obra colegio'!N49)</f>
        <v/>
      </c>
    </row>
    <row r="713" spans="1:6">
      <c r="A713" t="str">
        <f>IF('Obra colegio'!G50="","","Obra colegio")</f>
        <v/>
      </c>
      <c r="B713" t="str">
        <f>IF('Obra colegio'!G50="","",'Obra colegio'!G50)</f>
        <v/>
      </c>
      <c r="C713" t="str">
        <f>IF('Obra colegio'!G50="","",'Obra colegio'!I50)</f>
        <v/>
      </c>
      <c r="D713" t="str">
        <f>IF('Obra colegio'!G50="","",'Obra colegio'!L50)</f>
        <v/>
      </c>
      <c r="E713" t="str">
        <f>IF('Obra colegio'!G50="","",'Obra colegio'!M50)</f>
        <v/>
      </c>
      <c r="F713" t="str">
        <f>IF('Obra colegio'!G50="","",'Obra colegio'!N50)</f>
        <v/>
      </c>
    </row>
    <row r="714" spans="1:6">
      <c r="A714" t="str">
        <f>IF('Obra colegio'!G51="","","Obra colegio")</f>
        <v/>
      </c>
      <c r="B714" t="str">
        <f>IF('Obra colegio'!G51="","",'Obra colegio'!G51)</f>
        <v/>
      </c>
      <c r="C714" t="str">
        <f>IF('Obra colegio'!G51="","",'Obra colegio'!I51)</f>
        <v/>
      </c>
      <c r="D714" t="str">
        <f>IF('Obra colegio'!G51="","",'Obra colegio'!L51)</f>
        <v/>
      </c>
      <c r="E714" t="str">
        <f>IF('Obra colegio'!G51="","",'Obra colegio'!M51)</f>
        <v/>
      </c>
      <c r="F714" t="str">
        <f>IF('Obra colegio'!G51="","",'Obra colegio'!N51)</f>
        <v/>
      </c>
    </row>
    <row r="715" spans="1:6">
      <c r="A715" t="str">
        <f>IF('Obra colegio'!G52="","","Obra colegio")</f>
        <v/>
      </c>
      <c r="B715" t="str">
        <f>IF('Obra colegio'!G52="","",'Obra colegio'!G52)</f>
        <v/>
      </c>
      <c r="C715" t="str">
        <f>IF('Obra colegio'!G52="","",'Obra colegio'!I52)</f>
        <v/>
      </c>
      <c r="D715" t="str">
        <f>IF('Obra colegio'!G52="","",'Obra colegio'!L52)</f>
        <v/>
      </c>
      <c r="E715" t="str">
        <f>IF('Obra colegio'!G52="","",'Obra colegio'!M52)</f>
        <v/>
      </c>
      <c r="F715" t="str">
        <f>IF('Obra colegio'!G52="","",'Obra colegio'!N52)</f>
        <v/>
      </c>
    </row>
    <row r="716" spans="1:6">
      <c r="A716" t="str">
        <f>IF('Obra colegio'!G53="","","Obra colegio")</f>
        <v/>
      </c>
      <c r="B716" t="str">
        <f>IF('Obra colegio'!G53="","",'Obra colegio'!G53)</f>
        <v/>
      </c>
      <c r="C716" t="str">
        <f>IF('Obra colegio'!G53="","",'Obra colegio'!I53)</f>
        <v/>
      </c>
      <c r="D716" t="str">
        <f>IF('Obra colegio'!G53="","",'Obra colegio'!L53)</f>
        <v/>
      </c>
      <c r="E716" t="str">
        <f>IF('Obra colegio'!G53="","",'Obra colegio'!M53)</f>
        <v/>
      </c>
      <c r="F716" t="str">
        <f>IF('Obra colegio'!G53="","",'Obra colegio'!N53)</f>
        <v/>
      </c>
    </row>
    <row r="717" spans="1:6">
      <c r="A717" t="str">
        <f>IF('Obra colegio'!G54="","","Obra colegio")</f>
        <v/>
      </c>
      <c r="B717" t="str">
        <f>IF('Obra colegio'!G54="","",'Obra colegio'!G54)</f>
        <v/>
      </c>
      <c r="C717" t="str">
        <f>IF('Obra colegio'!G54="","",'Obra colegio'!I54)</f>
        <v/>
      </c>
      <c r="D717" t="str">
        <f>IF('Obra colegio'!G54="","",'Obra colegio'!L54)</f>
        <v/>
      </c>
      <c r="E717" t="str">
        <f>IF('Obra colegio'!G54="","",'Obra colegio'!M54)</f>
        <v/>
      </c>
      <c r="F717" t="str">
        <f>IF('Obra colegio'!G54="","",'Obra colegio'!N54)</f>
        <v/>
      </c>
    </row>
    <row r="718" spans="1:6">
      <c r="A718" t="str">
        <f>IF('Obra colegio'!G55="","","Obra colegio")</f>
        <v/>
      </c>
      <c r="B718" t="str">
        <f>IF('Obra colegio'!G55="","",'Obra colegio'!G55)</f>
        <v/>
      </c>
      <c r="C718" t="str">
        <f>IF('Obra colegio'!G55="","",'Obra colegio'!I55)</f>
        <v/>
      </c>
      <c r="D718" t="str">
        <f>IF('Obra colegio'!G55="","",'Obra colegio'!L55)</f>
        <v/>
      </c>
      <c r="E718" t="str">
        <f>IF('Obra colegio'!G55="","",'Obra colegio'!M55)</f>
        <v/>
      </c>
      <c r="F718" t="str">
        <f>IF('Obra colegio'!G55="","",'Obra colegio'!N55)</f>
        <v/>
      </c>
    </row>
    <row r="719" spans="1:6">
      <c r="A719" t="str">
        <f>IF('Obra colegio'!G56="","","Obra colegio")</f>
        <v/>
      </c>
      <c r="B719" t="str">
        <f>IF('Obra colegio'!G56="","",'Obra colegio'!G56)</f>
        <v/>
      </c>
      <c r="C719" t="str">
        <f>IF('Obra colegio'!G56="","",'Obra colegio'!I56)</f>
        <v/>
      </c>
      <c r="D719" t="str">
        <f>IF('Obra colegio'!G56="","",'Obra colegio'!L56)</f>
        <v/>
      </c>
      <c r="E719" t="str">
        <f>IF('Obra colegio'!G56="","",'Obra colegio'!M56)</f>
        <v/>
      </c>
      <c r="F719" t="str">
        <f>IF('Obra colegio'!G56="","",'Obra colegio'!N56)</f>
        <v/>
      </c>
    </row>
    <row r="720" spans="1:6">
      <c r="A720" t="str">
        <f>IF('Obra colegio'!G57="","","Obra colegio")</f>
        <v/>
      </c>
      <c r="B720" t="str">
        <f>IF('Obra colegio'!G57="","",'Obra colegio'!G57)</f>
        <v/>
      </c>
      <c r="C720" t="str">
        <f>IF('Obra colegio'!G57="","",'Obra colegio'!I57)</f>
        <v/>
      </c>
      <c r="D720" t="str">
        <f>IF('Obra colegio'!G57="","",'Obra colegio'!L57)</f>
        <v/>
      </c>
      <c r="E720" t="str">
        <f>IF('Obra colegio'!G57="","",'Obra colegio'!M57)</f>
        <v/>
      </c>
      <c r="F720" t="str">
        <f>IF('Obra colegio'!G57="","",'Obra colegio'!N57)</f>
        <v/>
      </c>
    </row>
    <row r="721" spans="1:6">
      <c r="A721" t="str">
        <f>IF('Obra colegio'!G58="","","Obra colegio")</f>
        <v/>
      </c>
      <c r="B721" t="str">
        <f>IF('Obra colegio'!G58="","",'Obra colegio'!G58)</f>
        <v/>
      </c>
      <c r="C721" t="str">
        <f>IF('Obra colegio'!G58="","",'Obra colegio'!I58)</f>
        <v/>
      </c>
      <c r="D721" t="str">
        <f>IF('Obra colegio'!G58="","",'Obra colegio'!L58)</f>
        <v/>
      </c>
      <c r="E721" t="str">
        <f>IF('Obra colegio'!G58="","",'Obra colegio'!M58)</f>
        <v/>
      </c>
      <c r="F721" t="str">
        <f>IF('Obra colegio'!G58="","",'Obra colegio'!N58)</f>
        <v/>
      </c>
    </row>
    <row r="722" spans="1:6">
      <c r="A722" t="str">
        <f>IF('Obra colegio'!G59="","","Obra colegio")</f>
        <v/>
      </c>
      <c r="B722" t="str">
        <f>IF('Obra colegio'!G59="","",'Obra colegio'!G59)</f>
        <v/>
      </c>
      <c r="C722" t="str">
        <f>IF('Obra colegio'!G59="","",'Obra colegio'!I59)</f>
        <v/>
      </c>
      <c r="D722" t="str">
        <f>IF('Obra colegio'!G59="","",'Obra colegio'!L59)</f>
        <v/>
      </c>
      <c r="E722" t="str">
        <f>IF('Obra colegio'!G59="","",'Obra colegio'!M59)</f>
        <v/>
      </c>
      <c r="F722" t="str">
        <f>IF('Obra colegio'!G59="","",'Obra colegio'!N59)</f>
        <v/>
      </c>
    </row>
    <row r="723" spans="1:6">
      <c r="A723" t="str">
        <f>IF('Obra colegio'!G60="","","Obra colegio")</f>
        <v/>
      </c>
      <c r="B723" t="str">
        <f>IF('Obra colegio'!G60="","",'Obra colegio'!G60)</f>
        <v/>
      </c>
      <c r="C723" t="str">
        <f>IF('Obra colegio'!G60="","",'Obra colegio'!I60)</f>
        <v/>
      </c>
      <c r="D723" t="str">
        <f>IF('Obra colegio'!G60="","",'Obra colegio'!L60)</f>
        <v/>
      </c>
      <c r="E723" t="str">
        <f>IF('Obra colegio'!G60="","",'Obra colegio'!M60)</f>
        <v/>
      </c>
      <c r="F723" t="str">
        <f>IF('Obra colegio'!G60="","",'Obra colegio'!N60)</f>
        <v/>
      </c>
    </row>
    <row r="724" spans="1:6">
      <c r="A724" t="str">
        <f>IF('Obra colegio'!G61="","","Obra colegio")</f>
        <v/>
      </c>
      <c r="B724" t="str">
        <f>IF('Obra colegio'!G61="","",'Obra colegio'!G61)</f>
        <v/>
      </c>
      <c r="C724" t="str">
        <f>IF('Obra colegio'!G61="","",'Obra colegio'!I61)</f>
        <v/>
      </c>
      <c r="D724" t="str">
        <f>IF('Obra colegio'!G61="","",'Obra colegio'!L61)</f>
        <v/>
      </c>
      <c r="E724" t="str">
        <f>IF('Obra colegio'!G61="","",'Obra colegio'!M61)</f>
        <v/>
      </c>
      <c r="F724" t="str">
        <f>IF('Obra colegio'!G61="","",'Obra colegio'!N61)</f>
        <v/>
      </c>
    </row>
    <row r="725" spans="1:6">
      <c r="A725" t="str">
        <f>IF('Obra colegio'!G62="","","Obra colegio")</f>
        <v/>
      </c>
      <c r="B725" t="str">
        <f>IF('Obra colegio'!G62="","",'Obra colegio'!G62)</f>
        <v/>
      </c>
      <c r="C725" t="str">
        <f>IF('Obra colegio'!G62="","",'Obra colegio'!I62)</f>
        <v/>
      </c>
      <c r="D725" t="str">
        <f>IF('Obra colegio'!G62="","",'Obra colegio'!L62)</f>
        <v/>
      </c>
      <c r="E725" t="str">
        <f>IF('Obra colegio'!G62="","",'Obra colegio'!M62)</f>
        <v/>
      </c>
      <c r="F725" t="str">
        <f>IF('Obra colegio'!G62="","",'Obra colegio'!N62)</f>
        <v/>
      </c>
    </row>
    <row r="726" spans="1:6">
      <c r="A726" t="str">
        <f>IF('Obra colegio'!G63="","","Obra colegio")</f>
        <v/>
      </c>
      <c r="B726" t="str">
        <f>IF('Obra colegio'!G63="","",'Obra colegio'!G63)</f>
        <v/>
      </c>
      <c r="C726" t="str">
        <f>IF('Obra colegio'!G63="","",'Obra colegio'!I63)</f>
        <v/>
      </c>
      <c r="D726" t="str">
        <f>IF('Obra colegio'!G63="","",'Obra colegio'!L63)</f>
        <v/>
      </c>
      <c r="E726" t="str">
        <f>IF('Obra colegio'!G63="","",'Obra colegio'!M63)</f>
        <v/>
      </c>
      <c r="F726" t="str">
        <f>IF('Obra colegio'!G63="","",'Obra colegio'!N63)</f>
        <v/>
      </c>
    </row>
    <row r="727" spans="1:6">
      <c r="A727" t="str">
        <f>IF('Obra colegio'!G64="","","Obra colegio")</f>
        <v/>
      </c>
      <c r="B727" t="str">
        <f>IF('Obra colegio'!G64="","",'Obra colegio'!G64)</f>
        <v/>
      </c>
      <c r="C727" t="str">
        <f>IF('Obra colegio'!G64="","",'Obra colegio'!I64)</f>
        <v/>
      </c>
      <c r="D727" t="str">
        <f>IF('Obra colegio'!G64="","",'Obra colegio'!L64)</f>
        <v/>
      </c>
      <c r="E727" t="str">
        <f>IF('Obra colegio'!G64="","",'Obra colegio'!M64)</f>
        <v/>
      </c>
      <c r="F727" t="str">
        <f>IF('Obra colegio'!G64="","",'Obra colegio'!N64)</f>
        <v/>
      </c>
    </row>
    <row r="728" spans="1:6">
      <c r="A728" t="str">
        <f>IF('Obra colegio'!G65="","","Obra colegio")</f>
        <v/>
      </c>
      <c r="B728" t="str">
        <f>IF('Obra colegio'!G65="","",'Obra colegio'!G65)</f>
        <v/>
      </c>
      <c r="C728" t="str">
        <f>IF('Obra colegio'!G65="","",'Obra colegio'!I65)</f>
        <v/>
      </c>
      <c r="D728" t="str">
        <f>IF('Obra colegio'!G65="","",'Obra colegio'!L65)</f>
        <v/>
      </c>
      <c r="E728" t="str">
        <f>IF('Obra colegio'!G65="","",'Obra colegio'!M65)</f>
        <v/>
      </c>
      <c r="F728" t="str">
        <f>IF('Obra colegio'!G65="","",'Obra colegio'!N65)</f>
        <v/>
      </c>
    </row>
    <row r="729" spans="1:6">
      <c r="A729" t="str">
        <f>IF('Obra colegio'!G66="","","Obra colegio")</f>
        <v/>
      </c>
      <c r="B729" t="str">
        <f>IF('Obra colegio'!G66="","",'Obra colegio'!G66)</f>
        <v/>
      </c>
      <c r="C729" t="str">
        <f>IF('Obra colegio'!G66="","",'Obra colegio'!I66)</f>
        <v/>
      </c>
      <c r="D729" t="str">
        <f>IF('Obra colegio'!G66="","",'Obra colegio'!L66)</f>
        <v/>
      </c>
      <c r="E729" t="str">
        <f>IF('Obra colegio'!G66="","",'Obra colegio'!M66)</f>
        <v/>
      </c>
      <c r="F729" t="str">
        <f>IF('Obra colegio'!G66="","",'Obra colegio'!N66)</f>
        <v/>
      </c>
    </row>
    <row r="730" spans="1:6">
      <c r="A730" t="str">
        <f>IF('Obra colegio'!G67="","","Obra colegio")</f>
        <v/>
      </c>
      <c r="B730" t="str">
        <f>IF('Obra colegio'!G67="","",'Obra colegio'!G67)</f>
        <v/>
      </c>
      <c r="C730" t="str">
        <f>IF('Obra colegio'!G67="","",'Obra colegio'!I67)</f>
        <v/>
      </c>
      <c r="D730" t="str">
        <f>IF('Obra colegio'!G67="","",'Obra colegio'!L67)</f>
        <v/>
      </c>
      <c r="E730" t="str">
        <f>IF('Obra colegio'!G67="","",'Obra colegio'!M67)</f>
        <v/>
      </c>
      <c r="F730" t="str">
        <f>IF('Obra colegio'!G67="","",'Obra colegio'!N67)</f>
        <v/>
      </c>
    </row>
    <row r="731" spans="1:6">
      <c r="A731" t="str">
        <f>IF('Obra colegio'!G68="","","Obra colegio")</f>
        <v/>
      </c>
      <c r="B731" t="str">
        <f>IF('Obra colegio'!G68="","",'Obra colegio'!G68)</f>
        <v/>
      </c>
      <c r="C731" t="str">
        <f>IF('Obra colegio'!G68="","",'Obra colegio'!I68)</f>
        <v/>
      </c>
      <c r="D731" t="str">
        <f>IF('Obra colegio'!G68="","",'Obra colegio'!L68)</f>
        <v/>
      </c>
      <c r="E731" t="str">
        <f>IF('Obra colegio'!G68="","",'Obra colegio'!M68)</f>
        <v/>
      </c>
      <c r="F731" t="str">
        <f>IF('Obra colegio'!G68="","",'Obra colegio'!N68)</f>
        <v/>
      </c>
    </row>
    <row r="732" spans="1:6">
      <c r="A732" t="str">
        <f>IF('Obra colegio'!G69="","","Obra colegio")</f>
        <v/>
      </c>
      <c r="B732" t="str">
        <f>IF('Obra colegio'!G69="","",'Obra colegio'!G69)</f>
        <v/>
      </c>
      <c r="C732" t="str">
        <f>IF('Obra colegio'!G69="","",'Obra colegio'!I69)</f>
        <v/>
      </c>
      <c r="D732" t="str">
        <f>IF('Obra colegio'!G69="","",'Obra colegio'!L69)</f>
        <v/>
      </c>
      <c r="E732" t="str">
        <f>IF('Obra colegio'!G69="","",'Obra colegio'!M69)</f>
        <v/>
      </c>
      <c r="F732" t="str">
        <f>IF('Obra colegio'!G69="","",'Obra colegio'!N69)</f>
        <v/>
      </c>
    </row>
    <row r="733" spans="1:6">
      <c r="A733" t="str">
        <f>IF('Obra colegio'!G70="","","Obra colegio")</f>
        <v/>
      </c>
      <c r="B733" t="str">
        <f>IF('Obra colegio'!G70="","",'Obra colegio'!G70)</f>
        <v/>
      </c>
      <c r="C733" t="str">
        <f>IF('Obra colegio'!G70="","",'Obra colegio'!I70)</f>
        <v/>
      </c>
      <c r="D733" t="str">
        <f>IF('Obra colegio'!G70="","",'Obra colegio'!L70)</f>
        <v/>
      </c>
      <c r="E733" t="str">
        <f>IF('Obra colegio'!G70="","",'Obra colegio'!M70)</f>
        <v/>
      </c>
      <c r="F733" t="str">
        <f>IF('Obra colegio'!G70="","",'Obra colegio'!N70)</f>
        <v/>
      </c>
    </row>
    <row r="734" spans="1:6">
      <c r="A734" t="str">
        <f>IF('Casa sietes soles'!G10="","","Casa sietes soles")</f>
        <v>Casa sietes soles</v>
      </c>
      <c r="B734" t="str">
        <f>IF('Casa sietes soles'!G10="","",'Casa sietes soles'!G10)</f>
        <v>Flete Hugo Godoy</v>
      </c>
      <c r="C734">
        <f>IF('Casa sietes soles'!G10="","",'Casa sietes soles'!I10)</f>
        <v>60000</v>
      </c>
      <c r="D734" t="str">
        <f>IF('Casa sietes soles'!G10="","",'Casa sietes soles'!L10)</f>
        <v>Pagado</v>
      </c>
      <c r="E734">
        <f>IF('Casa sietes soles'!G10="","",'Casa sietes soles'!M10)</f>
        <v>0</v>
      </c>
      <c r="F734" t="str">
        <f>IF('Casa sietes soles'!G10="","",'Casa sietes soles'!N10)</f>
        <v>Recibido en obra</v>
      </c>
    </row>
    <row r="735" spans="1:6">
      <c r="A735" t="str">
        <f>IF('Casa sietes soles'!G11="","","Casa sietes soles")</f>
        <v>Casa sietes soles</v>
      </c>
      <c r="B735" t="str">
        <f>IF('Casa sietes soles'!G11="","",'Casa sietes soles'!G11)</f>
        <v>alquiloTodo</v>
      </c>
      <c r="C735">
        <f>IF('Casa sietes soles'!G11="","",'Casa sietes soles'!I11)</f>
        <v>0</v>
      </c>
      <c r="D735" t="str">
        <f>IF('Casa sietes soles'!G11="","",'Casa sietes soles'!L11)</f>
        <v>Pagado</v>
      </c>
      <c r="E735">
        <f>IF('Casa sietes soles'!G11="","",'Casa sietes soles'!M11)</f>
        <v>0</v>
      </c>
      <c r="F735" t="str">
        <f>IF('Casa sietes soles'!G11="","",'Casa sietes soles'!N11)</f>
        <v>Recibido en obra</v>
      </c>
    </row>
    <row r="736" spans="1:6">
      <c r="A736" t="str">
        <f>IF('Casa sietes soles'!G12="","","Casa sietes soles")</f>
        <v/>
      </c>
      <c r="B736" t="str">
        <f>IF('Casa sietes soles'!G12="","",'Casa sietes soles'!G12)</f>
        <v/>
      </c>
      <c r="C736" t="str">
        <f>IF('Casa sietes soles'!G12="","",'Casa sietes soles'!I12)</f>
        <v/>
      </c>
      <c r="D736" t="str">
        <f>IF('Casa sietes soles'!G12="","",'Casa sietes soles'!L12)</f>
        <v/>
      </c>
      <c r="E736" t="str">
        <f>IF('Casa sietes soles'!G12="","",'Casa sietes soles'!M12)</f>
        <v/>
      </c>
      <c r="F736" t="str">
        <f>IF('Casa sietes soles'!G12="","",'Casa sietes soles'!N12)</f>
        <v/>
      </c>
    </row>
    <row r="737" spans="1:6">
      <c r="A737" t="str">
        <f>IF('Casa sietes soles'!G13="","","Casa sietes soles")</f>
        <v/>
      </c>
      <c r="B737" t="str">
        <f>IF('Casa sietes soles'!G13="","",'Casa sietes soles'!G13)</f>
        <v/>
      </c>
      <c r="C737" t="str">
        <f>IF('Casa sietes soles'!G13="","",'Casa sietes soles'!I13)</f>
        <v/>
      </c>
      <c r="D737" t="str">
        <f>IF('Casa sietes soles'!G13="","",'Casa sietes soles'!L13)</f>
        <v/>
      </c>
      <c r="E737" t="str">
        <f>IF('Casa sietes soles'!G13="","",'Casa sietes soles'!M13)</f>
        <v/>
      </c>
      <c r="F737" t="str">
        <f>IF('Casa sietes soles'!G13="","",'Casa sietes soles'!N13)</f>
        <v/>
      </c>
    </row>
    <row r="738" spans="1:6">
      <c r="A738" t="str">
        <f>IF('Casa sietes soles'!G14="","","Casa sietes soles")</f>
        <v>Casa sietes soles</v>
      </c>
      <c r="B738" t="str">
        <f>IF('Casa sietes soles'!G14="","",'Casa sietes soles'!G14)</f>
        <v>alquiloTodo</v>
      </c>
      <c r="C738">
        <f>IF('Casa sietes soles'!G14="","",'Casa sietes soles'!I14)</f>
        <v>0</v>
      </c>
      <c r="D738" t="str">
        <f>IF('Casa sietes soles'!G14="","",'Casa sietes soles'!L14)</f>
        <v>Pagado</v>
      </c>
      <c r="E738">
        <f>IF('Casa sietes soles'!G14="","",'Casa sietes soles'!M14)</f>
        <v>0</v>
      </c>
      <c r="F738" t="str">
        <f>IF('Casa sietes soles'!G14="","",'Casa sietes soles'!N14)</f>
        <v>Recibido en obra</v>
      </c>
    </row>
    <row r="739" spans="1:6">
      <c r="A739" t="str">
        <f>IF('Casa sietes soles'!G15="","","Casa sietes soles")</f>
        <v/>
      </c>
      <c r="B739" t="str">
        <f>IF('Casa sietes soles'!G15="","",'Casa sietes soles'!G15)</f>
        <v/>
      </c>
      <c r="C739" t="str">
        <f>IF('Casa sietes soles'!G15="","",'Casa sietes soles'!I15)</f>
        <v/>
      </c>
      <c r="D739" t="str">
        <f>IF('Casa sietes soles'!G15="","",'Casa sietes soles'!L15)</f>
        <v/>
      </c>
      <c r="E739" t="str">
        <f>IF('Casa sietes soles'!G15="","",'Casa sietes soles'!M15)</f>
        <v/>
      </c>
      <c r="F739" t="str">
        <f>IF('Casa sietes soles'!G15="","",'Casa sietes soles'!N15)</f>
        <v/>
      </c>
    </row>
    <row r="740" spans="1:6">
      <c r="A740" t="str">
        <f>IF('Casa sietes soles'!G16="","","Casa sietes soles")</f>
        <v/>
      </c>
      <c r="B740" t="str">
        <f>IF('Casa sietes soles'!G16="","",'Casa sietes soles'!G16)</f>
        <v/>
      </c>
      <c r="C740" t="str">
        <f>IF('Casa sietes soles'!G16="","",'Casa sietes soles'!I16)</f>
        <v/>
      </c>
      <c r="D740" t="str">
        <f>IF('Casa sietes soles'!G16="","",'Casa sietes soles'!L16)</f>
        <v/>
      </c>
      <c r="E740" t="str">
        <f>IF('Casa sietes soles'!G16="","",'Casa sietes soles'!M16)</f>
        <v/>
      </c>
      <c r="F740" t="str">
        <f>IF('Casa sietes soles'!G16="","",'Casa sietes soles'!N16)</f>
        <v/>
      </c>
    </row>
    <row r="741" spans="1:6">
      <c r="A741" t="e">
        <f>IF('Casa sietes soles'!#REF!="","","Casa sietes soles")</f>
        <v>#REF!</v>
      </c>
      <c r="B741" t="e">
        <f>IF('Casa sietes soles'!#REF!="","",'Casa sietes soles'!#REF!)</f>
        <v>#REF!</v>
      </c>
      <c r="C741" t="e">
        <f>IF('Casa sietes soles'!#REF!="","",'Casa sietes soles'!#REF!)</f>
        <v>#REF!</v>
      </c>
      <c r="D741" t="e">
        <f>IF('Casa sietes soles'!#REF!="","",'Casa sietes soles'!#REF!)</f>
        <v>#REF!</v>
      </c>
      <c r="E741" t="e">
        <f>IF('Casa sietes soles'!#REF!="","",'Casa sietes soles'!#REF!)</f>
        <v>#REF!</v>
      </c>
      <c r="F741" t="e">
        <f>IF('Casa sietes soles'!#REF!="","",'Casa sietes soles'!#REF!)</f>
        <v>#REF!</v>
      </c>
    </row>
    <row r="742" spans="1:6">
      <c r="A742" t="e">
        <f>IF('Casa sietes soles'!#REF!="","","Casa sietes soles")</f>
        <v>#REF!</v>
      </c>
      <c r="B742" t="e">
        <f>IF('Casa sietes soles'!#REF!="","",'Casa sietes soles'!#REF!)</f>
        <v>#REF!</v>
      </c>
      <c r="C742" t="e">
        <f>IF('Casa sietes soles'!#REF!="","",'Casa sietes soles'!#REF!)</f>
        <v>#REF!</v>
      </c>
      <c r="D742" t="e">
        <f>IF('Casa sietes soles'!#REF!="","",'Casa sietes soles'!#REF!)</f>
        <v>#REF!</v>
      </c>
      <c r="E742" t="e">
        <f>IF('Casa sietes soles'!#REF!="","",'Casa sietes soles'!#REF!)</f>
        <v>#REF!</v>
      </c>
      <c r="F742" t="e">
        <f>IF('Casa sietes soles'!#REF!="","",'Casa sietes soles'!#REF!)</f>
        <v>#REF!</v>
      </c>
    </row>
    <row r="743" spans="1:6">
      <c r="A743" t="str">
        <f>IF('Casa sietes soles'!G17="","","Casa sietes soles")</f>
        <v/>
      </c>
      <c r="B743" t="str">
        <f>IF('Casa sietes soles'!G17="","",'Casa sietes soles'!G17)</f>
        <v/>
      </c>
      <c r="C743" t="str">
        <f>IF('Casa sietes soles'!G17="","",'Casa sietes soles'!I17)</f>
        <v/>
      </c>
      <c r="D743" t="str">
        <f>IF('Casa sietes soles'!G17="","",'Casa sietes soles'!L17)</f>
        <v/>
      </c>
      <c r="E743" t="str">
        <f>IF('Casa sietes soles'!G17="","",'Casa sietes soles'!M17)</f>
        <v/>
      </c>
      <c r="F743" t="str">
        <f>IF('Casa sietes soles'!G17="","",'Casa sietes soles'!N17)</f>
        <v/>
      </c>
    </row>
    <row r="744" spans="1:6">
      <c r="A744" t="str">
        <f>IF('Casa sietes soles'!G18="","","Casa sietes soles")</f>
        <v>Casa sietes soles</v>
      </c>
      <c r="B744" t="str">
        <f>IF('Casa sietes soles'!G18="","",'Casa sietes soles'!G18)</f>
        <v>Flete Hugo Godoy</v>
      </c>
      <c r="C744">
        <f>IF('Casa sietes soles'!G18="","",'Casa sietes soles'!I18)</f>
        <v>47000</v>
      </c>
      <c r="D744" t="str">
        <f>IF('Casa sietes soles'!G18="","",'Casa sietes soles'!L18)</f>
        <v>Pagado</v>
      </c>
      <c r="E744">
        <f>IF('Casa sietes soles'!G18="","",'Casa sietes soles'!M18)</f>
        <v>0</v>
      </c>
      <c r="F744" t="str">
        <f>IF('Casa sietes soles'!G18="","",'Casa sietes soles'!N18)</f>
        <v>Recibido en obra</v>
      </c>
    </row>
    <row r="745" spans="1:6">
      <c r="A745" t="e">
        <f>IF('Casa sietes soles'!#REF!="","","Casa sietes soles")</f>
        <v>#REF!</v>
      </c>
      <c r="B745" t="e">
        <f>IF('Casa sietes soles'!#REF!="","",'Casa sietes soles'!#REF!)</f>
        <v>#REF!</v>
      </c>
      <c r="C745" t="e">
        <f>IF('Casa sietes soles'!#REF!="","",'Casa sietes soles'!#REF!)</f>
        <v>#REF!</v>
      </c>
      <c r="D745" t="e">
        <f>IF('Casa sietes soles'!#REF!="","",'Casa sietes soles'!#REF!)</f>
        <v>#REF!</v>
      </c>
      <c r="E745" t="e">
        <f>IF('Casa sietes soles'!#REF!="","",'Casa sietes soles'!#REF!)</f>
        <v>#REF!</v>
      </c>
      <c r="F745" t="e">
        <f>IF('Casa sietes soles'!#REF!="","",'Casa sietes soles'!#REF!)</f>
        <v>#REF!</v>
      </c>
    </row>
    <row r="746" spans="1:6">
      <c r="A746" t="str">
        <f>IF('Casa sietes soles'!G19="","","Casa sietes soles")</f>
        <v/>
      </c>
      <c r="B746" t="str">
        <f>IF('Casa sietes soles'!G19="","",'Casa sietes soles'!G19)</f>
        <v/>
      </c>
      <c r="C746" t="str">
        <f>IF('Casa sietes soles'!G19="","",'Casa sietes soles'!I19)</f>
        <v/>
      </c>
      <c r="D746" t="str">
        <f>IF('Casa sietes soles'!G19="","",'Casa sietes soles'!L19)</f>
        <v/>
      </c>
      <c r="E746" t="str">
        <f>IF('Casa sietes soles'!G19="","",'Casa sietes soles'!M19)</f>
        <v/>
      </c>
      <c r="F746" t="str">
        <f>IF('Casa sietes soles'!G19="","",'Casa sietes soles'!N19)</f>
        <v/>
      </c>
    </row>
    <row r="747" spans="1:6">
      <c r="A747" t="str">
        <f>IF('Casa sietes soles'!G20="","","Casa sietes soles")</f>
        <v/>
      </c>
      <c r="B747" t="str">
        <f>IF('Casa sietes soles'!G20="","",'Casa sietes soles'!G20)</f>
        <v/>
      </c>
      <c r="C747" t="str">
        <f>IF('Casa sietes soles'!G20="","",'Casa sietes soles'!I20)</f>
        <v/>
      </c>
      <c r="D747" t="str">
        <f>IF('Casa sietes soles'!G20="","",'Casa sietes soles'!L20)</f>
        <v/>
      </c>
      <c r="E747" t="str">
        <f>IF('Casa sietes soles'!G20="","",'Casa sietes soles'!M20)</f>
        <v/>
      </c>
      <c r="F747" t="str">
        <f>IF('Casa sietes soles'!G20="","",'Casa sietes soles'!N20)</f>
        <v/>
      </c>
    </row>
    <row r="748" spans="1:6">
      <c r="A748" t="str">
        <f>IF('Casa sietes soles'!G21="","","Casa sietes soles")</f>
        <v/>
      </c>
      <c r="B748" t="str">
        <f>IF('Casa sietes soles'!G21="","",'Casa sietes soles'!G21)</f>
        <v/>
      </c>
      <c r="C748" t="str">
        <f>IF('Casa sietes soles'!G21="","",'Casa sietes soles'!I21)</f>
        <v/>
      </c>
      <c r="D748" t="str">
        <f>IF('Casa sietes soles'!G21="","",'Casa sietes soles'!L21)</f>
        <v/>
      </c>
      <c r="E748" t="str">
        <f>IF('Casa sietes soles'!G21="","",'Casa sietes soles'!M21)</f>
        <v/>
      </c>
      <c r="F748" t="str">
        <f>IF('Casa sietes soles'!G21="","",'Casa sietes soles'!N21)</f>
        <v/>
      </c>
    </row>
    <row r="749" spans="1:6">
      <c r="A749" t="str">
        <f>IF('Casa sietes soles'!G23="","","Casa sietes soles")</f>
        <v/>
      </c>
      <c r="B749" t="str">
        <f>IF('Casa sietes soles'!G23="","",'Casa sietes soles'!G23)</f>
        <v/>
      </c>
      <c r="C749" t="str">
        <f>IF('Casa sietes soles'!G23="","",'Casa sietes soles'!I23)</f>
        <v/>
      </c>
      <c r="D749" t="str">
        <f>IF('Casa sietes soles'!G23="","",'Casa sietes soles'!L23)</f>
        <v/>
      </c>
      <c r="E749" t="str">
        <f>IF('Casa sietes soles'!G23="","",'Casa sietes soles'!M23)</f>
        <v/>
      </c>
      <c r="F749" t="str">
        <f>IF('Casa sietes soles'!G23="","",'Casa sietes soles'!N23)</f>
        <v/>
      </c>
    </row>
    <row r="750" spans="1:6">
      <c r="A750" t="str">
        <f>IF('Casa sietes soles'!G24="","","Casa sietes soles")</f>
        <v/>
      </c>
      <c r="B750" t="str">
        <f>IF('Casa sietes soles'!G24="","",'Casa sietes soles'!G24)</f>
        <v/>
      </c>
      <c r="C750" t="str">
        <f>IF('Casa sietes soles'!G24="","",'Casa sietes soles'!I24)</f>
        <v/>
      </c>
      <c r="D750" t="str">
        <f>IF('Casa sietes soles'!G24="","",'Casa sietes soles'!L24)</f>
        <v/>
      </c>
      <c r="E750" t="str">
        <f>IF('Casa sietes soles'!G24="","",'Casa sietes soles'!M24)</f>
        <v/>
      </c>
      <c r="F750" t="str">
        <f>IF('Casa sietes soles'!G24="","",'Casa sietes soles'!N24)</f>
        <v/>
      </c>
    </row>
    <row r="751" spans="1:6">
      <c r="A751" t="str">
        <f>IF('Casa sietes soles'!G25="","","Casa sietes soles")</f>
        <v/>
      </c>
      <c r="B751" t="str">
        <f>IF('Casa sietes soles'!G25="","",'Casa sietes soles'!G25)</f>
        <v/>
      </c>
      <c r="C751" t="str">
        <f>IF('Casa sietes soles'!G25="","",'Casa sietes soles'!I25)</f>
        <v/>
      </c>
      <c r="D751" t="str">
        <f>IF('Casa sietes soles'!G25="","",'Casa sietes soles'!L25)</f>
        <v/>
      </c>
      <c r="E751" t="str">
        <f>IF('Casa sietes soles'!G25="","",'Casa sietes soles'!M25)</f>
        <v/>
      </c>
      <c r="F751" t="str">
        <f>IF('Casa sietes soles'!G25="","",'Casa sietes soles'!N25)</f>
        <v/>
      </c>
    </row>
    <row r="752" spans="1:6">
      <c r="A752" t="str">
        <f>IF('Casa sietes soles'!G26="","","Casa sietes soles")</f>
        <v/>
      </c>
      <c r="B752" t="str">
        <f>IF('Casa sietes soles'!G26="","",'Casa sietes soles'!G26)</f>
        <v/>
      </c>
      <c r="C752" t="str">
        <f>IF('Casa sietes soles'!G26="","",'Casa sietes soles'!I26)</f>
        <v/>
      </c>
      <c r="D752" t="str">
        <f>IF('Casa sietes soles'!G26="","",'Casa sietes soles'!L26)</f>
        <v/>
      </c>
      <c r="E752" t="str">
        <f>IF('Casa sietes soles'!G26="","",'Casa sietes soles'!M26)</f>
        <v/>
      </c>
      <c r="F752" t="str">
        <f>IF('Casa sietes soles'!G26="","",'Casa sietes soles'!N26)</f>
        <v/>
      </c>
    </row>
    <row r="753" spans="1:6">
      <c r="A753" t="str">
        <f>IF('Casa sietes soles'!G27="","","Casa sietes soles")</f>
        <v/>
      </c>
      <c r="B753" t="str">
        <f>IF('Casa sietes soles'!G27="","",'Casa sietes soles'!G27)</f>
        <v/>
      </c>
      <c r="C753" t="str">
        <f>IF('Casa sietes soles'!G27="","",'Casa sietes soles'!I27)</f>
        <v/>
      </c>
      <c r="D753" t="str">
        <f>IF('Casa sietes soles'!G27="","",'Casa sietes soles'!L27)</f>
        <v/>
      </c>
      <c r="E753" t="str">
        <f>IF('Casa sietes soles'!G27="","",'Casa sietes soles'!M27)</f>
        <v/>
      </c>
      <c r="F753" t="str">
        <f>IF('Casa sietes soles'!G27="","",'Casa sietes soles'!N27)</f>
        <v/>
      </c>
    </row>
    <row r="754" spans="1:6">
      <c r="A754" t="str">
        <f>IF('Casa sietes soles'!G28="","","Casa sietes soles")</f>
        <v/>
      </c>
      <c r="B754" t="str">
        <f>IF('Casa sietes soles'!G28="","",'Casa sietes soles'!G28)</f>
        <v/>
      </c>
      <c r="C754" t="str">
        <f>IF('Casa sietes soles'!G28="","",'Casa sietes soles'!I28)</f>
        <v/>
      </c>
      <c r="D754" t="str">
        <f>IF('Casa sietes soles'!G28="","",'Casa sietes soles'!L28)</f>
        <v/>
      </c>
      <c r="E754" t="str">
        <f>IF('Casa sietes soles'!G28="","",'Casa sietes soles'!M28)</f>
        <v/>
      </c>
      <c r="F754" t="str">
        <f>IF('Casa sietes soles'!G28="","",'Casa sietes soles'!N28)</f>
        <v/>
      </c>
    </row>
    <row r="755" spans="1:6">
      <c r="A755" t="str">
        <f>IF('Casa sietes soles'!G29="","","Casa sietes soles")</f>
        <v>Casa sietes soles</v>
      </c>
      <c r="B755" t="str">
        <f>IF('Casa sietes soles'!G29="","",'Casa sietes soles'!G29)</f>
        <v>Guaticor</v>
      </c>
      <c r="C755">
        <f>IF('Casa sietes soles'!G29="","",'Casa sietes soles'!I29)</f>
        <v>0</v>
      </c>
      <c r="D755" t="str">
        <f>IF('Casa sietes soles'!G29="","",'Casa sietes soles'!L29)</f>
        <v>No Pagado</v>
      </c>
      <c r="E755">
        <f>IF('Casa sietes soles'!G29="","",'Casa sietes soles'!M29)</f>
        <v>0</v>
      </c>
      <c r="F755" t="str">
        <f>IF('Casa sietes soles'!G29="","",'Casa sietes soles'!N29)</f>
        <v>Recibido en obra</v>
      </c>
    </row>
    <row r="756" spans="1:6">
      <c r="A756" t="str">
        <f>IF('Casa sietes soles'!G30="","","Casa sietes soles")</f>
        <v/>
      </c>
      <c r="B756" t="str">
        <f>IF('Casa sietes soles'!G30="","",'Casa sietes soles'!G30)</f>
        <v/>
      </c>
      <c r="C756" t="str">
        <f>IF('Casa sietes soles'!G30="","",'Casa sietes soles'!I30)</f>
        <v/>
      </c>
      <c r="D756" t="str">
        <f>IF('Casa sietes soles'!G30="","",'Casa sietes soles'!L30)</f>
        <v/>
      </c>
      <c r="E756" t="str">
        <f>IF('Casa sietes soles'!G30="","",'Casa sietes soles'!M30)</f>
        <v/>
      </c>
      <c r="F756" t="str">
        <f>IF('Casa sietes soles'!G30="","",'Casa sietes soles'!N30)</f>
        <v/>
      </c>
    </row>
    <row r="757" spans="1:6">
      <c r="A757" t="str">
        <f>IF('Casa sietes soles'!G31="","","Casa sietes soles")</f>
        <v/>
      </c>
      <c r="B757" t="str">
        <f>IF('Casa sietes soles'!G31="","",'Casa sietes soles'!G31)</f>
        <v/>
      </c>
      <c r="C757" t="str">
        <f>IF('Casa sietes soles'!G31="","",'Casa sietes soles'!I31)</f>
        <v/>
      </c>
      <c r="D757" t="str">
        <f>IF('Casa sietes soles'!G31="","",'Casa sietes soles'!L31)</f>
        <v/>
      </c>
      <c r="E757" t="str">
        <f>IF('Casa sietes soles'!G31="","",'Casa sietes soles'!M31)</f>
        <v/>
      </c>
      <c r="F757" t="str">
        <f>IF('Casa sietes soles'!G31="","",'Casa sietes soles'!N31)</f>
        <v/>
      </c>
    </row>
    <row r="758" spans="1:6">
      <c r="A758" t="str">
        <f>IF('Casa sietes soles'!G32="","","Casa sietes soles")</f>
        <v/>
      </c>
      <c r="B758" t="str">
        <f>IF('Casa sietes soles'!G32="","",'Casa sietes soles'!G32)</f>
        <v/>
      </c>
      <c r="C758" t="str">
        <f>IF('Casa sietes soles'!G32="","",'Casa sietes soles'!I32)</f>
        <v/>
      </c>
      <c r="D758" t="str">
        <f>IF('Casa sietes soles'!G32="","",'Casa sietes soles'!L32)</f>
        <v/>
      </c>
      <c r="E758" t="str">
        <f>IF('Casa sietes soles'!G32="","",'Casa sietes soles'!M32)</f>
        <v/>
      </c>
      <c r="F758" t="str">
        <f>IF('Casa sietes soles'!G32="","",'Casa sietes soles'!N32)</f>
        <v/>
      </c>
    </row>
    <row r="759" spans="1:6">
      <c r="A759" t="str">
        <f>IF('Casa sietes soles'!G33="","","Casa sietes soles")</f>
        <v/>
      </c>
      <c r="B759" t="str">
        <f>IF('Casa sietes soles'!G33="","",'Casa sietes soles'!G33)</f>
        <v/>
      </c>
      <c r="C759" t="str">
        <f>IF('Casa sietes soles'!G33="","",'Casa sietes soles'!I33)</f>
        <v/>
      </c>
      <c r="D759" t="str">
        <f>IF('Casa sietes soles'!G33="","",'Casa sietes soles'!L33)</f>
        <v/>
      </c>
      <c r="E759" t="str">
        <f>IF('Casa sietes soles'!G33="","",'Casa sietes soles'!M33)</f>
        <v/>
      </c>
      <c r="F759" t="str">
        <f>IF('Casa sietes soles'!G33="","",'Casa sietes soles'!N33)</f>
        <v/>
      </c>
    </row>
    <row r="760" spans="1:6">
      <c r="A760" t="str">
        <f>IF('Casa sietes soles'!G34="","","Casa sietes soles")</f>
        <v/>
      </c>
      <c r="B760" t="str">
        <f>IF('Casa sietes soles'!G34="","",'Casa sietes soles'!G34)</f>
        <v/>
      </c>
      <c r="C760" t="str">
        <f>IF('Casa sietes soles'!G34="","",'Casa sietes soles'!I34)</f>
        <v/>
      </c>
      <c r="D760" t="str">
        <f>IF('Casa sietes soles'!G34="","",'Casa sietes soles'!L34)</f>
        <v/>
      </c>
      <c r="E760" t="str">
        <f>IF('Casa sietes soles'!G34="","",'Casa sietes soles'!M34)</f>
        <v/>
      </c>
      <c r="F760" t="str">
        <f>IF('Casa sietes soles'!G34="","",'Casa sietes soles'!N34)</f>
        <v/>
      </c>
    </row>
    <row r="761" spans="1:6">
      <c r="A761" t="str">
        <f>IF('Casa sietes soles'!G35="","","Casa sietes soles")</f>
        <v/>
      </c>
      <c r="B761" t="str">
        <f>IF('Casa sietes soles'!G35="","",'Casa sietes soles'!G35)</f>
        <v/>
      </c>
      <c r="C761" t="str">
        <f>IF('Casa sietes soles'!G35="","",'Casa sietes soles'!I35)</f>
        <v/>
      </c>
      <c r="D761" t="str">
        <f>IF('Casa sietes soles'!G35="","",'Casa sietes soles'!L35)</f>
        <v/>
      </c>
      <c r="E761" t="str">
        <f>IF('Casa sietes soles'!G35="","",'Casa sietes soles'!M35)</f>
        <v/>
      </c>
      <c r="F761" t="str">
        <f>IF('Casa sietes soles'!G35="","",'Casa sietes soles'!N35)</f>
        <v/>
      </c>
    </row>
    <row r="762" spans="1:6">
      <c r="A762" t="str">
        <f>IF('Casa sietes soles'!G36="","","Casa sietes soles")</f>
        <v/>
      </c>
      <c r="B762" t="str">
        <f>IF('Casa sietes soles'!G36="","",'Casa sietes soles'!G36)</f>
        <v/>
      </c>
      <c r="C762" t="str">
        <f>IF('Casa sietes soles'!G36="","",'Casa sietes soles'!I36)</f>
        <v/>
      </c>
      <c r="D762" t="str">
        <f>IF('Casa sietes soles'!G36="","",'Casa sietes soles'!L36)</f>
        <v/>
      </c>
      <c r="E762" t="str">
        <f>IF('Casa sietes soles'!G36="","",'Casa sietes soles'!M36)</f>
        <v/>
      </c>
      <c r="F762" t="str">
        <f>IF('Casa sietes soles'!G36="","",'Casa sietes soles'!N36)</f>
        <v/>
      </c>
    </row>
    <row r="763" spans="1:6">
      <c r="A763" t="str">
        <f>IF('Casa sietes soles'!G37="","","Casa sietes soles")</f>
        <v/>
      </c>
      <c r="B763" t="str">
        <f>IF('Casa sietes soles'!G37="","",'Casa sietes soles'!G37)</f>
        <v/>
      </c>
      <c r="C763" t="str">
        <f>IF('Casa sietes soles'!G37="","",'Casa sietes soles'!I37)</f>
        <v/>
      </c>
      <c r="D763" t="str">
        <f>IF('Casa sietes soles'!G37="","",'Casa sietes soles'!L37)</f>
        <v/>
      </c>
      <c r="E763" t="str">
        <f>IF('Casa sietes soles'!G37="","",'Casa sietes soles'!M37)</f>
        <v/>
      </c>
      <c r="F763" t="str">
        <f>IF('Casa sietes soles'!G37="","",'Casa sietes soles'!N37)</f>
        <v/>
      </c>
    </row>
    <row r="764" spans="1:6">
      <c r="A764" t="str">
        <f>IF('Casa sietes soles'!G38="","","Casa sietes soles")</f>
        <v/>
      </c>
      <c r="B764" t="str">
        <f>IF('Casa sietes soles'!G38="","",'Casa sietes soles'!G38)</f>
        <v/>
      </c>
      <c r="C764" t="str">
        <f>IF('Casa sietes soles'!G38="","",'Casa sietes soles'!I38)</f>
        <v/>
      </c>
      <c r="D764" t="str">
        <f>IF('Casa sietes soles'!G38="","",'Casa sietes soles'!L38)</f>
        <v/>
      </c>
      <c r="E764" t="str">
        <f>IF('Casa sietes soles'!G38="","",'Casa sietes soles'!M38)</f>
        <v/>
      </c>
      <c r="F764" t="str">
        <f>IF('Casa sietes soles'!G38="","",'Casa sietes soles'!N38)</f>
        <v/>
      </c>
    </row>
    <row r="765" spans="1:6">
      <c r="A765" t="str">
        <f>IF('Casa sietes soles'!G39="","","Casa sietes soles")</f>
        <v/>
      </c>
      <c r="B765" t="str">
        <f>IF('Casa sietes soles'!G39="","",'Casa sietes soles'!G39)</f>
        <v/>
      </c>
      <c r="C765" t="str">
        <f>IF('Casa sietes soles'!G39="","",'Casa sietes soles'!I39)</f>
        <v/>
      </c>
      <c r="D765" t="str">
        <f>IF('Casa sietes soles'!G39="","",'Casa sietes soles'!L39)</f>
        <v/>
      </c>
      <c r="E765" t="str">
        <f>IF('Casa sietes soles'!G39="","",'Casa sietes soles'!M39)</f>
        <v/>
      </c>
      <c r="F765" t="str">
        <f>IF('Casa sietes soles'!G39="","",'Casa sietes soles'!N39)</f>
        <v/>
      </c>
    </row>
    <row r="766" spans="1:6">
      <c r="A766" t="str">
        <f>IF('Casa sietes soles'!G40="","","Casa sietes soles")</f>
        <v/>
      </c>
      <c r="B766" t="str">
        <f>IF('Casa sietes soles'!G40="","",'Casa sietes soles'!G40)</f>
        <v/>
      </c>
      <c r="C766" t="str">
        <f>IF('Casa sietes soles'!G40="","",'Casa sietes soles'!I40)</f>
        <v/>
      </c>
      <c r="D766" t="str">
        <f>IF('Casa sietes soles'!G40="","",'Casa sietes soles'!L40)</f>
        <v/>
      </c>
      <c r="E766" t="str">
        <f>IF('Casa sietes soles'!G40="","",'Casa sietes soles'!M40)</f>
        <v/>
      </c>
      <c r="F766" t="str">
        <f>IF('Casa sietes soles'!G40="","",'Casa sietes soles'!N40)</f>
        <v/>
      </c>
    </row>
    <row r="767" spans="1:6">
      <c r="A767" t="str">
        <f>IF('Casa sietes soles'!G41="","","Casa sietes soles")</f>
        <v>Casa sietes soles</v>
      </c>
      <c r="B767" t="str">
        <f>IF('Casa sietes soles'!G41="","",'Casa sietes soles'!G41)</f>
        <v>TOTAL</v>
      </c>
      <c r="C767">
        <f>IF('Casa sietes soles'!G41="","",'Casa sietes soles'!I41)</f>
        <v>0</v>
      </c>
      <c r="D767">
        <f>IF('Casa sietes soles'!G41="","",'Casa sietes soles'!L41)</f>
        <v>0</v>
      </c>
      <c r="E767">
        <f>IF('Casa sietes soles'!G41="","",'Casa sietes soles'!M41)</f>
        <v>0</v>
      </c>
      <c r="F767">
        <f>IF('Casa sietes soles'!G41="","",'Casa sietes soles'!N41)</f>
        <v>0</v>
      </c>
    </row>
    <row r="768" spans="1:6">
      <c r="A768" t="str">
        <f>IF('Casa sietes soles'!G42="","","Casa sietes soles")</f>
        <v/>
      </c>
      <c r="B768" t="str">
        <f>IF('Casa sietes soles'!G42="","",'Casa sietes soles'!G42)</f>
        <v/>
      </c>
      <c r="C768" t="str">
        <f>IF('Casa sietes soles'!G42="","",'Casa sietes soles'!I42)</f>
        <v/>
      </c>
      <c r="D768" t="str">
        <f>IF('Casa sietes soles'!G42="","",'Casa sietes soles'!L42)</f>
        <v/>
      </c>
      <c r="E768" t="str">
        <f>IF('Casa sietes soles'!G42="","",'Casa sietes soles'!M42)</f>
        <v/>
      </c>
      <c r="F768" t="str">
        <f>IF('Casa sietes soles'!G42="","",'Casa sietes soles'!N42)</f>
        <v/>
      </c>
    </row>
    <row r="769" spans="1:6">
      <c r="A769" t="str">
        <f>IF('Casa sietes soles'!G43="","","Casa sietes soles")</f>
        <v/>
      </c>
      <c r="B769" t="str">
        <f>IF('Casa sietes soles'!G43="","",'Casa sietes soles'!G43)</f>
        <v/>
      </c>
      <c r="C769" t="str">
        <f>IF('Casa sietes soles'!G43="","",'Casa sietes soles'!I43)</f>
        <v/>
      </c>
      <c r="D769" t="str">
        <f>IF('Casa sietes soles'!G43="","",'Casa sietes soles'!L43)</f>
        <v/>
      </c>
      <c r="E769" t="str">
        <f>IF('Casa sietes soles'!G43="","",'Casa sietes soles'!M43)</f>
        <v/>
      </c>
      <c r="F769" t="str">
        <f>IF('Casa sietes soles'!G43="","",'Casa sietes soles'!N43)</f>
        <v/>
      </c>
    </row>
    <row r="770" spans="1:6">
      <c r="A770" t="str">
        <f>IF('Casa sietes soles'!G44="","","Casa sietes soles")</f>
        <v/>
      </c>
      <c r="B770" t="str">
        <f>IF('Casa sietes soles'!G44="","",'Casa sietes soles'!G44)</f>
        <v/>
      </c>
      <c r="C770" t="str">
        <f>IF('Casa sietes soles'!G44="","",'Casa sietes soles'!I44)</f>
        <v/>
      </c>
      <c r="D770" t="str">
        <f>IF('Casa sietes soles'!G44="","",'Casa sietes soles'!L44)</f>
        <v/>
      </c>
      <c r="E770" t="str">
        <f>IF('Casa sietes soles'!G44="","",'Casa sietes soles'!M44)</f>
        <v/>
      </c>
      <c r="F770" t="str">
        <f>IF('Casa sietes soles'!G44="","",'Casa sietes soles'!N44)</f>
        <v/>
      </c>
    </row>
    <row r="771" spans="1:6">
      <c r="A771" t="str">
        <f>IF('Casa sietes soles'!G45="","","Casa sietes soles")</f>
        <v/>
      </c>
      <c r="B771" t="str">
        <f>IF('Casa sietes soles'!G45="","",'Casa sietes soles'!G45)</f>
        <v/>
      </c>
      <c r="C771" t="str">
        <f>IF('Casa sietes soles'!G45="","",'Casa sietes soles'!I45)</f>
        <v/>
      </c>
      <c r="D771" t="str">
        <f>IF('Casa sietes soles'!G45="","",'Casa sietes soles'!L45)</f>
        <v/>
      </c>
      <c r="E771" t="str">
        <f>IF('Casa sietes soles'!G45="","",'Casa sietes soles'!M45)</f>
        <v/>
      </c>
      <c r="F771" t="str">
        <f>IF('Casa sietes soles'!G45="","",'Casa sietes soles'!N45)</f>
        <v/>
      </c>
    </row>
    <row r="772" spans="1:6">
      <c r="A772" t="str">
        <f>IF('Casa sietes soles'!G46="","","Casa sietes soles")</f>
        <v/>
      </c>
      <c r="B772" t="str">
        <f>IF('Casa sietes soles'!G46="","",'Casa sietes soles'!G46)</f>
        <v/>
      </c>
      <c r="C772" t="str">
        <f>IF('Casa sietes soles'!G46="","",'Casa sietes soles'!I46)</f>
        <v/>
      </c>
      <c r="D772" t="str">
        <f>IF('Casa sietes soles'!G46="","",'Casa sietes soles'!L46)</f>
        <v/>
      </c>
      <c r="E772" t="str">
        <f>IF('Casa sietes soles'!G46="","",'Casa sietes soles'!M46)</f>
        <v/>
      </c>
      <c r="F772" t="str">
        <f>IF('Casa sietes soles'!G46="","",'Casa sietes soles'!N46)</f>
        <v/>
      </c>
    </row>
    <row r="773" spans="1:6">
      <c r="A773" t="str">
        <f>IF('Casa sietes soles'!G47="","","Casa sietes soles")</f>
        <v/>
      </c>
      <c r="B773" t="str">
        <f>IF('Casa sietes soles'!G47="","",'Casa sietes soles'!G47)</f>
        <v/>
      </c>
      <c r="C773" t="str">
        <f>IF('Casa sietes soles'!G47="","",'Casa sietes soles'!I47)</f>
        <v/>
      </c>
      <c r="D773" t="str">
        <f>IF('Casa sietes soles'!G47="","",'Casa sietes soles'!L47)</f>
        <v/>
      </c>
      <c r="E773" t="str">
        <f>IF('Casa sietes soles'!G47="","",'Casa sietes soles'!M47)</f>
        <v/>
      </c>
      <c r="F773" t="str">
        <f>IF('Casa sietes soles'!G47="","",'Casa sietes soles'!N47)</f>
        <v/>
      </c>
    </row>
    <row r="774" spans="1:6">
      <c r="A774" t="str">
        <f>IF('Casa sietes soles'!G48="","","Casa sietes soles")</f>
        <v/>
      </c>
      <c r="B774" t="str">
        <f>IF('Casa sietes soles'!G48="","",'Casa sietes soles'!G48)</f>
        <v/>
      </c>
      <c r="C774" t="str">
        <f>IF('Casa sietes soles'!G48="","",'Casa sietes soles'!I48)</f>
        <v/>
      </c>
      <c r="D774" t="str">
        <f>IF('Casa sietes soles'!G48="","",'Casa sietes soles'!L48)</f>
        <v/>
      </c>
      <c r="E774" t="str">
        <f>IF('Casa sietes soles'!G48="","",'Casa sietes soles'!M48)</f>
        <v/>
      </c>
      <c r="F774" t="str">
        <f>IF('Casa sietes soles'!G48="","",'Casa sietes soles'!N48)</f>
        <v/>
      </c>
    </row>
    <row r="775" spans="1:6">
      <c r="A775" t="str">
        <f>IF('Casa sietes soles'!G49="","","Casa sietes soles")</f>
        <v/>
      </c>
      <c r="B775" t="str">
        <f>IF('Casa sietes soles'!G49="","",'Casa sietes soles'!G49)</f>
        <v/>
      </c>
      <c r="C775" t="str">
        <f>IF('Casa sietes soles'!G49="","",'Casa sietes soles'!I49)</f>
        <v/>
      </c>
      <c r="D775" t="str">
        <f>IF('Casa sietes soles'!G49="","",'Casa sietes soles'!L49)</f>
        <v/>
      </c>
      <c r="E775" t="str">
        <f>IF('Casa sietes soles'!G49="","",'Casa sietes soles'!M49)</f>
        <v/>
      </c>
      <c r="F775" t="str">
        <f>IF('Casa sietes soles'!G49="","",'Casa sietes soles'!N49)</f>
        <v/>
      </c>
    </row>
    <row r="776" spans="1:6">
      <c r="A776" t="str">
        <f>IF('Casa sietes soles'!G50="","","Casa sietes soles")</f>
        <v/>
      </c>
      <c r="B776" t="str">
        <f>IF('Casa sietes soles'!G50="","",'Casa sietes soles'!G50)</f>
        <v/>
      </c>
      <c r="C776" t="str">
        <f>IF('Casa sietes soles'!G50="","",'Casa sietes soles'!I50)</f>
        <v/>
      </c>
      <c r="D776" t="str">
        <f>IF('Casa sietes soles'!G50="","",'Casa sietes soles'!L50)</f>
        <v/>
      </c>
      <c r="E776" t="str">
        <f>IF('Casa sietes soles'!G50="","",'Casa sietes soles'!M50)</f>
        <v/>
      </c>
      <c r="F776" t="str">
        <f>IF('Casa sietes soles'!G50="","",'Casa sietes soles'!N50)</f>
        <v/>
      </c>
    </row>
    <row r="777" spans="1:6">
      <c r="A777" t="str">
        <f>IF('Casa sietes soles'!G51="","","Casa sietes soles")</f>
        <v/>
      </c>
      <c r="B777" t="str">
        <f>IF('Casa sietes soles'!G51="","",'Casa sietes soles'!G51)</f>
        <v/>
      </c>
      <c r="C777" t="str">
        <f>IF('Casa sietes soles'!G51="","",'Casa sietes soles'!I51)</f>
        <v/>
      </c>
      <c r="D777" t="str">
        <f>IF('Casa sietes soles'!G51="","",'Casa sietes soles'!L51)</f>
        <v/>
      </c>
      <c r="E777" t="str">
        <f>IF('Casa sietes soles'!G51="","",'Casa sietes soles'!M51)</f>
        <v/>
      </c>
      <c r="F777" t="str">
        <f>IF('Casa sietes soles'!G51="","",'Casa sietes soles'!N51)</f>
        <v/>
      </c>
    </row>
    <row r="778" spans="1:6">
      <c r="A778" t="str">
        <f>IF('Casa sietes soles'!G52="","","Casa sietes soles")</f>
        <v/>
      </c>
      <c r="B778" t="str">
        <f>IF('Casa sietes soles'!G52="","",'Casa sietes soles'!G52)</f>
        <v/>
      </c>
      <c r="C778" t="str">
        <f>IF('Casa sietes soles'!G52="","",'Casa sietes soles'!I52)</f>
        <v/>
      </c>
      <c r="D778" t="str">
        <f>IF('Casa sietes soles'!G52="","",'Casa sietes soles'!L52)</f>
        <v/>
      </c>
      <c r="E778" t="str">
        <f>IF('Casa sietes soles'!G52="","",'Casa sietes soles'!M52)</f>
        <v/>
      </c>
      <c r="F778" t="str">
        <f>IF('Casa sietes soles'!G52="","",'Casa sietes soles'!N52)</f>
        <v/>
      </c>
    </row>
    <row r="779" spans="1:6">
      <c r="A779" t="str">
        <f>IF('Casa sietes soles'!G53="","","Casa sietes soles")</f>
        <v/>
      </c>
      <c r="B779" t="str">
        <f>IF('Casa sietes soles'!G53="","",'Casa sietes soles'!G53)</f>
        <v/>
      </c>
      <c r="C779" t="str">
        <f>IF('Casa sietes soles'!G53="","",'Casa sietes soles'!I53)</f>
        <v/>
      </c>
      <c r="D779" t="str">
        <f>IF('Casa sietes soles'!G53="","",'Casa sietes soles'!L53)</f>
        <v/>
      </c>
      <c r="E779" t="str">
        <f>IF('Casa sietes soles'!G53="","",'Casa sietes soles'!M53)</f>
        <v/>
      </c>
      <c r="F779" t="str">
        <f>IF('Casa sietes soles'!G53="","",'Casa sietes soles'!N53)</f>
        <v/>
      </c>
    </row>
    <row r="780" spans="1:6">
      <c r="A780" t="str">
        <f>IF('Casa sietes soles'!G54="","","Casa sietes soles")</f>
        <v/>
      </c>
      <c r="B780" t="str">
        <f>IF('Casa sietes soles'!G54="","",'Casa sietes soles'!G54)</f>
        <v/>
      </c>
      <c r="C780" t="str">
        <f>IF('Casa sietes soles'!G54="","",'Casa sietes soles'!I54)</f>
        <v/>
      </c>
      <c r="D780" t="str">
        <f>IF('Casa sietes soles'!G54="","",'Casa sietes soles'!L54)</f>
        <v/>
      </c>
      <c r="E780" t="str">
        <f>IF('Casa sietes soles'!G54="","",'Casa sietes soles'!M54)</f>
        <v/>
      </c>
      <c r="F780" t="str">
        <f>IF('Casa sietes soles'!G54="","",'Casa sietes soles'!N54)</f>
        <v/>
      </c>
    </row>
    <row r="781" spans="1:6">
      <c r="A781" t="str">
        <f>IF('Casa sietes soles'!G55="","","Casa sietes soles")</f>
        <v/>
      </c>
      <c r="B781" t="str">
        <f>IF('Casa sietes soles'!G55="","",'Casa sietes soles'!G55)</f>
        <v/>
      </c>
      <c r="C781" t="str">
        <f>IF('Casa sietes soles'!G55="","",'Casa sietes soles'!I55)</f>
        <v/>
      </c>
      <c r="D781" t="str">
        <f>IF('Casa sietes soles'!G55="","",'Casa sietes soles'!L55)</f>
        <v/>
      </c>
      <c r="E781" t="str">
        <f>IF('Casa sietes soles'!G55="","",'Casa sietes soles'!M55)</f>
        <v/>
      </c>
      <c r="F781" t="str">
        <f>IF('Casa sietes soles'!G55="","",'Casa sietes soles'!N55)</f>
        <v/>
      </c>
    </row>
    <row r="782" spans="1:6">
      <c r="A782" t="str">
        <f>IF('Casa sietes soles'!G56="","","Casa sietes soles")</f>
        <v/>
      </c>
      <c r="B782" t="str">
        <f>IF('Casa sietes soles'!G56="","",'Casa sietes soles'!G56)</f>
        <v/>
      </c>
      <c r="C782" t="str">
        <f>IF('Casa sietes soles'!G56="","",'Casa sietes soles'!I56)</f>
        <v/>
      </c>
      <c r="D782" t="str">
        <f>IF('Casa sietes soles'!G56="","",'Casa sietes soles'!L56)</f>
        <v/>
      </c>
      <c r="E782" t="str">
        <f>IF('Casa sietes soles'!G56="","",'Casa sietes soles'!M56)</f>
        <v/>
      </c>
      <c r="F782" t="str">
        <f>IF('Casa sietes soles'!G56="","",'Casa sietes soles'!N56)</f>
        <v/>
      </c>
    </row>
    <row r="783" spans="1:6">
      <c r="A783" t="str">
        <f>IF('Casa sietes soles'!G57="","","Casa sietes soles")</f>
        <v/>
      </c>
      <c r="B783" t="str">
        <f>IF('Casa sietes soles'!G57="","",'Casa sietes soles'!G57)</f>
        <v/>
      </c>
      <c r="C783" t="str">
        <f>IF('Casa sietes soles'!G57="","",'Casa sietes soles'!I57)</f>
        <v/>
      </c>
      <c r="D783" t="str">
        <f>IF('Casa sietes soles'!G57="","",'Casa sietes soles'!L57)</f>
        <v/>
      </c>
      <c r="E783" t="str">
        <f>IF('Casa sietes soles'!G57="","",'Casa sietes soles'!M57)</f>
        <v/>
      </c>
      <c r="F783" t="str">
        <f>IF('Casa sietes soles'!G57="","",'Casa sietes soles'!N57)</f>
        <v/>
      </c>
    </row>
    <row r="784" spans="1:6">
      <c r="A784" t="str">
        <f>IF('Casa sietes soles'!G58="","","Casa sietes soles")</f>
        <v/>
      </c>
      <c r="B784" t="str">
        <f>IF('Casa sietes soles'!G58="","",'Casa sietes soles'!G58)</f>
        <v/>
      </c>
      <c r="C784" t="str">
        <f>IF('Casa sietes soles'!G58="","",'Casa sietes soles'!I58)</f>
        <v/>
      </c>
      <c r="D784" t="str">
        <f>IF('Casa sietes soles'!G58="","",'Casa sietes soles'!L58)</f>
        <v/>
      </c>
      <c r="E784" t="str">
        <f>IF('Casa sietes soles'!G58="","",'Casa sietes soles'!M58)</f>
        <v/>
      </c>
      <c r="F784" t="str">
        <f>IF('Casa sietes soles'!G58="","",'Casa sietes soles'!N58)</f>
        <v/>
      </c>
    </row>
    <row r="785" spans="1:6">
      <c r="A785" t="str">
        <f>IF('Casa sietes soles'!G59="","","Casa sietes soles")</f>
        <v/>
      </c>
      <c r="B785" t="str">
        <f>IF('Casa sietes soles'!G59="","",'Casa sietes soles'!G59)</f>
        <v/>
      </c>
      <c r="C785" t="str">
        <f>IF('Casa sietes soles'!G59="","",'Casa sietes soles'!I59)</f>
        <v/>
      </c>
      <c r="D785" t="str">
        <f>IF('Casa sietes soles'!G59="","",'Casa sietes soles'!L59)</f>
        <v/>
      </c>
      <c r="E785" t="str">
        <f>IF('Casa sietes soles'!G59="","",'Casa sietes soles'!M59)</f>
        <v/>
      </c>
      <c r="F785" t="str">
        <f>IF('Casa sietes soles'!G59="","",'Casa sietes soles'!N59)</f>
        <v/>
      </c>
    </row>
    <row r="786" spans="1:6">
      <c r="A786" t="str">
        <f>IF('Casa sietes soles'!G60="","","Casa sietes soles")</f>
        <v/>
      </c>
      <c r="B786" t="str">
        <f>IF('Casa sietes soles'!G60="","",'Casa sietes soles'!G60)</f>
        <v/>
      </c>
      <c r="C786" t="str">
        <f>IF('Casa sietes soles'!G60="","",'Casa sietes soles'!I60)</f>
        <v/>
      </c>
      <c r="D786" t="str">
        <f>IF('Casa sietes soles'!G60="","",'Casa sietes soles'!L60)</f>
        <v/>
      </c>
      <c r="E786" t="str">
        <f>IF('Casa sietes soles'!G60="","",'Casa sietes soles'!M60)</f>
        <v/>
      </c>
      <c r="F786" t="str">
        <f>IF('Casa sietes soles'!G60="","",'Casa sietes soles'!N60)</f>
        <v/>
      </c>
    </row>
    <row r="787" spans="1:6">
      <c r="A787" t="str">
        <f>IF('Casa sietes soles'!G61="","","Casa sietes soles")</f>
        <v/>
      </c>
      <c r="B787" t="str">
        <f>IF('Casa sietes soles'!G61="","",'Casa sietes soles'!G61)</f>
        <v/>
      </c>
      <c r="C787" t="str">
        <f>IF('Casa sietes soles'!G61="","",'Casa sietes soles'!I61)</f>
        <v/>
      </c>
      <c r="D787" t="str">
        <f>IF('Casa sietes soles'!G61="","",'Casa sietes soles'!L61)</f>
        <v/>
      </c>
      <c r="E787" t="str">
        <f>IF('Casa sietes soles'!G61="","",'Casa sietes soles'!M61)</f>
        <v/>
      </c>
      <c r="F787" t="str">
        <f>IF('Casa sietes soles'!G61="","",'Casa sietes soles'!N61)</f>
        <v/>
      </c>
    </row>
    <row r="788" spans="1:6">
      <c r="A788" t="str">
        <f>IF('Casa sietes soles'!G62="","","Casa sietes soles")</f>
        <v/>
      </c>
      <c r="B788" t="str">
        <f>IF('Casa sietes soles'!G62="","",'Casa sietes soles'!G62)</f>
        <v/>
      </c>
      <c r="C788" t="str">
        <f>IF('Casa sietes soles'!G62="","",'Casa sietes soles'!I62)</f>
        <v/>
      </c>
      <c r="D788" t="str">
        <f>IF('Casa sietes soles'!G62="","",'Casa sietes soles'!L62)</f>
        <v/>
      </c>
      <c r="E788" t="str">
        <f>IF('Casa sietes soles'!G62="","",'Casa sietes soles'!M62)</f>
        <v/>
      </c>
      <c r="F788" t="str">
        <f>IF('Casa sietes soles'!G62="","",'Casa sietes soles'!N62)</f>
        <v/>
      </c>
    </row>
    <row r="789" spans="1:6">
      <c r="A789" t="str">
        <f>IF('Casa sietes soles'!G63="","","Casa sietes soles")</f>
        <v/>
      </c>
      <c r="B789" t="str">
        <f>IF('Casa sietes soles'!G63="","",'Casa sietes soles'!G63)</f>
        <v/>
      </c>
      <c r="C789" t="str">
        <f>IF('Casa sietes soles'!G63="","",'Casa sietes soles'!I63)</f>
        <v/>
      </c>
      <c r="D789" t="str">
        <f>IF('Casa sietes soles'!G63="","",'Casa sietes soles'!L63)</f>
        <v/>
      </c>
      <c r="E789" t="str">
        <f>IF('Casa sietes soles'!G63="","",'Casa sietes soles'!M63)</f>
        <v/>
      </c>
      <c r="F789" t="str">
        <f>IF('Casa sietes soles'!G63="","",'Casa sietes soles'!N63)</f>
        <v/>
      </c>
    </row>
    <row r="790" spans="1:6">
      <c r="A790" t="str">
        <f>IF('Casa sietes soles'!G64="","","Casa sietes soles")</f>
        <v/>
      </c>
      <c r="B790" t="str">
        <f>IF('Casa sietes soles'!G64="","",'Casa sietes soles'!G64)</f>
        <v/>
      </c>
      <c r="C790" t="str">
        <f>IF('Casa sietes soles'!G64="","",'Casa sietes soles'!I64)</f>
        <v/>
      </c>
      <c r="D790" t="str">
        <f>IF('Casa sietes soles'!G64="","",'Casa sietes soles'!L64)</f>
        <v/>
      </c>
      <c r="E790" t="str">
        <f>IF('Casa sietes soles'!G64="","",'Casa sietes soles'!M64)</f>
        <v/>
      </c>
      <c r="F790" t="str">
        <f>IF('Casa sietes soles'!G64="","",'Casa sietes soles'!N64)</f>
        <v/>
      </c>
    </row>
    <row r="791" spans="1:6">
      <c r="A791" t="str">
        <f>IF('Casa sietes soles'!G65="","","Casa sietes soles")</f>
        <v/>
      </c>
      <c r="B791" t="str">
        <f>IF('Casa sietes soles'!G65="","",'Casa sietes soles'!G65)</f>
        <v/>
      </c>
      <c r="C791" t="str">
        <f>IF('Casa sietes soles'!G65="","",'Casa sietes soles'!I65)</f>
        <v/>
      </c>
      <c r="D791" t="str">
        <f>IF('Casa sietes soles'!G65="","",'Casa sietes soles'!L65)</f>
        <v/>
      </c>
      <c r="E791" t="str">
        <f>IF('Casa sietes soles'!G65="","",'Casa sietes soles'!M65)</f>
        <v/>
      </c>
      <c r="F791" t="str">
        <f>IF('Casa sietes soles'!G65="","",'Casa sietes soles'!N65)</f>
        <v/>
      </c>
    </row>
    <row r="792" spans="1:6">
      <c r="A792" t="str">
        <f>IF('Casa sietes soles'!G66="","","Casa sietes soles")</f>
        <v/>
      </c>
      <c r="B792" t="str">
        <f>IF('Casa sietes soles'!G66="","",'Casa sietes soles'!G66)</f>
        <v/>
      </c>
      <c r="C792" t="str">
        <f>IF('Casa sietes soles'!G66="","",'Casa sietes soles'!I66)</f>
        <v/>
      </c>
      <c r="D792" t="str">
        <f>IF('Casa sietes soles'!G66="","",'Casa sietes soles'!L66)</f>
        <v/>
      </c>
      <c r="E792" t="str">
        <f>IF('Casa sietes soles'!G66="","",'Casa sietes soles'!M66)</f>
        <v/>
      </c>
      <c r="F792" t="str">
        <f>IF('Casa sietes soles'!G66="","",'Casa sietes soles'!N66)</f>
        <v/>
      </c>
    </row>
    <row r="793" spans="1:6">
      <c r="A793" t="str">
        <f>IF('Casa sietes soles'!G67="","","Casa sietes soles")</f>
        <v/>
      </c>
      <c r="B793" t="str">
        <f>IF('Casa sietes soles'!G67="","",'Casa sietes soles'!G67)</f>
        <v/>
      </c>
      <c r="C793" t="str">
        <f>IF('Casa sietes soles'!G67="","",'Casa sietes soles'!I67)</f>
        <v/>
      </c>
      <c r="D793" t="str">
        <f>IF('Casa sietes soles'!G67="","",'Casa sietes soles'!L67)</f>
        <v/>
      </c>
      <c r="E793" t="str">
        <f>IF('Casa sietes soles'!G67="","",'Casa sietes soles'!M67)</f>
        <v/>
      </c>
      <c r="F793" t="str">
        <f>IF('Casa sietes soles'!G67="","",'Casa sietes soles'!N67)</f>
        <v/>
      </c>
    </row>
    <row r="794" spans="1:6">
      <c r="A794" t="str">
        <f>IF('Casa sietes soles'!G68="","","Casa sietes soles")</f>
        <v/>
      </c>
      <c r="B794" t="str">
        <f>IF('Casa sietes soles'!G68="","",'Casa sietes soles'!G68)</f>
        <v/>
      </c>
      <c r="C794" t="str">
        <f>IF('Casa sietes soles'!G68="","",'Casa sietes soles'!I68)</f>
        <v/>
      </c>
      <c r="D794" t="str">
        <f>IF('Casa sietes soles'!G68="","",'Casa sietes soles'!L68)</f>
        <v/>
      </c>
      <c r="E794" t="str">
        <f>IF('Casa sietes soles'!G68="","",'Casa sietes soles'!M68)</f>
        <v/>
      </c>
      <c r="F794" t="str">
        <f>IF('Casa sietes soles'!G68="","",'Casa sietes soles'!N68)</f>
        <v/>
      </c>
    </row>
    <row r="795" spans="1:6">
      <c r="A795" t="str">
        <f>IF('Proyecto AZ'!G10="","","Proyecto AZ")</f>
        <v>Proyecto AZ</v>
      </c>
      <c r="B795" t="str">
        <f>IF('Proyecto AZ'!G10="","",'Proyecto AZ'!G10)</f>
        <v>Geotecnia</v>
      </c>
      <c r="C795">
        <f>IF('Proyecto AZ'!G10="","",'Proyecto AZ'!I10)</f>
        <v>1936000</v>
      </c>
      <c r="D795" t="str">
        <f>IF('Proyecto AZ'!G10="","",'Proyecto AZ'!L10)</f>
        <v>Pagado</v>
      </c>
      <c r="E795">
        <f>IF('Proyecto AZ'!G10="","",'Proyecto AZ'!M10)</f>
        <v>0</v>
      </c>
      <c r="F795" t="str">
        <f>IF('Proyecto AZ'!G10="","",'Proyecto AZ'!N10)</f>
        <v>Recibido en obra</v>
      </c>
    </row>
    <row r="796" spans="1:6">
      <c r="A796" t="str">
        <f>IF('Proyecto AZ'!G11="","","Proyecto AZ")</f>
        <v>Proyecto AZ</v>
      </c>
      <c r="B796" t="str">
        <f>IF('Proyecto AZ'!G11="","",'Proyecto AZ'!G11)</f>
        <v>Agrimensor</v>
      </c>
      <c r="C796">
        <f>IF('Proyecto AZ'!G11="","",'Proyecto AZ'!I11)</f>
        <v>320000</v>
      </c>
      <c r="D796" t="str">
        <f>IF('Proyecto AZ'!G11="","",'Proyecto AZ'!L11)</f>
        <v>Pagado</v>
      </c>
      <c r="E796">
        <f>IF('Proyecto AZ'!G11="","",'Proyecto AZ'!M11)</f>
        <v>0</v>
      </c>
      <c r="F796" t="str">
        <f>IF('Proyecto AZ'!G11="","",'Proyecto AZ'!N11)</f>
        <v>Recibido en obra</v>
      </c>
    </row>
    <row r="797" spans="1:6">
      <c r="A797" t="str">
        <f>IF('Proyecto AZ'!G12="","","Proyecto AZ")</f>
        <v>Proyecto AZ</v>
      </c>
      <c r="B797" t="str">
        <f>IF('Proyecto AZ'!G12="","",'Proyecto AZ'!G12)</f>
        <v>Agrimensor</v>
      </c>
      <c r="C797">
        <f>IF('Proyecto AZ'!G12="","",'Proyecto AZ'!I12)</f>
        <v>89000</v>
      </c>
      <c r="D797" t="str">
        <f>IF('Proyecto AZ'!G12="","",'Proyecto AZ'!L12)</f>
        <v>Pagado</v>
      </c>
      <c r="E797">
        <f>IF('Proyecto AZ'!G12="","",'Proyecto AZ'!M12)</f>
        <v>0</v>
      </c>
      <c r="F797" t="str">
        <f>IF('Proyecto AZ'!G12="","",'Proyecto AZ'!N12)</f>
        <v>Recibido en obra</v>
      </c>
    </row>
    <row r="798" spans="1:6">
      <c r="A798" t="str">
        <f>IF('Proyecto AZ'!G13="","","Proyecto AZ")</f>
        <v/>
      </c>
      <c r="B798" t="str">
        <f>IF('Proyecto AZ'!G13="","",'Proyecto AZ'!G13)</f>
        <v/>
      </c>
      <c r="C798" t="str">
        <f>IF('Proyecto AZ'!G13="","",'Proyecto AZ'!I13)</f>
        <v/>
      </c>
      <c r="D798" t="str">
        <f>IF('Proyecto AZ'!G13="","",'Proyecto AZ'!L13)</f>
        <v/>
      </c>
      <c r="E798" t="str">
        <f>IF('Proyecto AZ'!G13="","",'Proyecto AZ'!M13)</f>
        <v/>
      </c>
      <c r="F798" t="str">
        <f>IF('Proyecto AZ'!G13="","",'Proyecto AZ'!N13)</f>
        <v/>
      </c>
    </row>
    <row r="799" spans="1:6">
      <c r="A799" t="e">
        <f>IF('Proyecto AZ'!#REF!="","","Proyecto AZ")</f>
        <v>#REF!</v>
      </c>
      <c r="B799" t="e">
        <f>IF('Proyecto AZ'!#REF!="","",'Proyecto AZ'!#REF!)</f>
        <v>#REF!</v>
      </c>
      <c r="C799" t="e">
        <f>IF('Proyecto AZ'!#REF!="","",'Proyecto AZ'!#REF!)</f>
        <v>#REF!</v>
      </c>
      <c r="D799" t="e">
        <f>IF('Proyecto AZ'!#REF!="","",'Proyecto AZ'!#REF!)</f>
        <v>#REF!</v>
      </c>
      <c r="E799" t="e">
        <f>IF('Proyecto AZ'!#REF!="","",'Proyecto AZ'!#REF!)</f>
        <v>#REF!</v>
      </c>
      <c r="F799" t="e">
        <f>IF('Proyecto AZ'!#REF!="","",'Proyecto AZ'!#REF!)</f>
        <v>#REF!</v>
      </c>
    </row>
    <row r="800" spans="1:6">
      <c r="A800" t="str">
        <f>IF('Proyecto AZ'!G14="","","Proyecto AZ")</f>
        <v/>
      </c>
      <c r="B800" t="str">
        <f>IF('Proyecto AZ'!G14="","",'Proyecto AZ'!G14)</f>
        <v/>
      </c>
      <c r="C800" t="str">
        <f>IF('Proyecto AZ'!G14="","",'Proyecto AZ'!I14)</f>
        <v/>
      </c>
      <c r="D800" t="str">
        <f>IF('Proyecto AZ'!G14="","",'Proyecto AZ'!L14)</f>
        <v/>
      </c>
      <c r="E800" t="str">
        <f>IF('Proyecto AZ'!G14="","",'Proyecto AZ'!M14)</f>
        <v/>
      </c>
      <c r="F800" t="str">
        <f>IF('Proyecto AZ'!G14="","",'Proyecto AZ'!N14)</f>
        <v/>
      </c>
    </row>
    <row r="801" spans="1:6">
      <c r="A801" t="e">
        <f>IF('Proyecto AZ'!#REF!="","","Proyecto AZ")</f>
        <v>#REF!</v>
      </c>
      <c r="B801" t="e">
        <f>IF('Proyecto AZ'!#REF!="","",'Proyecto AZ'!#REF!)</f>
        <v>#REF!</v>
      </c>
      <c r="C801" t="e">
        <f>IF('Proyecto AZ'!#REF!="","",'Proyecto AZ'!#REF!)</f>
        <v>#REF!</v>
      </c>
      <c r="D801" t="e">
        <f>IF('Proyecto AZ'!#REF!="","",'Proyecto AZ'!#REF!)</f>
        <v>#REF!</v>
      </c>
      <c r="E801" t="e">
        <f>IF('Proyecto AZ'!#REF!="","",'Proyecto AZ'!#REF!)</f>
        <v>#REF!</v>
      </c>
      <c r="F801" t="e">
        <f>IF('Proyecto AZ'!#REF!="","",'Proyecto AZ'!#REF!)</f>
        <v>#REF!</v>
      </c>
    </row>
    <row r="802" spans="1:6">
      <c r="A802" t="e">
        <f>IF('Proyecto AZ'!#REF!="","","Proyecto AZ")</f>
        <v>#REF!</v>
      </c>
      <c r="B802" t="e">
        <f>IF('Proyecto AZ'!#REF!="","",'Proyecto AZ'!#REF!)</f>
        <v>#REF!</v>
      </c>
      <c r="C802" t="e">
        <f>IF('Proyecto AZ'!#REF!="","",'Proyecto AZ'!#REF!)</f>
        <v>#REF!</v>
      </c>
      <c r="D802" t="e">
        <f>IF('Proyecto AZ'!#REF!="","",'Proyecto AZ'!#REF!)</f>
        <v>#REF!</v>
      </c>
      <c r="E802" t="e">
        <f>IF('Proyecto AZ'!#REF!="","",'Proyecto AZ'!#REF!)</f>
        <v>#REF!</v>
      </c>
      <c r="F802" t="e">
        <f>IF('Proyecto AZ'!#REF!="","",'Proyecto AZ'!#REF!)</f>
        <v>#REF!</v>
      </c>
    </row>
    <row r="803" spans="1:6">
      <c r="A803" t="e">
        <f>IF('Proyecto AZ'!#REF!="","","Proyecto AZ")</f>
        <v>#REF!</v>
      </c>
      <c r="B803" t="e">
        <f>IF('Proyecto AZ'!#REF!="","",'Proyecto AZ'!#REF!)</f>
        <v>#REF!</v>
      </c>
      <c r="C803" t="e">
        <f>IF('Proyecto AZ'!#REF!="","",'Proyecto AZ'!#REF!)</f>
        <v>#REF!</v>
      </c>
      <c r="D803" t="e">
        <f>IF('Proyecto AZ'!#REF!="","",'Proyecto AZ'!#REF!)</f>
        <v>#REF!</v>
      </c>
      <c r="E803" t="e">
        <f>IF('Proyecto AZ'!#REF!="","",'Proyecto AZ'!#REF!)</f>
        <v>#REF!</v>
      </c>
      <c r="F803" t="e">
        <f>IF('Proyecto AZ'!#REF!="","",'Proyecto AZ'!#REF!)</f>
        <v>#REF!</v>
      </c>
    </row>
    <row r="804" spans="1:6">
      <c r="A804" t="str">
        <f>IF('Proyecto AZ'!G15="","","Proyecto AZ")</f>
        <v/>
      </c>
      <c r="B804" t="str">
        <f>IF('Proyecto AZ'!G15="","",'Proyecto AZ'!G15)</f>
        <v/>
      </c>
      <c r="C804" t="str">
        <f>IF('Proyecto AZ'!G15="","",'Proyecto AZ'!I15)</f>
        <v/>
      </c>
      <c r="D804" t="str">
        <f>IF('Proyecto AZ'!G15="","",'Proyecto AZ'!L15)</f>
        <v/>
      </c>
      <c r="E804" t="str">
        <f>IF('Proyecto AZ'!G15="","",'Proyecto AZ'!M15)</f>
        <v/>
      </c>
      <c r="F804" t="str">
        <f>IF('Proyecto AZ'!G15="","",'Proyecto AZ'!N15)</f>
        <v/>
      </c>
    </row>
    <row r="805" spans="1:6">
      <c r="A805" t="str">
        <f>IF('Proyecto AZ'!G16="","","Proyecto AZ")</f>
        <v/>
      </c>
      <c r="B805" t="str">
        <f>IF('Proyecto AZ'!G16="","",'Proyecto AZ'!G16)</f>
        <v/>
      </c>
      <c r="C805" t="str">
        <f>IF('Proyecto AZ'!G16="","",'Proyecto AZ'!I16)</f>
        <v/>
      </c>
      <c r="D805" t="str">
        <f>IF('Proyecto AZ'!G16="","",'Proyecto AZ'!L16)</f>
        <v/>
      </c>
      <c r="E805" t="str">
        <f>IF('Proyecto AZ'!G16="","",'Proyecto AZ'!M16)</f>
        <v/>
      </c>
      <c r="F805" t="str">
        <f>IF('Proyecto AZ'!G16="","",'Proyecto AZ'!N16)</f>
        <v/>
      </c>
    </row>
    <row r="806" spans="1:6">
      <c r="A806" t="str">
        <f>IF('Proyecto AZ'!G17="","","Proyecto AZ")</f>
        <v/>
      </c>
      <c r="B806" t="str">
        <f>IF('Proyecto AZ'!G17="","",'Proyecto AZ'!G17)</f>
        <v/>
      </c>
      <c r="C806" t="str">
        <f>IF('Proyecto AZ'!G17="","",'Proyecto AZ'!I17)</f>
        <v/>
      </c>
      <c r="D806" t="str">
        <f>IF('Proyecto AZ'!G17="","",'Proyecto AZ'!L17)</f>
        <v/>
      </c>
      <c r="E806" t="str">
        <f>IF('Proyecto AZ'!G17="","",'Proyecto AZ'!M17)</f>
        <v/>
      </c>
      <c r="F806" t="str">
        <f>IF('Proyecto AZ'!G17="","",'Proyecto AZ'!N17)</f>
        <v/>
      </c>
    </row>
    <row r="807" spans="1:6">
      <c r="A807" t="e">
        <f>IF('Proyecto AZ'!#REF!="","","Proyecto AZ")</f>
        <v>#REF!</v>
      </c>
      <c r="B807" t="e">
        <f>IF('Proyecto AZ'!#REF!="","",'Proyecto AZ'!#REF!)</f>
        <v>#REF!</v>
      </c>
      <c r="C807" t="e">
        <f>IF('Proyecto AZ'!#REF!="","",'Proyecto AZ'!#REF!)</f>
        <v>#REF!</v>
      </c>
      <c r="D807" t="e">
        <f>IF('Proyecto AZ'!#REF!="","",'Proyecto AZ'!#REF!)</f>
        <v>#REF!</v>
      </c>
      <c r="E807" t="e">
        <f>IF('Proyecto AZ'!#REF!="","",'Proyecto AZ'!#REF!)</f>
        <v>#REF!</v>
      </c>
      <c r="F807" t="e">
        <f>IF('Proyecto AZ'!#REF!="","",'Proyecto AZ'!#REF!)</f>
        <v>#REF!</v>
      </c>
    </row>
    <row r="808" spans="1:6">
      <c r="A808" t="e">
        <f>IF('Proyecto AZ'!#REF!="","","Proyecto AZ")</f>
        <v>#REF!</v>
      </c>
      <c r="B808" t="e">
        <f>IF('Proyecto AZ'!#REF!="","",'Proyecto AZ'!#REF!)</f>
        <v>#REF!</v>
      </c>
      <c r="C808" t="e">
        <f>IF('Proyecto AZ'!#REF!="","",'Proyecto AZ'!#REF!)</f>
        <v>#REF!</v>
      </c>
      <c r="D808" t="e">
        <f>IF('Proyecto AZ'!#REF!="","",'Proyecto AZ'!#REF!)</f>
        <v>#REF!</v>
      </c>
      <c r="E808" t="e">
        <f>IF('Proyecto AZ'!#REF!="","",'Proyecto AZ'!#REF!)</f>
        <v>#REF!</v>
      </c>
      <c r="F808" t="e">
        <f>IF('Proyecto AZ'!#REF!="","",'Proyecto AZ'!#REF!)</f>
        <v>#REF!</v>
      </c>
    </row>
    <row r="809" spans="1:6">
      <c r="A809" t="str">
        <f>IF('Proyecto AZ'!G18="","","Proyecto AZ")</f>
        <v/>
      </c>
      <c r="B809" t="str">
        <f>IF('Proyecto AZ'!G18="","",'Proyecto AZ'!G18)</f>
        <v/>
      </c>
      <c r="C809" t="str">
        <f>IF('Proyecto AZ'!G18="","",'Proyecto AZ'!I18)</f>
        <v/>
      </c>
      <c r="D809" t="str">
        <f>IF('Proyecto AZ'!G18="","",'Proyecto AZ'!L18)</f>
        <v/>
      </c>
      <c r="E809" t="str">
        <f>IF('Proyecto AZ'!G18="","",'Proyecto AZ'!M18)</f>
        <v/>
      </c>
      <c r="F809" t="str">
        <f>IF('Proyecto AZ'!G18="","",'Proyecto AZ'!N18)</f>
        <v/>
      </c>
    </row>
    <row r="810" spans="1:6">
      <c r="A810" t="e">
        <f>IF('Proyecto AZ'!#REF!="","","Proyecto AZ")</f>
        <v>#REF!</v>
      </c>
      <c r="B810" t="e">
        <f>IF('Proyecto AZ'!#REF!="","",'Proyecto AZ'!#REF!)</f>
        <v>#REF!</v>
      </c>
      <c r="C810" t="e">
        <f>IF('Proyecto AZ'!#REF!="","",'Proyecto AZ'!#REF!)</f>
        <v>#REF!</v>
      </c>
      <c r="D810" t="e">
        <f>IF('Proyecto AZ'!#REF!="","",'Proyecto AZ'!#REF!)</f>
        <v>#REF!</v>
      </c>
      <c r="E810" t="e">
        <f>IF('Proyecto AZ'!#REF!="","",'Proyecto AZ'!#REF!)</f>
        <v>#REF!</v>
      </c>
      <c r="F810" t="e">
        <f>IF('Proyecto AZ'!#REF!="","",'Proyecto AZ'!#REF!)</f>
        <v>#REF!</v>
      </c>
    </row>
    <row r="811" spans="1:6">
      <c r="A811" t="e">
        <f>IF('Proyecto AZ'!#REF!="","","Proyecto AZ")</f>
        <v>#REF!</v>
      </c>
      <c r="B811" t="e">
        <f>IF('Proyecto AZ'!#REF!="","",'Proyecto AZ'!#REF!)</f>
        <v>#REF!</v>
      </c>
      <c r="C811" t="e">
        <f>IF('Proyecto AZ'!#REF!="","",'Proyecto AZ'!#REF!)</f>
        <v>#REF!</v>
      </c>
      <c r="D811" t="e">
        <f>IF('Proyecto AZ'!#REF!="","",'Proyecto AZ'!#REF!)</f>
        <v>#REF!</v>
      </c>
      <c r="E811" t="e">
        <f>IF('Proyecto AZ'!#REF!="","",'Proyecto AZ'!#REF!)</f>
        <v>#REF!</v>
      </c>
      <c r="F811" t="e">
        <f>IF('Proyecto AZ'!#REF!="","",'Proyecto AZ'!#REF!)</f>
        <v>#REF!</v>
      </c>
    </row>
    <row r="812" spans="1:6">
      <c r="A812" t="str">
        <f>IF('Proyecto AZ'!G19="","","Proyecto AZ")</f>
        <v/>
      </c>
      <c r="B812" t="str">
        <f>IF('Proyecto AZ'!G19="","",'Proyecto AZ'!G19)</f>
        <v/>
      </c>
      <c r="C812" t="str">
        <f>IF('Proyecto AZ'!G19="","",'Proyecto AZ'!I19)</f>
        <v/>
      </c>
      <c r="D812" t="str">
        <f>IF('Proyecto AZ'!G19="","",'Proyecto AZ'!L19)</f>
        <v/>
      </c>
      <c r="E812" t="str">
        <f>IF('Proyecto AZ'!G19="","",'Proyecto AZ'!M19)</f>
        <v/>
      </c>
      <c r="F812" t="str">
        <f>IF('Proyecto AZ'!G19="","",'Proyecto AZ'!N19)</f>
        <v/>
      </c>
    </row>
    <row r="813" spans="1:6">
      <c r="A813" t="str">
        <f>IF('Proyecto AZ'!G20="","","Proyecto AZ")</f>
        <v/>
      </c>
      <c r="B813" t="str">
        <f>IF('Proyecto AZ'!G20="","",'Proyecto AZ'!G20)</f>
        <v/>
      </c>
      <c r="C813" t="str">
        <f>IF('Proyecto AZ'!G20="","",'Proyecto AZ'!I20)</f>
        <v/>
      </c>
      <c r="D813" t="str">
        <f>IF('Proyecto AZ'!G20="","",'Proyecto AZ'!L20)</f>
        <v/>
      </c>
      <c r="E813" t="str">
        <f>IF('Proyecto AZ'!G20="","",'Proyecto AZ'!M20)</f>
        <v/>
      </c>
      <c r="F813" t="str">
        <f>IF('Proyecto AZ'!G20="","",'Proyecto AZ'!N20)</f>
        <v/>
      </c>
    </row>
    <row r="814" spans="1:6">
      <c r="A814" t="str">
        <f>IF('Proyecto AZ'!G23="","","Proyecto AZ")</f>
        <v/>
      </c>
      <c r="B814" t="str">
        <f>IF('Proyecto AZ'!G23="","",'Proyecto AZ'!G23)</f>
        <v/>
      </c>
      <c r="C814" t="str">
        <f>IF('Proyecto AZ'!G23="","",'Proyecto AZ'!I23)</f>
        <v/>
      </c>
      <c r="D814" t="str">
        <f>IF('Proyecto AZ'!G23="","",'Proyecto AZ'!L23)</f>
        <v/>
      </c>
      <c r="E814" t="str">
        <f>IF('Proyecto AZ'!G23="","",'Proyecto AZ'!M23)</f>
        <v/>
      </c>
      <c r="F814" t="str">
        <f>IF('Proyecto AZ'!G23="","",'Proyecto AZ'!N23)</f>
        <v/>
      </c>
    </row>
    <row r="815" spans="1:6">
      <c r="A815" t="str">
        <f>IF('Proyecto AZ'!G24="","","Proyecto AZ")</f>
        <v/>
      </c>
      <c r="B815" t="str">
        <f>IF('Proyecto AZ'!G24="","",'Proyecto AZ'!G24)</f>
        <v/>
      </c>
      <c r="C815" t="str">
        <f>IF('Proyecto AZ'!G24="","",'Proyecto AZ'!I24)</f>
        <v/>
      </c>
      <c r="D815" t="str">
        <f>IF('Proyecto AZ'!G24="","",'Proyecto AZ'!L24)</f>
        <v/>
      </c>
      <c r="E815" t="str">
        <f>IF('Proyecto AZ'!G24="","",'Proyecto AZ'!M24)</f>
        <v/>
      </c>
      <c r="F815" t="str">
        <f>IF('Proyecto AZ'!G24="","",'Proyecto AZ'!N24)</f>
        <v/>
      </c>
    </row>
    <row r="816" spans="1:6">
      <c r="A816" t="str">
        <f>IF('Proyecto AZ'!G25="","","Proyecto AZ")</f>
        <v/>
      </c>
      <c r="B816" t="str">
        <f>IF('Proyecto AZ'!G25="","",'Proyecto AZ'!G25)</f>
        <v/>
      </c>
      <c r="C816" t="str">
        <f>IF('Proyecto AZ'!G25="","",'Proyecto AZ'!I25)</f>
        <v/>
      </c>
      <c r="D816" t="str">
        <f>IF('Proyecto AZ'!G25="","",'Proyecto AZ'!L25)</f>
        <v/>
      </c>
      <c r="E816" t="str">
        <f>IF('Proyecto AZ'!G25="","",'Proyecto AZ'!M25)</f>
        <v/>
      </c>
      <c r="F816" t="str">
        <f>IF('Proyecto AZ'!G25="","",'Proyecto AZ'!N25)</f>
        <v/>
      </c>
    </row>
    <row r="817" spans="1:6">
      <c r="A817" t="str">
        <f>IF('Proyecto AZ'!G26="","","Proyecto AZ")</f>
        <v/>
      </c>
      <c r="B817" t="str">
        <f>IF('Proyecto AZ'!G26="","",'Proyecto AZ'!G26)</f>
        <v/>
      </c>
      <c r="C817" t="str">
        <f>IF('Proyecto AZ'!G26="","",'Proyecto AZ'!I26)</f>
        <v/>
      </c>
      <c r="D817" t="str">
        <f>IF('Proyecto AZ'!G26="","",'Proyecto AZ'!L26)</f>
        <v/>
      </c>
      <c r="E817" t="str">
        <f>IF('Proyecto AZ'!G26="","",'Proyecto AZ'!M26)</f>
        <v/>
      </c>
      <c r="F817" t="str">
        <f>IF('Proyecto AZ'!G26="","",'Proyecto AZ'!N26)</f>
        <v/>
      </c>
    </row>
    <row r="818" spans="1:6">
      <c r="A818" t="str">
        <f>IF('Proyecto AZ'!G27="","","Proyecto AZ")</f>
        <v/>
      </c>
      <c r="B818" t="str">
        <f>IF('Proyecto AZ'!G27="","",'Proyecto AZ'!G27)</f>
        <v/>
      </c>
      <c r="C818" t="str">
        <f>IF('Proyecto AZ'!G27="","",'Proyecto AZ'!I27)</f>
        <v/>
      </c>
      <c r="D818" t="str">
        <f>IF('Proyecto AZ'!G27="","",'Proyecto AZ'!L27)</f>
        <v/>
      </c>
      <c r="E818" t="str">
        <f>IF('Proyecto AZ'!G27="","",'Proyecto AZ'!M27)</f>
        <v/>
      </c>
      <c r="F818" t="str">
        <f>IF('Proyecto AZ'!G27="","",'Proyecto AZ'!N27)</f>
        <v/>
      </c>
    </row>
    <row r="819" spans="1:6">
      <c r="A819" t="str">
        <f>IF('Proyecto AZ'!G28="","","Proyecto AZ")</f>
        <v/>
      </c>
      <c r="B819" t="str">
        <f>IF('Proyecto AZ'!G28="","",'Proyecto AZ'!G28)</f>
        <v/>
      </c>
      <c r="C819" t="str">
        <f>IF('Proyecto AZ'!G28="","",'Proyecto AZ'!I28)</f>
        <v/>
      </c>
      <c r="D819" t="str">
        <f>IF('Proyecto AZ'!G28="","",'Proyecto AZ'!L28)</f>
        <v/>
      </c>
      <c r="E819" t="str">
        <f>IF('Proyecto AZ'!G28="","",'Proyecto AZ'!M28)</f>
        <v/>
      </c>
      <c r="F819" t="str">
        <f>IF('Proyecto AZ'!G28="","",'Proyecto AZ'!N28)</f>
        <v/>
      </c>
    </row>
    <row r="820" spans="1:6">
      <c r="A820" t="str">
        <f>IF('Proyecto AZ'!G29="","","Proyecto AZ")</f>
        <v/>
      </c>
      <c r="B820" t="str">
        <f>IF('Proyecto AZ'!G29="","",'Proyecto AZ'!G29)</f>
        <v/>
      </c>
      <c r="C820" t="str">
        <f>IF('Proyecto AZ'!G29="","",'Proyecto AZ'!I29)</f>
        <v/>
      </c>
      <c r="D820" t="str">
        <f>IF('Proyecto AZ'!G29="","",'Proyecto AZ'!L29)</f>
        <v/>
      </c>
      <c r="E820" t="str">
        <f>IF('Proyecto AZ'!G29="","",'Proyecto AZ'!M29)</f>
        <v/>
      </c>
      <c r="F820" t="str">
        <f>IF('Proyecto AZ'!G29="","",'Proyecto AZ'!N29)</f>
        <v/>
      </c>
    </row>
    <row r="821" spans="1:6">
      <c r="A821" t="str">
        <f>IF('Proyecto AZ'!G30="","","Proyecto AZ")</f>
        <v/>
      </c>
      <c r="B821" t="str">
        <f>IF('Proyecto AZ'!G30="","",'Proyecto AZ'!G30)</f>
        <v/>
      </c>
      <c r="C821" t="str">
        <f>IF('Proyecto AZ'!G30="","",'Proyecto AZ'!I30)</f>
        <v/>
      </c>
      <c r="D821" t="str">
        <f>IF('Proyecto AZ'!G30="","",'Proyecto AZ'!L30)</f>
        <v/>
      </c>
      <c r="E821" t="str">
        <f>IF('Proyecto AZ'!G30="","",'Proyecto AZ'!M30)</f>
        <v/>
      </c>
      <c r="F821" t="str">
        <f>IF('Proyecto AZ'!G30="","",'Proyecto AZ'!N30)</f>
        <v/>
      </c>
    </row>
    <row r="822" spans="1:6">
      <c r="A822" t="str">
        <f>IF('Proyecto AZ'!G31="","","Proyecto AZ")</f>
        <v/>
      </c>
      <c r="B822" t="str">
        <f>IF('Proyecto AZ'!G31="","",'Proyecto AZ'!G31)</f>
        <v/>
      </c>
      <c r="C822" t="str">
        <f>IF('Proyecto AZ'!G31="","",'Proyecto AZ'!I31)</f>
        <v/>
      </c>
      <c r="D822" t="str">
        <f>IF('Proyecto AZ'!G31="","",'Proyecto AZ'!L31)</f>
        <v/>
      </c>
      <c r="E822" t="str">
        <f>IF('Proyecto AZ'!G31="","",'Proyecto AZ'!M31)</f>
        <v/>
      </c>
      <c r="F822" t="str">
        <f>IF('Proyecto AZ'!G31="","",'Proyecto AZ'!N31)</f>
        <v/>
      </c>
    </row>
    <row r="823" spans="1:6">
      <c r="A823" t="str">
        <f>IF('Proyecto AZ'!G32="","","Proyecto AZ")</f>
        <v/>
      </c>
      <c r="B823" t="str">
        <f>IF('Proyecto AZ'!G32="","",'Proyecto AZ'!G32)</f>
        <v/>
      </c>
      <c r="C823" t="str">
        <f>IF('Proyecto AZ'!G32="","",'Proyecto AZ'!I32)</f>
        <v/>
      </c>
      <c r="D823" t="str">
        <f>IF('Proyecto AZ'!G32="","",'Proyecto AZ'!L32)</f>
        <v/>
      </c>
      <c r="E823" t="str">
        <f>IF('Proyecto AZ'!G32="","",'Proyecto AZ'!M32)</f>
        <v/>
      </c>
      <c r="F823" t="str">
        <f>IF('Proyecto AZ'!G32="","",'Proyecto AZ'!N32)</f>
        <v/>
      </c>
    </row>
    <row r="824" spans="1:6">
      <c r="A824" t="str">
        <f>IF('Proyecto AZ'!G33="","","Proyecto AZ")</f>
        <v/>
      </c>
      <c r="B824" t="str">
        <f>IF('Proyecto AZ'!G33="","",'Proyecto AZ'!G33)</f>
        <v/>
      </c>
      <c r="C824" t="str">
        <f>IF('Proyecto AZ'!G33="","",'Proyecto AZ'!I33)</f>
        <v/>
      </c>
      <c r="D824" t="str">
        <f>IF('Proyecto AZ'!G33="","",'Proyecto AZ'!L33)</f>
        <v/>
      </c>
      <c r="E824" t="str">
        <f>IF('Proyecto AZ'!G33="","",'Proyecto AZ'!M33)</f>
        <v/>
      </c>
      <c r="F824" t="str">
        <f>IF('Proyecto AZ'!G33="","",'Proyecto AZ'!N33)</f>
        <v/>
      </c>
    </row>
    <row r="825" spans="1:6">
      <c r="A825" t="str">
        <f>IF('Proyecto AZ'!G34="","","Proyecto AZ")</f>
        <v/>
      </c>
      <c r="B825" t="str">
        <f>IF('Proyecto AZ'!G34="","",'Proyecto AZ'!G34)</f>
        <v/>
      </c>
      <c r="C825" t="str">
        <f>IF('Proyecto AZ'!G34="","",'Proyecto AZ'!I34)</f>
        <v/>
      </c>
      <c r="D825" t="str">
        <f>IF('Proyecto AZ'!G34="","",'Proyecto AZ'!L34)</f>
        <v/>
      </c>
      <c r="E825" t="str">
        <f>IF('Proyecto AZ'!G34="","",'Proyecto AZ'!M34)</f>
        <v/>
      </c>
      <c r="F825" t="str">
        <f>IF('Proyecto AZ'!G34="","",'Proyecto AZ'!N34)</f>
        <v/>
      </c>
    </row>
    <row r="826" spans="1:6">
      <c r="A826" t="str">
        <f>IF('Proyecto AZ'!G35="","","Proyecto AZ")</f>
        <v/>
      </c>
      <c r="B826" t="str">
        <f>IF('Proyecto AZ'!G35="","",'Proyecto AZ'!G35)</f>
        <v/>
      </c>
      <c r="C826" t="str">
        <f>IF('Proyecto AZ'!G35="","",'Proyecto AZ'!I35)</f>
        <v/>
      </c>
      <c r="D826" t="str">
        <f>IF('Proyecto AZ'!G35="","",'Proyecto AZ'!L35)</f>
        <v/>
      </c>
      <c r="E826" t="str">
        <f>IF('Proyecto AZ'!G35="","",'Proyecto AZ'!M35)</f>
        <v/>
      </c>
      <c r="F826" t="str">
        <f>IF('Proyecto AZ'!G35="","",'Proyecto AZ'!N35)</f>
        <v/>
      </c>
    </row>
    <row r="827" spans="1:6">
      <c r="A827" t="str">
        <f>IF('Proyecto AZ'!G36="","","Proyecto AZ")</f>
        <v/>
      </c>
      <c r="B827" t="str">
        <f>IF('Proyecto AZ'!G36="","",'Proyecto AZ'!G36)</f>
        <v/>
      </c>
      <c r="C827" t="str">
        <f>IF('Proyecto AZ'!G36="","",'Proyecto AZ'!I36)</f>
        <v/>
      </c>
      <c r="D827" t="str">
        <f>IF('Proyecto AZ'!G36="","",'Proyecto AZ'!L36)</f>
        <v/>
      </c>
      <c r="E827" t="str">
        <f>IF('Proyecto AZ'!G36="","",'Proyecto AZ'!M36)</f>
        <v/>
      </c>
      <c r="F827" t="str">
        <f>IF('Proyecto AZ'!G36="","",'Proyecto AZ'!N36)</f>
        <v/>
      </c>
    </row>
    <row r="828" spans="1:6">
      <c r="A828" t="str">
        <f>IF('Proyecto AZ'!G37="","","Proyecto AZ")</f>
        <v/>
      </c>
      <c r="B828" t="str">
        <f>IF('Proyecto AZ'!G37="","",'Proyecto AZ'!G37)</f>
        <v/>
      </c>
      <c r="C828" t="str">
        <f>IF('Proyecto AZ'!G37="","",'Proyecto AZ'!I37)</f>
        <v/>
      </c>
      <c r="D828" t="str">
        <f>IF('Proyecto AZ'!G37="","",'Proyecto AZ'!L37)</f>
        <v/>
      </c>
      <c r="E828" t="str">
        <f>IF('Proyecto AZ'!G37="","",'Proyecto AZ'!M37)</f>
        <v/>
      </c>
      <c r="F828" t="str">
        <f>IF('Proyecto AZ'!G37="","",'Proyecto AZ'!N37)</f>
        <v/>
      </c>
    </row>
    <row r="829" spans="1:6">
      <c r="A829" t="str">
        <f>IF('Proyecto AZ'!G38="","","Proyecto AZ")</f>
        <v>Proyecto AZ</v>
      </c>
      <c r="B829" t="str">
        <f>IF('Proyecto AZ'!G38="","",'Proyecto AZ'!G38)</f>
        <v>TOTAL</v>
      </c>
      <c r="C829">
        <f>IF('Proyecto AZ'!G38="","",'Proyecto AZ'!I38)</f>
        <v>0</v>
      </c>
      <c r="D829">
        <f>IF('Proyecto AZ'!G38="","",'Proyecto AZ'!L38)</f>
        <v>0</v>
      </c>
      <c r="E829">
        <f>IF('Proyecto AZ'!G38="","",'Proyecto AZ'!M38)</f>
        <v>0</v>
      </c>
      <c r="F829">
        <f>IF('Proyecto AZ'!G38="","",'Proyecto AZ'!N38)</f>
        <v>0</v>
      </c>
    </row>
    <row r="830" spans="1:6">
      <c r="A830" t="str">
        <f>IF('Proyecto AZ'!G39="","","Proyecto AZ")</f>
        <v/>
      </c>
      <c r="B830" t="str">
        <f>IF('Proyecto AZ'!G39="","",'Proyecto AZ'!G39)</f>
        <v/>
      </c>
      <c r="C830" t="str">
        <f>IF('Proyecto AZ'!G39="","",'Proyecto AZ'!I39)</f>
        <v/>
      </c>
      <c r="D830" t="str">
        <f>IF('Proyecto AZ'!G39="","",'Proyecto AZ'!L39)</f>
        <v/>
      </c>
      <c r="E830" t="str">
        <f>IF('Proyecto AZ'!G39="","",'Proyecto AZ'!M39)</f>
        <v/>
      </c>
      <c r="F830" t="str">
        <f>IF('Proyecto AZ'!G39="","",'Proyecto AZ'!N39)</f>
        <v/>
      </c>
    </row>
    <row r="831" spans="1:6">
      <c r="A831" t="str">
        <f>IF('Proyecto AZ'!G40="","","Proyecto AZ")</f>
        <v/>
      </c>
      <c r="B831" t="str">
        <f>IF('Proyecto AZ'!G40="","",'Proyecto AZ'!G40)</f>
        <v/>
      </c>
      <c r="C831" t="str">
        <f>IF('Proyecto AZ'!G40="","",'Proyecto AZ'!I40)</f>
        <v/>
      </c>
      <c r="D831" t="str">
        <f>IF('Proyecto AZ'!G40="","",'Proyecto AZ'!L40)</f>
        <v/>
      </c>
      <c r="E831" t="str">
        <f>IF('Proyecto AZ'!G40="","",'Proyecto AZ'!M40)</f>
        <v/>
      </c>
      <c r="F831" t="str">
        <f>IF('Proyecto AZ'!G40="","",'Proyecto AZ'!N40)</f>
        <v/>
      </c>
    </row>
    <row r="832" spans="1:6">
      <c r="A832" t="str">
        <f>IF('Proyecto AZ'!G41="","","Proyecto AZ")</f>
        <v/>
      </c>
      <c r="B832" t="str">
        <f>IF('Proyecto AZ'!G41="","",'Proyecto AZ'!G41)</f>
        <v/>
      </c>
      <c r="C832" t="str">
        <f>IF('Proyecto AZ'!G41="","",'Proyecto AZ'!I41)</f>
        <v/>
      </c>
      <c r="D832" t="str">
        <f>IF('Proyecto AZ'!G41="","",'Proyecto AZ'!L41)</f>
        <v/>
      </c>
      <c r="E832" t="str">
        <f>IF('Proyecto AZ'!G41="","",'Proyecto AZ'!M41)</f>
        <v/>
      </c>
      <c r="F832" t="str">
        <f>IF('Proyecto AZ'!G41="","",'Proyecto AZ'!N41)</f>
        <v/>
      </c>
    </row>
    <row r="833" spans="1:6">
      <c r="A833" t="str">
        <f>IF('Proyecto AZ'!G42="","","Proyecto AZ")</f>
        <v/>
      </c>
      <c r="B833" t="str">
        <f>IF('Proyecto AZ'!G42="","",'Proyecto AZ'!G42)</f>
        <v/>
      </c>
      <c r="C833" t="str">
        <f>IF('Proyecto AZ'!G42="","",'Proyecto AZ'!I42)</f>
        <v/>
      </c>
      <c r="D833" t="str">
        <f>IF('Proyecto AZ'!G42="","",'Proyecto AZ'!L42)</f>
        <v/>
      </c>
      <c r="E833" t="str">
        <f>IF('Proyecto AZ'!G42="","",'Proyecto AZ'!M42)</f>
        <v/>
      </c>
      <c r="F833" t="str">
        <f>IF('Proyecto AZ'!G42="","",'Proyecto AZ'!N42)</f>
        <v/>
      </c>
    </row>
    <row r="834" spans="1:6">
      <c r="A834" t="str">
        <f>IF('Proyecto AZ'!G43="","","Proyecto AZ")</f>
        <v/>
      </c>
      <c r="B834" t="str">
        <f>IF('Proyecto AZ'!G43="","",'Proyecto AZ'!G43)</f>
        <v/>
      </c>
      <c r="C834" t="str">
        <f>IF('Proyecto AZ'!G43="","",'Proyecto AZ'!I43)</f>
        <v/>
      </c>
      <c r="D834" t="str">
        <f>IF('Proyecto AZ'!G43="","",'Proyecto AZ'!L43)</f>
        <v/>
      </c>
      <c r="E834" t="str">
        <f>IF('Proyecto AZ'!G43="","",'Proyecto AZ'!M43)</f>
        <v/>
      </c>
      <c r="F834" t="str">
        <f>IF('Proyecto AZ'!G43="","",'Proyecto AZ'!N43)</f>
        <v/>
      </c>
    </row>
    <row r="835" spans="1:6">
      <c r="A835" t="str">
        <f>IF('Proyecto AZ'!G44="","","Proyecto AZ")</f>
        <v/>
      </c>
      <c r="B835" t="str">
        <f>IF('Proyecto AZ'!G44="","",'Proyecto AZ'!G44)</f>
        <v/>
      </c>
      <c r="C835" t="str">
        <f>IF('Proyecto AZ'!G44="","",'Proyecto AZ'!I44)</f>
        <v/>
      </c>
      <c r="D835" t="str">
        <f>IF('Proyecto AZ'!G44="","",'Proyecto AZ'!L44)</f>
        <v/>
      </c>
      <c r="E835" t="str">
        <f>IF('Proyecto AZ'!G44="","",'Proyecto AZ'!M44)</f>
        <v/>
      </c>
      <c r="F835" t="str">
        <f>IF('Proyecto AZ'!G44="","",'Proyecto AZ'!N44)</f>
        <v/>
      </c>
    </row>
    <row r="836" spans="1:6">
      <c r="A836" t="str">
        <f>IF('Proyecto AZ'!G45="","","Proyecto AZ")</f>
        <v/>
      </c>
      <c r="B836" t="str">
        <f>IF('Proyecto AZ'!G45="","",'Proyecto AZ'!G45)</f>
        <v/>
      </c>
      <c r="C836" t="str">
        <f>IF('Proyecto AZ'!G45="","",'Proyecto AZ'!I45)</f>
        <v/>
      </c>
      <c r="D836" t="str">
        <f>IF('Proyecto AZ'!G45="","",'Proyecto AZ'!L45)</f>
        <v/>
      </c>
      <c r="E836" t="str">
        <f>IF('Proyecto AZ'!G45="","",'Proyecto AZ'!M45)</f>
        <v/>
      </c>
      <c r="F836" t="str">
        <f>IF('Proyecto AZ'!G45="","",'Proyecto AZ'!N45)</f>
        <v/>
      </c>
    </row>
    <row r="837" spans="1:6">
      <c r="A837" t="str">
        <f>IF('Proyecto AZ'!G46="","","Proyecto AZ")</f>
        <v/>
      </c>
      <c r="B837" t="str">
        <f>IF('Proyecto AZ'!G46="","",'Proyecto AZ'!G46)</f>
        <v/>
      </c>
      <c r="C837" t="str">
        <f>IF('Proyecto AZ'!G46="","",'Proyecto AZ'!I46)</f>
        <v/>
      </c>
      <c r="D837" t="str">
        <f>IF('Proyecto AZ'!G46="","",'Proyecto AZ'!L46)</f>
        <v/>
      </c>
      <c r="E837" t="str">
        <f>IF('Proyecto AZ'!G46="","",'Proyecto AZ'!M46)</f>
        <v/>
      </c>
      <c r="F837" t="str">
        <f>IF('Proyecto AZ'!G46="","",'Proyecto AZ'!N46)</f>
        <v/>
      </c>
    </row>
    <row r="838" spans="1:6">
      <c r="A838" t="str">
        <f>IF('Proyecto AZ'!G47="","","Proyecto AZ")</f>
        <v/>
      </c>
      <c r="B838" t="str">
        <f>IF('Proyecto AZ'!G47="","",'Proyecto AZ'!G47)</f>
        <v/>
      </c>
      <c r="C838" t="str">
        <f>IF('Proyecto AZ'!G47="","",'Proyecto AZ'!I47)</f>
        <v/>
      </c>
      <c r="D838" t="str">
        <f>IF('Proyecto AZ'!G47="","",'Proyecto AZ'!L47)</f>
        <v/>
      </c>
      <c r="E838" t="str">
        <f>IF('Proyecto AZ'!G47="","",'Proyecto AZ'!M47)</f>
        <v/>
      </c>
      <c r="F838" t="str">
        <f>IF('Proyecto AZ'!G47="","",'Proyecto AZ'!N47)</f>
        <v/>
      </c>
    </row>
    <row r="839" spans="1:6">
      <c r="A839" t="str">
        <f>IF('Proyecto AZ'!G48="","","Proyecto AZ")</f>
        <v/>
      </c>
      <c r="B839" t="str">
        <f>IF('Proyecto AZ'!G48="","",'Proyecto AZ'!G48)</f>
        <v/>
      </c>
      <c r="C839" t="str">
        <f>IF('Proyecto AZ'!G48="","",'Proyecto AZ'!I48)</f>
        <v/>
      </c>
      <c r="D839" t="str">
        <f>IF('Proyecto AZ'!G48="","",'Proyecto AZ'!L48)</f>
        <v/>
      </c>
      <c r="E839" t="str">
        <f>IF('Proyecto AZ'!G48="","",'Proyecto AZ'!M48)</f>
        <v/>
      </c>
      <c r="F839" t="str">
        <f>IF('Proyecto AZ'!G48="","",'Proyecto AZ'!N48)</f>
        <v/>
      </c>
    </row>
    <row r="840" spans="1:6">
      <c r="A840" t="str">
        <f>IF('Proyecto AZ'!G49="","","Proyecto AZ")</f>
        <v/>
      </c>
      <c r="B840" t="str">
        <f>IF('Proyecto AZ'!G49="","",'Proyecto AZ'!G49)</f>
        <v/>
      </c>
      <c r="C840" t="str">
        <f>IF('Proyecto AZ'!G49="","",'Proyecto AZ'!I49)</f>
        <v/>
      </c>
      <c r="D840" t="str">
        <f>IF('Proyecto AZ'!G49="","",'Proyecto AZ'!L49)</f>
        <v/>
      </c>
      <c r="E840" t="str">
        <f>IF('Proyecto AZ'!G49="","",'Proyecto AZ'!M49)</f>
        <v/>
      </c>
      <c r="F840" t="str">
        <f>IF('Proyecto AZ'!G49="","",'Proyecto AZ'!N49)</f>
        <v/>
      </c>
    </row>
    <row r="841" spans="1:6">
      <c r="A841" t="str">
        <f>IF('Proyecto AZ'!G50="","","Proyecto AZ")</f>
        <v/>
      </c>
      <c r="B841" t="str">
        <f>IF('Proyecto AZ'!G50="","",'Proyecto AZ'!G50)</f>
        <v/>
      </c>
      <c r="C841" t="str">
        <f>IF('Proyecto AZ'!G50="","",'Proyecto AZ'!I50)</f>
        <v/>
      </c>
      <c r="D841" t="str">
        <f>IF('Proyecto AZ'!G50="","",'Proyecto AZ'!L50)</f>
        <v/>
      </c>
      <c r="E841" t="str">
        <f>IF('Proyecto AZ'!G50="","",'Proyecto AZ'!M50)</f>
        <v/>
      </c>
      <c r="F841" t="str">
        <f>IF('Proyecto AZ'!G50="","",'Proyecto AZ'!N50)</f>
        <v/>
      </c>
    </row>
    <row r="842" spans="1:6">
      <c r="A842" t="str">
        <f>IF('Proyecto AZ'!G51="","","Proyecto AZ")</f>
        <v/>
      </c>
      <c r="B842" t="str">
        <f>IF('Proyecto AZ'!G51="","",'Proyecto AZ'!G51)</f>
        <v/>
      </c>
      <c r="C842" t="str">
        <f>IF('Proyecto AZ'!G51="","",'Proyecto AZ'!I51)</f>
        <v/>
      </c>
      <c r="D842" t="str">
        <f>IF('Proyecto AZ'!G51="","",'Proyecto AZ'!L51)</f>
        <v/>
      </c>
      <c r="E842" t="str">
        <f>IF('Proyecto AZ'!G51="","",'Proyecto AZ'!M51)</f>
        <v/>
      </c>
      <c r="F842" t="str">
        <f>IF('Proyecto AZ'!G51="","",'Proyecto AZ'!N51)</f>
        <v/>
      </c>
    </row>
    <row r="843" spans="1:6">
      <c r="A843" t="str">
        <f>IF('Proyecto AZ'!G52="","","Proyecto AZ")</f>
        <v/>
      </c>
      <c r="B843" t="str">
        <f>IF('Proyecto AZ'!G52="","",'Proyecto AZ'!G52)</f>
        <v/>
      </c>
      <c r="C843" t="str">
        <f>IF('Proyecto AZ'!G52="","",'Proyecto AZ'!I52)</f>
        <v/>
      </c>
      <c r="D843" t="str">
        <f>IF('Proyecto AZ'!G52="","",'Proyecto AZ'!L52)</f>
        <v/>
      </c>
      <c r="E843" t="str">
        <f>IF('Proyecto AZ'!G52="","",'Proyecto AZ'!M52)</f>
        <v/>
      </c>
      <c r="F843" t="str">
        <f>IF('Proyecto AZ'!G52="","",'Proyecto AZ'!N52)</f>
        <v/>
      </c>
    </row>
    <row r="844" spans="1:6">
      <c r="A844" t="str">
        <f>IF('Proyecto AZ'!G53="","","Proyecto AZ")</f>
        <v/>
      </c>
      <c r="B844" t="str">
        <f>IF('Proyecto AZ'!G53="","",'Proyecto AZ'!G53)</f>
        <v/>
      </c>
      <c r="C844" t="str">
        <f>IF('Proyecto AZ'!G53="","",'Proyecto AZ'!I53)</f>
        <v/>
      </c>
      <c r="D844" t="str">
        <f>IF('Proyecto AZ'!G53="","",'Proyecto AZ'!L53)</f>
        <v/>
      </c>
      <c r="E844" t="str">
        <f>IF('Proyecto AZ'!G53="","",'Proyecto AZ'!M53)</f>
        <v/>
      </c>
      <c r="F844" t="str">
        <f>IF('Proyecto AZ'!G53="","",'Proyecto AZ'!N53)</f>
        <v/>
      </c>
    </row>
    <row r="845" spans="1:6">
      <c r="A845" t="str">
        <f>IF('Proyecto AZ'!G54="","","Proyecto AZ")</f>
        <v/>
      </c>
      <c r="B845" t="str">
        <f>IF('Proyecto AZ'!G54="","",'Proyecto AZ'!G54)</f>
        <v/>
      </c>
      <c r="C845" t="str">
        <f>IF('Proyecto AZ'!G54="","",'Proyecto AZ'!I54)</f>
        <v/>
      </c>
      <c r="D845" t="str">
        <f>IF('Proyecto AZ'!G54="","",'Proyecto AZ'!L54)</f>
        <v/>
      </c>
      <c r="E845" t="str">
        <f>IF('Proyecto AZ'!G54="","",'Proyecto AZ'!M54)</f>
        <v/>
      </c>
      <c r="F845" t="str">
        <f>IF('Proyecto AZ'!G54="","",'Proyecto AZ'!N54)</f>
        <v/>
      </c>
    </row>
    <row r="846" spans="1:6">
      <c r="A846" t="str">
        <f>IF('Proyecto AZ'!G55="","","Proyecto AZ")</f>
        <v/>
      </c>
      <c r="B846" t="str">
        <f>IF('Proyecto AZ'!G55="","",'Proyecto AZ'!G55)</f>
        <v/>
      </c>
      <c r="C846" t="str">
        <f>IF('Proyecto AZ'!G55="","",'Proyecto AZ'!I55)</f>
        <v/>
      </c>
      <c r="D846" t="str">
        <f>IF('Proyecto AZ'!G55="","",'Proyecto AZ'!L55)</f>
        <v/>
      </c>
      <c r="E846" t="str">
        <f>IF('Proyecto AZ'!G55="","",'Proyecto AZ'!M55)</f>
        <v/>
      </c>
      <c r="F846" t="str">
        <f>IF('Proyecto AZ'!G55="","",'Proyecto AZ'!N55)</f>
        <v/>
      </c>
    </row>
    <row r="847" spans="1:6">
      <c r="A847" t="str">
        <f>IF('Proyecto AZ'!G56="","","Proyecto AZ")</f>
        <v/>
      </c>
      <c r="B847" t="str">
        <f>IF('Proyecto AZ'!G56="","",'Proyecto AZ'!G56)</f>
        <v/>
      </c>
      <c r="C847" t="str">
        <f>IF('Proyecto AZ'!G56="","",'Proyecto AZ'!I56)</f>
        <v/>
      </c>
      <c r="D847" t="str">
        <f>IF('Proyecto AZ'!G56="","",'Proyecto AZ'!L56)</f>
        <v/>
      </c>
      <c r="E847" t="str">
        <f>IF('Proyecto AZ'!G56="","",'Proyecto AZ'!M56)</f>
        <v/>
      </c>
      <c r="F847" t="str">
        <f>IF('Proyecto AZ'!G56="","",'Proyecto AZ'!N56)</f>
        <v/>
      </c>
    </row>
    <row r="848" spans="1:6">
      <c r="A848" t="str">
        <f>IF('Proyecto AZ'!G57="","","Proyecto AZ")</f>
        <v/>
      </c>
      <c r="B848" t="str">
        <f>IF('Proyecto AZ'!G57="","",'Proyecto AZ'!G57)</f>
        <v/>
      </c>
      <c r="C848" t="str">
        <f>IF('Proyecto AZ'!G57="","",'Proyecto AZ'!I57)</f>
        <v/>
      </c>
      <c r="D848" t="str">
        <f>IF('Proyecto AZ'!G57="","",'Proyecto AZ'!L57)</f>
        <v/>
      </c>
      <c r="E848" t="str">
        <f>IF('Proyecto AZ'!G57="","",'Proyecto AZ'!M57)</f>
        <v/>
      </c>
      <c r="F848" t="str">
        <f>IF('Proyecto AZ'!G57="","",'Proyecto AZ'!N57)</f>
        <v/>
      </c>
    </row>
    <row r="849" spans="1:6">
      <c r="A849" t="str">
        <f>IF('Proyecto AZ'!G58="","","Proyecto AZ")</f>
        <v/>
      </c>
      <c r="B849" t="str">
        <f>IF('Proyecto AZ'!G58="","",'Proyecto AZ'!G58)</f>
        <v/>
      </c>
      <c r="C849" t="str">
        <f>IF('Proyecto AZ'!G58="","",'Proyecto AZ'!I58)</f>
        <v/>
      </c>
      <c r="D849" t="str">
        <f>IF('Proyecto AZ'!G58="","",'Proyecto AZ'!L58)</f>
        <v/>
      </c>
      <c r="E849" t="str">
        <f>IF('Proyecto AZ'!G58="","",'Proyecto AZ'!M58)</f>
        <v/>
      </c>
      <c r="F849" t="str">
        <f>IF('Proyecto AZ'!G58="","",'Proyecto AZ'!N58)</f>
        <v/>
      </c>
    </row>
    <row r="850" spans="1:6">
      <c r="A850" t="str">
        <f>IF('Proyecto AZ'!G59="","","Proyecto AZ")</f>
        <v/>
      </c>
      <c r="B850" t="str">
        <f>IF('Proyecto AZ'!G59="","",'Proyecto AZ'!G59)</f>
        <v/>
      </c>
      <c r="C850" t="str">
        <f>IF('Proyecto AZ'!G59="","",'Proyecto AZ'!I59)</f>
        <v/>
      </c>
      <c r="D850" t="str">
        <f>IF('Proyecto AZ'!G59="","",'Proyecto AZ'!L59)</f>
        <v/>
      </c>
      <c r="E850" t="str">
        <f>IF('Proyecto AZ'!G59="","",'Proyecto AZ'!M59)</f>
        <v/>
      </c>
      <c r="F850" t="str">
        <f>IF('Proyecto AZ'!G59="","",'Proyecto AZ'!N59)</f>
        <v/>
      </c>
    </row>
    <row r="851" spans="1:6">
      <c r="A851" t="str">
        <f>IF('Proyecto AZ'!G60="","","Proyecto AZ")</f>
        <v/>
      </c>
      <c r="B851" t="str">
        <f>IF('Proyecto AZ'!G60="","",'Proyecto AZ'!G60)</f>
        <v/>
      </c>
      <c r="C851" t="str">
        <f>IF('Proyecto AZ'!G60="","",'Proyecto AZ'!I60)</f>
        <v/>
      </c>
      <c r="D851" t="str">
        <f>IF('Proyecto AZ'!G60="","",'Proyecto AZ'!L60)</f>
        <v/>
      </c>
      <c r="E851" t="str">
        <f>IF('Proyecto AZ'!G60="","",'Proyecto AZ'!M60)</f>
        <v/>
      </c>
      <c r="F851" t="str">
        <f>IF('Proyecto AZ'!G60="","",'Proyecto AZ'!N60)</f>
        <v/>
      </c>
    </row>
    <row r="852" spans="1:6">
      <c r="A852" t="str">
        <f>IF('Proyecto AZ'!G61="","","Proyecto AZ")</f>
        <v/>
      </c>
      <c r="B852" t="str">
        <f>IF('Proyecto AZ'!G61="","",'Proyecto AZ'!G61)</f>
        <v/>
      </c>
      <c r="C852" t="str">
        <f>IF('Proyecto AZ'!G61="","",'Proyecto AZ'!I61)</f>
        <v/>
      </c>
      <c r="D852" t="str">
        <f>IF('Proyecto AZ'!G61="","",'Proyecto AZ'!L61)</f>
        <v/>
      </c>
      <c r="E852" t="str">
        <f>IF('Proyecto AZ'!G61="","",'Proyecto AZ'!M61)</f>
        <v/>
      </c>
      <c r="F852" t="str">
        <f>IF('Proyecto AZ'!G61="","",'Proyecto AZ'!N61)</f>
        <v/>
      </c>
    </row>
    <row r="853" spans="1:6">
      <c r="A853" t="str">
        <f>IF('Proyecto AZ'!G62="","","Proyecto AZ")</f>
        <v/>
      </c>
      <c r="B853" t="str">
        <f>IF('Proyecto AZ'!G62="","",'Proyecto AZ'!G62)</f>
        <v/>
      </c>
      <c r="C853" t="str">
        <f>IF('Proyecto AZ'!G62="","",'Proyecto AZ'!I62)</f>
        <v/>
      </c>
      <c r="D853" t="str">
        <f>IF('Proyecto AZ'!G62="","",'Proyecto AZ'!L62)</f>
        <v/>
      </c>
      <c r="E853" t="str">
        <f>IF('Proyecto AZ'!G62="","",'Proyecto AZ'!M62)</f>
        <v/>
      </c>
      <c r="F853" t="str">
        <f>IF('Proyecto AZ'!G62="","",'Proyecto AZ'!N62)</f>
        <v/>
      </c>
    </row>
    <row r="854" spans="1:6">
      <c r="A854" t="str">
        <f>IF('Proyecto AZ'!G63="","","Proyecto AZ")</f>
        <v/>
      </c>
      <c r="B854" t="str">
        <f>IF('Proyecto AZ'!G63="","",'Proyecto AZ'!G63)</f>
        <v/>
      </c>
      <c r="C854" t="str">
        <f>IF('Proyecto AZ'!G63="","",'Proyecto AZ'!I63)</f>
        <v/>
      </c>
      <c r="D854" t="str">
        <f>IF('Proyecto AZ'!G63="","",'Proyecto AZ'!L63)</f>
        <v/>
      </c>
      <c r="E854" t="str">
        <f>IF('Proyecto AZ'!G63="","",'Proyecto AZ'!M63)</f>
        <v/>
      </c>
      <c r="F854" t="str">
        <f>IF('Proyecto AZ'!G63="","",'Proyecto AZ'!N63)</f>
        <v/>
      </c>
    </row>
    <row r="855" spans="1:6">
      <c r="A855" t="str">
        <f>IF('Proyecto AZ'!G64="","","Proyecto AZ")</f>
        <v/>
      </c>
      <c r="B855" t="str">
        <f>IF('Proyecto AZ'!G64="","",'Proyecto AZ'!G64)</f>
        <v/>
      </c>
      <c r="C855" t="str">
        <f>IF('Proyecto AZ'!G64="","",'Proyecto AZ'!I64)</f>
        <v/>
      </c>
      <c r="D855" t="str">
        <f>IF('Proyecto AZ'!G64="","",'Proyecto AZ'!L64)</f>
        <v/>
      </c>
      <c r="E855" t="str">
        <f>IF('Proyecto AZ'!G64="","",'Proyecto AZ'!M64)</f>
        <v/>
      </c>
      <c r="F855" t="str">
        <f>IF('Proyecto AZ'!G64="","",'Proyecto AZ'!N64)</f>
        <v/>
      </c>
    </row>
    <row r="856" spans="1:6">
      <c r="A856" t="str">
        <f>IF('Obra Mogetta'!G10="","","Obra Mogetta")</f>
        <v>Obra Mogetta</v>
      </c>
      <c r="B856" t="str">
        <f>IF('Obra Mogetta'!G10="","",'Obra Mogetta'!G10)</f>
        <v xml:space="preserve">afianciadora de compañía de seguros </v>
      </c>
      <c r="C856">
        <f>IF('Obra Mogetta'!G10="","",'Obra Mogetta'!I10)</f>
        <v>0</v>
      </c>
      <c r="D856" t="str">
        <f>IF('Obra Mogetta'!G10="","",'Obra Mogetta'!L10)</f>
        <v>Pagado</v>
      </c>
      <c r="E856">
        <f>IF('Obra Mogetta'!G10="","",'Obra Mogetta'!M10)</f>
        <v>0</v>
      </c>
      <c r="F856">
        <f>IF('Obra Mogetta'!G10="","",'Obra Mogetta'!N10)</f>
        <v>0</v>
      </c>
    </row>
    <row r="857" spans="1:6">
      <c r="A857" t="str">
        <f>IF('Obra Mogetta'!G11="","","Obra Mogetta")</f>
        <v>Obra Mogetta</v>
      </c>
      <c r="B857" t="str">
        <f>IF('Obra Mogetta'!G11="","",'Obra Mogetta'!G11)</f>
        <v>Sinis</v>
      </c>
      <c r="C857">
        <f>IF('Obra Mogetta'!G11="","",'Obra Mogetta'!I11)</f>
        <v>0</v>
      </c>
      <c r="D857" t="str">
        <f>IF('Obra Mogetta'!G11="","",'Obra Mogetta'!L11)</f>
        <v>Pagado</v>
      </c>
      <c r="E857">
        <f>IF('Obra Mogetta'!G11="","",'Obra Mogetta'!M11)</f>
        <v>0</v>
      </c>
      <c r="F857">
        <f>IF('Obra Mogetta'!G11="","",'Obra Mogetta'!N11)</f>
        <v>0</v>
      </c>
    </row>
    <row r="858" spans="1:6">
      <c r="A858" t="str">
        <f>IF('Obra Mogetta'!G12="","","Obra Mogetta")</f>
        <v>Obra Mogetta</v>
      </c>
      <c r="B858" t="str">
        <f>IF('Obra Mogetta'!G12="","",'Obra Mogetta'!G12)</f>
        <v>Sinis</v>
      </c>
      <c r="C858">
        <f>IF('Obra Mogetta'!G12="","",'Obra Mogetta'!I12)</f>
        <v>0</v>
      </c>
      <c r="D858" t="str">
        <f>IF('Obra Mogetta'!G12="","",'Obra Mogetta'!L12)</f>
        <v>Pagado</v>
      </c>
      <c r="E858">
        <f>IF('Obra Mogetta'!G12="","",'Obra Mogetta'!M12)</f>
        <v>0</v>
      </c>
      <c r="F858">
        <f>IF('Obra Mogetta'!G12="","",'Obra Mogetta'!N12)</f>
        <v>0</v>
      </c>
    </row>
    <row r="859" spans="1:6">
      <c r="A859" t="str">
        <f>IF('Obra Mogetta'!G16="","","Obra Mogetta")</f>
        <v>Obra Mogetta</v>
      </c>
      <c r="B859" t="str">
        <f>IF('Obra Mogetta'!G16="","",'Obra Mogetta'!G16)</f>
        <v>Flete Yonatan</v>
      </c>
      <c r="C859">
        <f>IF('Obra Mogetta'!G16="","",'Obra Mogetta'!I16)</f>
        <v>200000</v>
      </c>
      <c r="D859" t="str">
        <f>IF('Obra Mogetta'!G16="","",'Obra Mogetta'!L16)</f>
        <v>Pagado</v>
      </c>
      <c r="E859">
        <f>IF('Obra Mogetta'!G16="","",'Obra Mogetta'!M16)</f>
        <v>0</v>
      </c>
      <c r="F859" t="str">
        <f>IF('Obra Mogetta'!G16="","",'Obra Mogetta'!N16)</f>
        <v>Recibido en obra</v>
      </c>
    </row>
    <row r="860" spans="1:6">
      <c r="A860" t="str">
        <f>IF('Obra Mogetta'!G17="","","Obra Mogetta")</f>
        <v>Obra Mogetta</v>
      </c>
      <c r="B860" t="str">
        <f>IF('Obra Mogetta'!G17="","",'Obra Mogetta'!G17)</f>
        <v>Flete Yonatan</v>
      </c>
      <c r="C860">
        <f>IF('Obra Mogetta'!G17="","",'Obra Mogetta'!I17)</f>
        <v>200000</v>
      </c>
      <c r="D860" t="str">
        <f>IF('Obra Mogetta'!G17="","",'Obra Mogetta'!L17)</f>
        <v>Pagado</v>
      </c>
      <c r="E860">
        <f>IF('Obra Mogetta'!G17="","",'Obra Mogetta'!M17)</f>
        <v>0</v>
      </c>
      <c r="F860" t="str">
        <f>IF('Obra Mogetta'!G17="","",'Obra Mogetta'!N17)</f>
        <v>Recibido en obra</v>
      </c>
    </row>
    <row r="861" spans="1:6">
      <c r="A861" t="e">
        <f>IF('Obra Mogetta'!#REF!="","","Obra Mogetta")</f>
        <v>#REF!</v>
      </c>
      <c r="B861" t="e">
        <f>IF('Obra Mogetta'!#REF!="","",'Obra Mogetta'!#REF!)</f>
        <v>#REF!</v>
      </c>
      <c r="C861" t="e">
        <f>IF('Obra Mogetta'!#REF!="","",'Obra Mogetta'!#REF!)</f>
        <v>#REF!</v>
      </c>
      <c r="D861" t="e">
        <f>IF('Obra Mogetta'!#REF!="","",'Obra Mogetta'!#REF!)</f>
        <v>#REF!</v>
      </c>
      <c r="E861" t="e">
        <f>IF('Obra Mogetta'!#REF!="","",'Obra Mogetta'!#REF!)</f>
        <v>#REF!</v>
      </c>
      <c r="F861" t="e">
        <f>IF('Obra Mogetta'!#REF!="","",'Obra Mogetta'!#REF!)</f>
        <v>#REF!</v>
      </c>
    </row>
    <row r="862" spans="1:6">
      <c r="A862" t="str">
        <f>IF('Obra Mogetta'!G18="","","Obra Mogetta")</f>
        <v>Obra Mogetta</v>
      </c>
      <c r="B862" t="str">
        <f>IF('Obra Mogetta'!G18="","",'Obra Mogetta'!G18)</f>
        <v>Flete Yonatan</v>
      </c>
      <c r="C862">
        <f>IF('Obra Mogetta'!G18="","",'Obra Mogetta'!I18)</f>
        <v>200000</v>
      </c>
      <c r="D862" t="str">
        <f>IF('Obra Mogetta'!G18="","",'Obra Mogetta'!L18)</f>
        <v>Pagado</v>
      </c>
      <c r="E862">
        <f>IF('Obra Mogetta'!G18="","",'Obra Mogetta'!M18)</f>
        <v>0</v>
      </c>
      <c r="F862" t="str">
        <f>IF('Obra Mogetta'!G18="","",'Obra Mogetta'!N18)</f>
        <v>Recibido en obra</v>
      </c>
    </row>
    <row r="863" spans="1:6">
      <c r="A863" t="str">
        <f>IF('Obra Mogetta'!G19="","","Obra Mogetta")</f>
        <v>Obra Mogetta</v>
      </c>
      <c r="B863" t="str">
        <f>IF('Obra Mogetta'!G19="","",'Obra Mogetta'!G19)</f>
        <v>Flete Yonatan</v>
      </c>
      <c r="C863">
        <f>IF('Obra Mogetta'!G19="","",'Obra Mogetta'!I19)</f>
        <v>200000</v>
      </c>
      <c r="D863" t="str">
        <f>IF('Obra Mogetta'!G19="","",'Obra Mogetta'!L19)</f>
        <v>Pagado</v>
      </c>
      <c r="E863">
        <f>IF('Obra Mogetta'!G19="","",'Obra Mogetta'!M19)</f>
        <v>0</v>
      </c>
      <c r="F863" t="str">
        <f>IF('Obra Mogetta'!G19="","",'Obra Mogetta'!N19)</f>
        <v>Recibido en obra</v>
      </c>
    </row>
    <row r="864" spans="1:6">
      <c r="A864" t="str">
        <f>IF('Obra Mogetta'!G20="","","Obra Mogetta")</f>
        <v/>
      </c>
      <c r="B864" t="str">
        <f>IF('Obra Mogetta'!G20="","",'Obra Mogetta'!G20)</f>
        <v/>
      </c>
      <c r="C864" t="str">
        <f>IF('Obra Mogetta'!G20="","",'Obra Mogetta'!I20)</f>
        <v/>
      </c>
      <c r="D864" t="str">
        <f>IF('Obra Mogetta'!G20="","",'Obra Mogetta'!L20)</f>
        <v/>
      </c>
      <c r="E864" t="str">
        <f>IF('Obra Mogetta'!G20="","",'Obra Mogetta'!M20)</f>
        <v/>
      </c>
      <c r="F864" t="str">
        <f>IF('Obra Mogetta'!G20="","",'Obra Mogetta'!N20)</f>
        <v/>
      </c>
    </row>
    <row r="865" spans="1:6">
      <c r="A865" t="str">
        <f>IF('Obra Mogetta'!G21="","","Obra Mogetta")</f>
        <v/>
      </c>
      <c r="B865" t="str">
        <f>IF('Obra Mogetta'!G21="","",'Obra Mogetta'!G21)</f>
        <v/>
      </c>
      <c r="C865" t="str">
        <f>IF('Obra Mogetta'!G21="","",'Obra Mogetta'!I21)</f>
        <v/>
      </c>
      <c r="D865" t="str">
        <f>IF('Obra Mogetta'!G21="","",'Obra Mogetta'!L21)</f>
        <v/>
      </c>
      <c r="E865" t="str">
        <f>IF('Obra Mogetta'!G21="","",'Obra Mogetta'!M21)</f>
        <v/>
      </c>
      <c r="F865" t="str">
        <f>IF('Obra Mogetta'!G21="","",'Obra Mogetta'!N21)</f>
        <v/>
      </c>
    </row>
    <row r="866" spans="1:6">
      <c r="A866" t="str">
        <f>IF('Obra Mogetta'!G22="","","Obra Mogetta")</f>
        <v/>
      </c>
      <c r="B866" t="str">
        <f>IF('Obra Mogetta'!G22="","",'Obra Mogetta'!G22)</f>
        <v/>
      </c>
      <c r="C866" t="str">
        <f>IF('Obra Mogetta'!G22="","",'Obra Mogetta'!I22)</f>
        <v/>
      </c>
      <c r="D866" t="str">
        <f>IF('Obra Mogetta'!G22="","",'Obra Mogetta'!L22)</f>
        <v/>
      </c>
      <c r="E866" t="str">
        <f>IF('Obra Mogetta'!G22="","",'Obra Mogetta'!M22)</f>
        <v/>
      </c>
      <c r="F866" t="str">
        <f>IF('Obra Mogetta'!G22="","",'Obra Mogetta'!N22)</f>
        <v/>
      </c>
    </row>
    <row r="867" spans="1:6">
      <c r="A867" t="str">
        <f>IF('Obra Mogetta'!G23="","","Obra Mogetta")</f>
        <v>Obra Mogetta</v>
      </c>
      <c r="B867" t="str">
        <f>IF('Obra Mogetta'!G23="","",'Obra Mogetta'!G23)</f>
        <v>Enpolex</v>
      </c>
      <c r="C867">
        <f>IF('Obra Mogetta'!G23="","",'Obra Mogetta'!I23)</f>
        <v>1558994.98</v>
      </c>
      <c r="D867" t="str">
        <f>IF('Obra Mogetta'!G23="","",'Obra Mogetta'!L23)</f>
        <v>Pagado</v>
      </c>
      <c r="E867">
        <f>IF('Obra Mogetta'!G23="","",'Obra Mogetta'!M23)</f>
        <v>0</v>
      </c>
      <c r="F867" t="str">
        <f>IF('Obra Mogetta'!G23="","",'Obra Mogetta'!N23)</f>
        <v>Recibido en obra</v>
      </c>
    </row>
    <row r="868" spans="1:6">
      <c r="A868" t="str">
        <f>IF('Obra Mogetta'!G24="","","Obra Mogetta")</f>
        <v>Obra Mogetta</v>
      </c>
      <c r="B868" t="str">
        <f>IF('Obra Mogetta'!G24="","",'Obra Mogetta'!G24)</f>
        <v>Mendio SA</v>
      </c>
      <c r="C868">
        <f>IF('Obra Mogetta'!G24="","",'Obra Mogetta'!I24)</f>
        <v>125946.8</v>
      </c>
      <c r="D868" t="str">
        <f>IF('Obra Mogetta'!G24="","",'Obra Mogetta'!L24)</f>
        <v>Pagado</v>
      </c>
      <c r="E868">
        <f>IF('Obra Mogetta'!G24="","",'Obra Mogetta'!M24)</f>
        <v>0</v>
      </c>
      <c r="F868" t="str">
        <f>IF('Obra Mogetta'!G24="","",'Obra Mogetta'!N24)</f>
        <v>Recibido en obra</v>
      </c>
    </row>
    <row r="869" spans="1:6">
      <c r="A869" t="str">
        <f>IF('Obra Mogetta'!G25="","","Obra Mogetta")</f>
        <v>Obra Mogetta</v>
      </c>
      <c r="B869" t="str">
        <f>IF('Obra Mogetta'!G25="","",'Obra Mogetta'!G25)</f>
        <v>Sinis</v>
      </c>
      <c r="C869">
        <f>IF('Obra Mogetta'!G25="","",'Obra Mogetta'!I25)</f>
        <v>0</v>
      </c>
      <c r="D869" t="str">
        <f>IF('Obra Mogetta'!G25="","",'Obra Mogetta'!L25)</f>
        <v>Pagado</v>
      </c>
      <c r="E869">
        <f>IF('Obra Mogetta'!G25="","",'Obra Mogetta'!M25)</f>
        <v>0</v>
      </c>
      <c r="F869" t="str">
        <f>IF('Obra Mogetta'!G25="","",'Obra Mogetta'!N25)</f>
        <v>Recibido en obra</v>
      </c>
    </row>
    <row r="870" spans="1:6">
      <c r="A870" t="str">
        <f>IF('Obra Mogetta'!G28="","","Obra Mogetta")</f>
        <v/>
      </c>
      <c r="B870" t="str">
        <f>IF('Obra Mogetta'!G28="","",'Obra Mogetta'!G28)</f>
        <v/>
      </c>
      <c r="C870" t="str">
        <f>IF('Obra Mogetta'!G28="","",'Obra Mogetta'!I28)</f>
        <v/>
      </c>
      <c r="D870" t="str">
        <f>IF('Obra Mogetta'!G28="","",'Obra Mogetta'!L28)</f>
        <v/>
      </c>
      <c r="E870" t="str">
        <f>IF('Obra Mogetta'!G28="","",'Obra Mogetta'!M28)</f>
        <v/>
      </c>
      <c r="F870" t="str">
        <f>IF('Obra Mogetta'!G28="","",'Obra Mogetta'!N28)</f>
        <v/>
      </c>
    </row>
    <row r="871" spans="1:6">
      <c r="A871" t="str">
        <f>IF('Obra Mogetta'!G30="","","Obra Mogetta")</f>
        <v>Obra Mogetta</v>
      </c>
      <c r="B871" t="str">
        <f>IF('Obra Mogetta'!G30="","",'Obra Mogetta'!G30)</f>
        <v>Enpolex</v>
      </c>
      <c r="C871">
        <f>IF('Obra Mogetta'!G30="","",'Obra Mogetta'!I30)</f>
        <v>423646.93</v>
      </c>
      <c r="D871" t="str">
        <f>IF('Obra Mogetta'!G30="","",'Obra Mogetta'!L30)</f>
        <v>Pagado</v>
      </c>
      <c r="E871">
        <f>IF('Obra Mogetta'!G30="","",'Obra Mogetta'!M30)</f>
        <v>0</v>
      </c>
      <c r="F871" t="str">
        <f>IF('Obra Mogetta'!G30="","",'Obra Mogetta'!N30)</f>
        <v>Recibido en obra</v>
      </c>
    </row>
    <row r="872" spans="1:6">
      <c r="A872" t="str">
        <f>IF('Obra Mogetta'!G31="","","Obra Mogetta")</f>
        <v>Obra Mogetta</v>
      </c>
      <c r="B872" t="str">
        <f>IF('Obra Mogetta'!G31="","",'Obra Mogetta'!G31)</f>
        <v>Flete Hugo Godoy</v>
      </c>
      <c r="C872">
        <f>IF('Obra Mogetta'!G31="","",'Obra Mogetta'!I31)</f>
        <v>56000</v>
      </c>
      <c r="D872" t="str">
        <f>IF('Obra Mogetta'!G31="","",'Obra Mogetta'!L31)</f>
        <v>Pagado</v>
      </c>
      <c r="E872">
        <f>IF('Obra Mogetta'!G31="","",'Obra Mogetta'!M31)</f>
        <v>0</v>
      </c>
      <c r="F872" t="str">
        <f>IF('Obra Mogetta'!G31="","",'Obra Mogetta'!N31)</f>
        <v>Recibido en obra</v>
      </c>
    </row>
    <row r="873" spans="1:6">
      <c r="A873" t="str">
        <f>IF('Obra Mogetta'!G33="","","Obra Mogetta")</f>
        <v/>
      </c>
      <c r="B873" t="str">
        <f>IF('Obra Mogetta'!G33="","",'Obra Mogetta'!G33)</f>
        <v/>
      </c>
      <c r="C873" t="str">
        <f>IF('Obra Mogetta'!G33="","",'Obra Mogetta'!I33)</f>
        <v/>
      </c>
      <c r="D873" t="str">
        <f>IF('Obra Mogetta'!G33="","",'Obra Mogetta'!L33)</f>
        <v/>
      </c>
      <c r="E873" t="str">
        <f>IF('Obra Mogetta'!G33="","",'Obra Mogetta'!M33)</f>
        <v/>
      </c>
      <c r="F873" t="str">
        <f>IF('Obra Mogetta'!G33="","",'Obra Mogetta'!N33)</f>
        <v/>
      </c>
    </row>
    <row r="874" spans="1:6">
      <c r="A874" t="str">
        <f>IF('Obra Mogetta'!G40="","","Obra Mogetta")</f>
        <v/>
      </c>
      <c r="B874" t="str">
        <f>IF('Obra Mogetta'!G40="","",'Obra Mogetta'!G40)</f>
        <v/>
      </c>
      <c r="C874" t="str">
        <f>IF('Obra Mogetta'!G40="","",'Obra Mogetta'!I40)</f>
        <v/>
      </c>
      <c r="D874" t="str">
        <f>IF('Obra Mogetta'!G40="","",'Obra Mogetta'!L40)</f>
        <v/>
      </c>
      <c r="E874" t="str">
        <f>IF('Obra Mogetta'!G40="","",'Obra Mogetta'!M40)</f>
        <v/>
      </c>
      <c r="F874" t="str">
        <f>IF('Obra Mogetta'!G40="","",'Obra Mogetta'!N40)</f>
        <v/>
      </c>
    </row>
    <row r="875" spans="1:6">
      <c r="A875" t="str">
        <f>IF('Obra Mogetta'!G41="","","Obra Mogetta")</f>
        <v/>
      </c>
      <c r="B875" t="str">
        <f>IF('Obra Mogetta'!G41="","",'Obra Mogetta'!G41)</f>
        <v/>
      </c>
      <c r="C875" t="str">
        <f>IF('Obra Mogetta'!G41="","",'Obra Mogetta'!I41)</f>
        <v/>
      </c>
      <c r="D875" t="str">
        <f>IF('Obra Mogetta'!G41="","",'Obra Mogetta'!L41)</f>
        <v/>
      </c>
      <c r="E875" t="str">
        <f>IF('Obra Mogetta'!G41="","",'Obra Mogetta'!M41)</f>
        <v/>
      </c>
      <c r="F875" t="str">
        <f>IF('Obra Mogetta'!G41="","",'Obra Mogetta'!N41)</f>
        <v/>
      </c>
    </row>
    <row r="876" spans="1:6">
      <c r="A876" t="e">
        <f>IF('Obra Mogetta'!#REF!="","","Obra Mogetta")</f>
        <v>#REF!</v>
      </c>
      <c r="B876" t="e">
        <f>IF('Obra Mogetta'!#REF!="","",'Obra Mogetta'!#REF!)</f>
        <v>#REF!</v>
      </c>
      <c r="C876" t="e">
        <f>IF('Obra Mogetta'!#REF!="","",'Obra Mogetta'!#REF!)</f>
        <v>#REF!</v>
      </c>
      <c r="D876" t="e">
        <f>IF('Obra Mogetta'!#REF!="","",'Obra Mogetta'!#REF!)</f>
        <v>#REF!</v>
      </c>
      <c r="E876" t="e">
        <f>IF('Obra Mogetta'!#REF!="","",'Obra Mogetta'!#REF!)</f>
        <v>#REF!</v>
      </c>
      <c r="F876" t="e">
        <f>IF('Obra Mogetta'!#REF!="","",'Obra Mogetta'!#REF!)</f>
        <v>#REF!</v>
      </c>
    </row>
    <row r="877" spans="1:6">
      <c r="A877" t="str">
        <f>IF('Obra Mogetta'!G42="","","Obra Mogetta")</f>
        <v/>
      </c>
      <c r="B877" t="str">
        <f>IF('Obra Mogetta'!G42="","",'Obra Mogetta'!G42)</f>
        <v/>
      </c>
      <c r="C877" t="str">
        <f>IF('Obra Mogetta'!G42="","",'Obra Mogetta'!I42)</f>
        <v/>
      </c>
      <c r="D877" t="str">
        <f>IF('Obra Mogetta'!G42="","",'Obra Mogetta'!L42)</f>
        <v/>
      </c>
      <c r="E877" t="str">
        <f>IF('Obra Mogetta'!G42="","",'Obra Mogetta'!M42)</f>
        <v/>
      </c>
      <c r="F877" t="str">
        <f>IF('Obra Mogetta'!G42="","",'Obra Mogetta'!N42)</f>
        <v/>
      </c>
    </row>
    <row r="878" spans="1:6">
      <c r="A878" t="str">
        <f>IF('Obra Mogetta'!G43="","","Obra Mogetta")</f>
        <v/>
      </c>
      <c r="B878" t="str">
        <f>IF('Obra Mogetta'!G43="","",'Obra Mogetta'!G43)</f>
        <v/>
      </c>
      <c r="C878" t="str">
        <f>IF('Obra Mogetta'!G43="","",'Obra Mogetta'!I43)</f>
        <v/>
      </c>
      <c r="D878" t="str">
        <f>IF('Obra Mogetta'!G43="","",'Obra Mogetta'!L43)</f>
        <v/>
      </c>
      <c r="E878" t="str">
        <f>IF('Obra Mogetta'!G43="","",'Obra Mogetta'!M43)</f>
        <v/>
      </c>
      <c r="F878" t="str">
        <f>IF('Obra Mogetta'!G43="","",'Obra Mogetta'!N43)</f>
        <v/>
      </c>
    </row>
    <row r="879" spans="1:6">
      <c r="A879" t="str">
        <f>IF('Obra Mogetta'!G44="","","Obra Mogetta")</f>
        <v>Obra Mogetta</v>
      </c>
      <c r="B879" t="str">
        <f>IF('Obra Mogetta'!G44="","",'Obra Mogetta'!G44)</f>
        <v>Sinis</v>
      </c>
      <c r="C879">
        <f>IF('Obra Mogetta'!G44="","",'Obra Mogetta'!I44)</f>
        <v>0</v>
      </c>
      <c r="D879" t="str">
        <f>IF('Obra Mogetta'!G44="","",'Obra Mogetta'!L44)</f>
        <v>Pagado</v>
      </c>
      <c r="E879">
        <f>IF('Obra Mogetta'!G44="","",'Obra Mogetta'!M44)</f>
        <v>0</v>
      </c>
      <c r="F879" t="str">
        <f>IF('Obra Mogetta'!G44="","",'Obra Mogetta'!N44)</f>
        <v>Recibido en obra</v>
      </c>
    </row>
    <row r="880" spans="1:6">
      <c r="A880" t="str">
        <f>IF('Obra Mogetta'!G45="","","Obra Mogetta")</f>
        <v/>
      </c>
      <c r="B880" t="str">
        <f>IF('Obra Mogetta'!G45="","",'Obra Mogetta'!G45)</f>
        <v/>
      </c>
      <c r="C880" t="str">
        <f>IF('Obra Mogetta'!G45="","",'Obra Mogetta'!I45)</f>
        <v/>
      </c>
      <c r="D880" t="str">
        <f>IF('Obra Mogetta'!G45="","",'Obra Mogetta'!L45)</f>
        <v/>
      </c>
      <c r="E880" t="str">
        <f>IF('Obra Mogetta'!G45="","",'Obra Mogetta'!M45)</f>
        <v/>
      </c>
      <c r="F880" t="str">
        <f>IF('Obra Mogetta'!G45="","",'Obra Mogetta'!N45)</f>
        <v/>
      </c>
    </row>
    <row r="881" spans="1:6">
      <c r="A881" t="str">
        <f>IF('Obra Mogetta'!G46="","","Obra Mogetta")</f>
        <v/>
      </c>
      <c r="B881" t="str">
        <f>IF('Obra Mogetta'!G46="","",'Obra Mogetta'!G46)</f>
        <v/>
      </c>
      <c r="C881" t="str">
        <f>IF('Obra Mogetta'!G46="","",'Obra Mogetta'!I46)</f>
        <v/>
      </c>
      <c r="D881" t="str">
        <f>IF('Obra Mogetta'!G46="","",'Obra Mogetta'!L46)</f>
        <v/>
      </c>
      <c r="E881" t="str">
        <f>IF('Obra Mogetta'!G46="","",'Obra Mogetta'!M46)</f>
        <v/>
      </c>
      <c r="F881" t="str">
        <f>IF('Obra Mogetta'!G46="","",'Obra Mogetta'!N46)</f>
        <v/>
      </c>
    </row>
    <row r="882" spans="1:6">
      <c r="A882" t="str">
        <f>IF('Obra Mogetta'!G47="","","Obra Mogetta")</f>
        <v/>
      </c>
      <c r="B882" t="str">
        <f>IF('Obra Mogetta'!G47="","",'Obra Mogetta'!G47)</f>
        <v/>
      </c>
      <c r="C882" t="str">
        <f>IF('Obra Mogetta'!G47="","",'Obra Mogetta'!I47)</f>
        <v/>
      </c>
      <c r="D882" t="str">
        <f>IF('Obra Mogetta'!G47="","",'Obra Mogetta'!L47)</f>
        <v/>
      </c>
      <c r="E882" t="str">
        <f>IF('Obra Mogetta'!G47="","",'Obra Mogetta'!M47)</f>
        <v/>
      </c>
      <c r="F882" t="str">
        <f>IF('Obra Mogetta'!G47="","",'Obra Mogetta'!N47)</f>
        <v/>
      </c>
    </row>
    <row r="883" spans="1:6">
      <c r="A883" t="str">
        <f>IF('Obra Mogetta'!G48="","","Obra Mogetta")</f>
        <v/>
      </c>
      <c r="B883" t="str">
        <f>IF('Obra Mogetta'!G48="","",'Obra Mogetta'!G48)</f>
        <v/>
      </c>
      <c r="C883" t="str">
        <f>IF('Obra Mogetta'!G48="","",'Obra Mogetta'!I48)</f>
        <v/>
      </c>
      <c r="D883" t="str">
        <f>IF('Obra Mogetta'!G48="","",'Obra Mogetta'!L48)</f>
        <v/>
      </c>
      <c r="E883" t="str">
        <f>IF('Obra Mogetta'!G48="","",'Obra Mogetta'!M48)</f>
        <v/>
      </c>
      <c r="F883" t="str">
        <f>IF('Obra Mogetta'!G48="","",'Obra Mogetta'!N48)</f>
        <v/>
      </c>
    </row>
    <row r="884" spans="1:6">
      <c r="A884" t="str">
        <f>IF('Obra Mogetta'!G49="","","Obra Mogetta")</f>
        <v/>
      </c>
      <c r="B884" t="str">
        <f>IF('Obra Mogetta'!G49="","",'Obra Mogetta'!G49)</f>
        <v/>
      </c>
      <c r="C884" t="str">
        <f>IF('Obra Mogetta'!G49="","",'Obra Mogetta'!I49)</f>
        <v/>
      </c>
      <c r="D884" t="str">
        <f>IF('Obra Mogetta'!G49="","",'Obra Mogetta'!L49)</f>
        <v/>
      </c>
      <c r="E884" t="str">
        <f>IF('Obra Mogetta'!G49="","",'Obra Mogetta'!M49)</f>
        <v/>
      </c>
      <c r="F884" t="str">
        <f>IF('Obra Mogetta'!G49="","",'Obra Mogetta'!N49)</f>
        <v/>
      </c>
    </row>
    <row r="885" spans="1:6">
      <c r="A885" t="str">
        <f>IF('Obra Mogetta'!G50="","","Obra Mogetta")</f>
        <v>Obra Mogetta</v>
      </c>
      <c r="B885" t="str">
        <f>IF('Obra Mogetta'!G50="","",'Obra Mogetta'!G50)</f>
        <v>Flete Hugo Godoy</v>
      </c>
      <c r="C885">
        <f>IF('Obra Mogetta'!G50="","",'Obra Mogetta'!I50)</f>
        <v>80000</v>
      </c>
      <c r="D885" t="str">
        <f>IF('Obra Mogetta'!G50="","",'Obra Mogetta'!L50)</f>
        <v>No Pagado</v>
      </c>
      <c r="E885">
        <f>IF('Obra Mogetta'!G50="","",'Obra Mogetta'!M50)</f>
        <v>0</v>
      </c>
      <c r="F885" t="str">
        <f>IF('Obra Mogetta'!G50="","",'Obra Mogetta'!N50)</f>
        <v>Recibido en obra</v>
      </c>
    </row>
    <row r="886" spans="1:6">
      <c r="A886" t="str">
        <f>IF('Obra Mogetta'!G51="","","Obra Mogetta")</f>
        <v>Obra Mogetta</v>
      </c>
      <c r="B886" t="str">
        <f>IF('Obra Mogetta'!G51="","",'Obra Mogetta'!G51)</f>
        <v>Flete Hugo Godoy</v>
      </c>
      <c r="C886">
        <f>IF('Obra Mogetta'!G51="","",'Obra Mogetta'!I51)</f>
        <v>80000</v>
      </c>
      <c r="D886" t="str">
        <f>IF('Obra Mogetta'!G51="","",'Obra Mogetta'!L51)</f>
        <v>No Pagado</v>
      </c>
      <c r="E886">
        <f>IF('Obra Mogetta'!G51="","",'Obra Mogetta'!M51)</f>
        <v>0</v>
      </c>
      <c r="F886" t="str">
        <f>IF('Obra Mogetta'!G51="","",'Obra Mogetta'!N51)</f>
        <v>Recibido en obra</v>
      </c>
    </row>
    <row r="887" spans="1:6">
      <c r="A887" t="str">
        <f>IF('Obra Mogetta'!G52="","","Obra Mogetta")</f>
        <v/>
      </c>
      <c r="B887" t="str">
        <f>IF('Obra Mogetta'!G52="","",'Obra Mogetta'!G52)</f>
        <v/>
      </c>
      <c r="C887" t="str">
        <f>IF('Obra Mogetta'!G52="","",'Obra Mogetta'!I52)</f>
        <v/>
      </c>
      <c r="D887" t="str">
        <f>IF('Obra Mogetta'!G52="","",'Obra Mogetta'!L52)</f>
        <v/>
      </c>
      <c r="E887" t="str">
        <f>IF('Obra Mogetta'!G52="","",'Obra Mogetta'!M52)</f>
        <v/>
      </c>
      <c r="F887" t="str">
        <f>IF('Obra Mogetta'!G52="","",'Obra Mogetta'!N52)</f>
        <v/>
      </c>
    </row>
    <row r="888" spans="1:6">
      <c r="A888" t="str">
        <f>IF('Obra Mogetta'!G53="","","Obra Mogetta")</f>
        <v/>
      </c>
      <c r="B888" t="str">
        <f>IF('Obra Mogetta'!G53="","",'Obra Mogetta'!G53)</f>
        <v/>
      </c>
      <c r="C888" t="str">
        <f>IF('Obra Mogetta'!G53="","",'Obra Mogetta'!I53)</f>
        <v/>
      </c>
      <c r="D888" t="str">
        <f>IF('Obra Mogetta'!G53="","",'Obra Mogetta'!L53)</f>
        <v/>
      </c>
      <c r="E888" t="str">
        <f>IF('Obra Mogetta'!G53="","",'Obra Mogetta'!M53)</f>
        <v/>
      </c>
      <c r="F888" t="str">
        <f>IF('Obra Mogetta'!G53="","",'Obra Mogetta'!N53)</f>
        <v/>
      </c>
    </row>
    <row r="889" spans="1:6">
      <c r="A889" t="str">
        <f>IF('Obra Mogetta'!G54="","","Obra Mogetta")</f>
        <v/>
      </c>
      <c r="B889" t="str">
        <f>IF('Obra Mogetta'!G54="","",'Obra Mogetta'!G54)</f>
        <v/>
      </c>
      <c r="C889" t="str">
        <f>IF('Obra Mogetta'!G54="","",'Obra Mogetta'!I54)</f>
        <v/>
      </c>
      <c r="D889" t="str">
        <f>IF('Obra Mogetta'!G54="","",'Obra Mogetta'!L54)</f>
        <v/>
      </c>
      <c r="E889" t="str">
        <f>IF('Obra Mogetta'!G54="","",'Obra Mogetta'!M54)</f>
        <v/>
      </c>
      <c r="F889" t="str">
        <f>IF('Obra Mogetta'!G54="","",'Obra Mogetta'!N54)</f>
        <v/>
      </c>
    </row>
    <row r="890" spans="1:6">
      <c r="A890" t="str">
        <f>IF('Obra Mogetta'!G55="","","Obra Mogetta")</f>
        <v/>
      </c>
      <c r="B890" t="str">
        <f>IF('Obra Mogetta'!G55="","",'Obra Mogetta'!G55)</f>
        <v/>
      </c>
      <c r="C890" t="str">
        <f>IF('Obra Mogetta'!G55="","",'Obra Mogetta'!I55)</f>
        <v/>
      </c>
      <c r="D890" t="str">
        <f>IF('Obra Mogetta'!G55="","",'Obra Mogetta'!L55)</f>
        <v/>
      </c>
      <c r="E890" t="str">
        <f>IF('Obra Mogetta'!G55="","",'Obra Mogetta'!M55)</f>
        <v/>
      </c>
      <c r="F890" t="str">
        <f>IF('Obra Mogetta'!G55="","",'Obra Mogetta'!N55)</f>
        <v/>
      </c>
    </row>
    <row r="891" spans="1:6">
      <c r="A891" t="str">
        <f>IF('Obra Mogetta'!G67="","","Obra Mogetta")</f>
        <v/>
      </c>
      <c r="B891" t="str">
        <f>IF('Obra Mogetta'!G67="","",'Obra Mogetta'!G67)</f>
        <v/>
      </c>
      <c r="C891" t="str">
        <f>IF('Obra Mogetta'!G67="","",'Obra Mogetta'!I67)</f>
        <v/>
      </c>
      <c r="D891" t="str">
        <f>IF('Obra Mogetta'!G67="","",'Obra Mogetta'!L67)</f>
        <v/>
      </c>
      <c r="E891" t="str">
        <f>IF('Obra Mogetta'!G67="","",'Obra Mogetta'!M67)</f>
        <v/>
      </c>
      <c r="F891" t="str">
        <f>IF('Obra Mogetta'!G67="","",'Obra Mogetta'!N67)</f>
        <v/>
      </c>
    </row>
    <row r="892" spans="1:6">
      <c r="A892" t="str">
        <f>IF('Obra Mogetta'!G68="","","Obra Mogetta")</f>
        <v/>
      </c>
      <c r="B892" t="str">
        <f>IF('Obra Mogetta'!G68="","",'Obra Mogetta'!G68)</f>
        <v/>
      </c>
      <c r="C892" t="str">
        <f>IF('Obra Mogetta'!G68="","",'Obra Mogetta'!I68)</f>
        <v/>
      </c>
      <c r="D892" t="str">
        <f>IF('Obra Mogetta'!G68="","",'Obra Mogetta'!L68)</f>
        <v/>
      </c>
      <c r="E892" t="str">
        <f>IF('Obra Mogetta'!G68="","",'Obra Mogetta'!M68)</f>
        <v/>
      </c>
      <c r="F892" t="str">
        <f>IF('Obra Mogetta'!G68="","",'Obra Mogetta'!N68)</f>
        <v/>
      </c>
    </row>
    <row r="893" spans="1:6">
      <c r="A893" t="str">
        <f>IF('Obra Mogetta'!G69="","","Obra Mogetta")</f>
        <v/>
      </c>
      <c r="B893" t="str">
        <f>IF('Obra Mogetta'!G69="","",'Obra Mogetta'!G69)</f>
        <v/>
      </c>
      <c r="C893" t="str">
        <f>IF('Obra Mogetta'!G69="","",'Obra Mogetta'!I69)</f>
        <v/>
      </c>
      <c r="D893" t="str">
        <f>IF('Obra Mogetta'!G69="","",'Obra Mogetta'!L69)</f>
        <v/>
      </c>
      <c r="E893" t="str">
        <f>IF('Obra Mogetta'!G69="","",'Obra Mogetta'!M69)</f>
        <v/>
      </c>
      <c r="F893" t="str">
        <f>IF('Obra Mogetta'!G69="","",'Obra Mogetta'!N69)</f>
        <v/>
      </c>
    </row>
    <row r="894" spans="1:6">
      <c r="A894" t="str">
        <f>IF('Obra Mogetta'!G70="","","Obra Mogetta")</f>
        <v/>
      </c>
      <c r="B894" t="str">
        <f>IF('Obra Mogetta'!G70="","",'Obra Mogetta'!G70)</f>
        <v/>
      </c>
      <c r="C894" t="str">
        <f>IF('Obra Mogetta'!G70="","",'Obra Mogetta'!I70)</f>
        <v/>
      </c>
      <c r="D894" t="str">
        <f>IF('Obra Mogetta'!G70="","",'Obra Mogetta'!L70)</f>
        <v/>
      </c>
      <c r="E894" t="str">
        <f>IF('Obra Mogetta'!G70="","",'Obra Mogetta'!M70)</f>
        <v/>
      </c>
      <c r="F894" t="str">
        <f>IF('Obra Mogetta'!G70="","",'Obra Mogetta'!N70)</f>
        <v/>
      </c>
    </row>
    <row r="895" spans="1:6">
      <c r="A895" t="str">
        <f>IF('Obra Mogetta'!G71="","","Obra Mogetta")</f>
        <v/>
      </c>
      <c r="B895" t="str">
        <f>IF('Obra Mogetta'!G71="","",'Obra Mogetta'!G71)</f>
        <v/>
      </c>
      <c r="C895" t="str">
        <f>IF('Obra Mogetta'!G71="","",'Obra Mogetta'!I71)</f>
        <v/>
      </c>
      <c r="D895" t="str">
        <f>IF('Obra Mogetta'!G71="","",'Obra Mogetta'!L71)</f>
        <v/>
      </c>
      <c r="E895" t="str">
        <f>IF('Obra Mogetta'!G71="","",'Obra Mogetta'!M71)</f>
        <v/>
      </c>
      <c r="F895" t="str">
        <f>IF('Obra Mogetta'!G71="","",'Obra Mogetta'!N71)</f>
        <v/>
      </c>
    </row>
    <row r="896" spans="1:6">
      <c r="A896" t="str">
        <f>IF('Obra Mogetta'!G72="","","Obra Mogetta")</f>
        <v/>
      </c>
      <c r="B896" t="str">
        <f>IF('Obra Mogetta'!G72="","",'Obra Mogetta'!G72)</f>
        <v/>
      </c>
      <c r="C896" t="str">
        <f>IF('Obra Mogetta'!G72="","",'Obra Mogetta'!I72)</f>
        <v/>
      </c>
      <c r="D896" t="str">
        <f>IF('Obra Mogetta'!G72="","",'Obra Mogetta'!L72)</f>
        <v/>
      </c>
      <c r="E896" t="str">
        <f>IF('Obra Mogetta'!G72="","",'Obra Mogetta'!M72)</f>
        <v/>
      </c>
      <c r="F896" t="str">
        <f>IF('Obra Mogetta'!G72="","",'Obra Mogetta'!N72)</f>
        <v/>
      </c>
    </row>
    <row r="897" spans="1:6">
      <c r="A897" t="str">
        <f>IF('Obra Mogetta'!G73="","","Obra Mogetta")</f>
        <v/>
      </c>
      <c r="B897" t="str">
        <f>IF('Obra Mogetta'!G73="","",'Obra Mogetta'!G73)</f>
        <v/>
      </c>
      <c r="C897" t="str">
        <f>IF('Obra Mogetta'!G73="","",'Obra Mogetta'!I73)</f>
        <v/>
      </c>
      <c r="D897" t="str">
        <f>IF('Obra Mogetta'!G73="","",'Obra Mogetta'!L73)</f>
        <v/>
      </c>
      <c r="E897" t="str">
        <f>IF('Obra Mogetta'!G73="","",'Obra Mogetta'!M73)</f>
        <v/>
      </c>
      <c r="F897" t="str">
        <f>IF('Obra Mogetta'!G73="","",'Obra Mogetta'!N73)</f>
        <v/>
      </c>
    </row>
    <row r="898" spans="1:6">
      <c r="A898" t="str">
        <f>IF('Obra Mogetta'!G74="","","Obra Mogetta")</f>
        <v/>
      </c>
      <c r="B898" t="str">
        <f>IF('Obra Mogetta'!G74="","",'Obra Mogetta'!G74)</f>
        <v/>
      </c>
      <c r="C898" t="str">
        <f>IF('Obra Mogetta'!G74="","",'Obra Mogetta'!I74)</f>
        <v/>
      </c>
      <c r="D898" t="str">
        <f>IF('Obra Mogetta'!G74="","",'Obra Mogetta'!L74)</f>
        <v/>
      </c>
      <c r="E898" t="str">
        <f>IF('Obra Mogetta'!G74="","",'Obra Mogetta'!M74)</f>
        <v/>
      </c>
      <c r="F898" t="str">
        <f>IF('Obra Mogetta'!G74="","",'Obra Mogetta'!N74)</f>
        <v/>
      </c>
    </row>
    <row r="899" spans="1:6">
      <c r="A899" t="str">
        <f>IF('Obra Mogetta'!G75="","","Obra Mogetta")</f>
        <v/>
      </c>
      <c r="B899" t="str">
        <f>IF('Obra Mogetta'!G75="","",'Obra Mogetta'!G75)</f>
        <v/>
      </c>
      <c r="C899" t="str">
        <f>IF('Obra Mogetta'!G75="","",'Obra Mogetta'!I75)</f>
        <v/>
      </c>
      <c r="D899" t="str">
        <f>IF('Obra Mogetta'!G75="","",'Obra Mogetta'!L75)</f>
        <v/>
      </c>
      <c r="E899" t="str">
        <f>IF('Obra Mogetta'!G75="","",'Obra Mogetta'!M75)</f>
        <v/>
      </c>
      <c r="F899" t="str">
        <f>IF('Obra Mogetta'!G75="","",'Obra Mogetta'!N75)</f>
        <v/>
      </c>
    </row>
    <row r="900" spans="1:6">
      <c r="A900" t="str">
        <f>IF('Obra Mogetta'!G76="","","Obra Mogetta")</f>
        <v/>
      </c>
      <c r="B900" t="str">
        <f>IF('Obra Mogetta'!G76="","",'Obra Mogetta'!G76)</f>
        <v/>
      </c>
      <c r="C900" t="str">
        <f>IF('Obra Mogetta'!G76="","",'Obra Mogetta'!I76)</f>
        <v/>
      </c>
      <c r="D900" t="str">
        <f>IF('Obra Mogetta'!G76="","",'Obra Mogetta'!L76)</f>
        <v/>
      </c>
      <c r="E900" t="str">
        <f>IF('Obra Mogetta'!G76="","",'Obra Mogetta'!M76)</f>
        <v/>
      </c>
      <c r="F900" t="str">
        <f>IF('Obra Mogetta'!G76="","",'Obra Mogetta'!N76)</f>
        <v/>
      </c>
    </row>
    <row r="901" spans="1:6">
      <c r="A901" t="str">
        <f>IF('Obra Mogetta'!G77="","","Obra Mogetta")</f>
        <v/>
      </c>
      <c r="B901" t="str">
        <f>IF('Obra Mogetta'!G77="","",'Obra Mogetta'!G77)</f>
        <v/>
      </c>
      <c r="C901" t="str">
        <f>IF('Obra Mogetta'!G77="","",'Obra Mogetta'!I77)</f>
        <v/>
      </c>
      <c r="D901" t="str">
        <f>IF('Obra Mogetta'!G77="","",'Obra Mogetta'!L77)</f>
        <v/>
      </c>
      <c r="E901" t="str">
        <f>IF('Obra Mogetta'!G77="","",'Obra Mogetta'!M77)</f>
        <v/>
      </c>
      <c r="F901" t="str">
        <f>IF('Obra Mogetta'!G77="","",'Obra Mogetta'!N77)</f>
        <v/>
      </c>
    </row>
    <row r="902" spans="1:6">
      <c r="A902" t="str">
        <f>IF('Obra Mogetta'!G78="","","Obra Mogetta")</f>
        <v/>
      </c>
      <c r="B902" t="str">
        <f>IF('Obra Mogetta'!G78="","",'Obra Mogetta'!G78)</f>
        <v/>
      </c>
      <c r="C902" t="str">
        <f>IF('Obra Mogetta'!G78="","",'Obra Mogetta'!I78)</f>
        <v/>
      </c>
      <c r="D902" t="str">
        <f>IF('Obra Mogetta'!G78="","",'Obra Mogetta'!L78)</f>
        <v/>
      </c>
      <c r="E902" t="str">
        <f>IF('Obra Mogetta'!G78="","",'Obra Mogetta'!M78)</f>
        <v/>
      </c>
      <c r="F902" t="str">
        <f>IF('Obra Mogetta'!G78="","",'Obra Mogetta'!N78)</f>
        <v/>
      </c>
    </row>
    <row r="903" spans="1:6">
      <c r="A903" t="str">
        <f>IF('Obra Mogetta'!G79="","","Obra Mogetta")</f>
        <v/>
      </c>
      <c r="B903" t="str">
        <f>IF('Obra Mogetta'!G79="","",'Obra Mogetta'!G79)</f>
        <v/>
      </c>
      <c r="C903" t="str">
        <f>IF('Obra Mogetta'!G79="","",'Obra Mogetta'!I79)</f>
        <v/>
      </c>
      <c r="D903" t="str">
        <f>IF('Obra Mogetta'!G79="","",'Obra Mogetta'!L79)</f>
        <v/>
      </c>
      <c r="E903" t="str">
        <f>IF('Obra Mogetta'!G79="","",'Obra Mogetta'!M79)</f>
        <v/>
      </c>
      <c r="F903" t="str">
        <f>IF('Obra Mogetta'!G79="","",'Obra Mogetta'!N79)</f>
        <v/>
      </c>
    </row>
    <row r="904" spans="1:6">
      <c r="A904" t="str">
        <f>IF('Obra Mogetta'!G80="","","Obra Mogetta")</f>
        <v/>
      </c>
      <c r="B904" t="str">
        <f>IF('Obra Mogetta'!G80="","",'Obra Mogetta'!G80)</f>
        <v/>
      </c>
      <c r="C904" t="str">
        <f>IF('Obra Mogetta'!G80="","",'Obra Mogetta'!I80)</f>
        <v/>
      </c>
      <c r="D904" t="str">
        <f>IF('Obra Mogetta'!G80="","",'Obra Mogetta'!L80)</f>
        <v/>
      </c>
      <c r="E904" t="str">
        <f>IF('Obra Mogetta'!G80="","",'Obra Mogetta'!M80)</f>
        <v/>
      </c>
      <c r="F904" t="str">
        <f>IF('Obra Mogetta'!G80="","",'Obra Mogetta'!N80)</f>
        <v/>
      </c>
    </row>
    <row r="905" spans="1:6">
      <c r="A905" t="str">
        <f>IF('Obra Mogetta'!G81="","","Obra Mogetta")</f>
        <v/>
      </c>
      <c r="B905" t="str">
        <f>IF('Obra Mogetta'!G81="","",'Obra Mogetta'!G81)</f>
        <v/>
      </c>
      <c r="C905" t="str">
        <f>IF('Obra Mogetta'!G81="","",'Obra Mogetta'!I81)</f>
        <v/>
      </c>
      <c r="D905" t="str">
        <f>IF('Obra Mogetta'!G81="","",'Obra Mogetta'!L81)</f>
        <v/>
      </c>
      <c r="E905" t="str">
        <f>IF('Obra Mogetta'!G81="","",'Obra Mogetta'!M81)</f>
        <v/>
      </c>
      <c r="F905" t="str">
        <f>IF('Obra Mogetta'!G81="","",'Obra Mogetta'!N81)</f>
        <v/>
      </c>
    </row>
    <row r="906" spans="1:6">
      <c r="A906" t="str">
        <f>IF('Obra Mogetta'!G82="","","Obra Mogetta")</f>
        <v/>
      </c>
      <c r="B906" t="str">
        <f>IF('Obra Mogetta'!G82="","",'Obra Mogetta'!G82)</f>
        <v/>
      </c>
      <c r="C906" t="str">
        <f>IF('Obra Mogetta'!G82="","",'Obra Mogetta'!I82)</f>
        <v/>
      </c>
      <c r="D906" t="str">
        <f>IF('Obra Mogetta'!G82="","",'Obra Mogetta'!L82)</f>
        <v/>
      </c>
      <c r="E906" t="str">
        <f>IF('Obra Mogetta'!G82="","",'Obra Mogetta'!M82)</f>
        <v/>
      </c>
      <c r="F906" t="str">
        <f>IF('Obra Mogetta'!G82="","",'Obra Mogetta'!N82)</f>
        <v/>
      </c>
    </row>
    <row r="907" spans="1:6">
      <c r="A907" t="str">
        <f>IF('Obra Mogetta'!G83="","","Obra Mogetta")</f>
        <v/>
      </c>
      <c r="B907" t="str">
        <f>IF('Obra Mogetta'!G83="","",'Obra Mogetta'!G83)</f>
        <v/>
      </c>
      <c r="C907" t="str">
        <f>IF('Obra Mogetta'!G83="","",'Obra Mogetta'!I83)</f>
        <v/>
      </c>
      <c r="D907" t="str">
        <f>IF('Obra Mogetta'!G83="","",'Obra Mogetta'!L83)</f>
        <v/>
      </c>
      <c r="E907" t="str">
        <f>IF('Obra Mogetta'!G83="","",'Obra Mogetta'!M83)</f>
        <v/>
      </c>
      <c r="F907" t="str">
        <f>IF('Obra Mogetta'!G83="","",'Obra Mogetta'!N83)</f>
        <v/>
      </c>
    </row>
    <row r="908" spans="1:6">
      <c r="A908" t="str">
        <f>IF('Obra Mogetta'!G84="","","Obra Mogetta")</f>
        <v/>
      </c>
      <c r="B908" t="str">
        <f>IF('Obra Mogetta'!G84="","",'Obra Mogetta'!G84)</f>
        <v/>
      </c>
      <c r="C908" t="str">
        <f>IF('Obra Mogetta'!G84="","",'Obra Mogetta'!I84)</f>
        <v/>
      </c>
      <c r="D908" t="str">
        <f>IF('Obra Mogetta'!G84="","",'Obra Mogetta'!L84)</f>
        <v/>
      </c>
      <c r="E908" t="str">
        <f>IF('Obra Mogetta'!G84="","",'Obra Mogetta'!M84)</f>
        <v/>
      </c>
      <c r="F908" t="str">
        <f>IF('Obra Mogetta'!G84="","",'Obra Mogetta'!N84)</f>
        <v/>
      </c>
    </row>
    <row r="909" spans="1:6">
      <c r="A909" t="str">
        <f>IF('Obra Mogetta'!G85="","","Obra Mogetta")</f>
        <v/>
      </c>
      <c r="B909" t="str">
        <f>IF('Obra Mogetta'!G85="","",'Obra Mogetta'!G85)</f>
        <v/>
      </c>
      <c r="C909" t="str">
        <f>IF('Obra Mogetta'!G85="","",'Obra Mogetta'!I85)</f>
        <v/>
      </c>
      <c r="D909" t="str">
        <f>IF('Obra Mogetta'!G85="","",'Obra Mogetta'!L85)</f>
        <v/>
      </c>
      <c r="E909" t="str">
        <f>IF('Obra Mogetta'!G85="","",'Obra Mogetta'!M85)</f>
        <v/>
      </c>
      <c r="F909" t="str">
        <f>IF('Obra Mogetta'!G85="","",'Obra Mogetta'!N85)</f>
        <v/>
      </c>
    </row>
    <row r="910" spans="1:6">
      <c r="A910" t="str">
        <f>IF('Obra Mogetta'!G86="","","Obra Mogetta")</f>
        <v/>
      </c>
      <c r="B910" t="str">
        <f>IF('Obra Mogetta'!G86="","",'Obra Mogetta'!G86)</f>
        <v/>
      </c>
      <c r="C910" t="str">
        <f>IF('Obra Mogetta'!G86="","",'Obra Mogetta'!I86)</f>
        <v/>
      </c>
      <c r="D910" t="str">
        <f>IF('Obra Mogetta'!G86="","",'Obra Mogetta'!L86)</f>
        <v/>
      </c>
      <c r="E910" t="str">
        <f>IF('Obra Mogetta'!G86="","",'Obra Mogetta'!M86)</f>
        <v/>
      </c>
      <c r="F910" t="str">
        <f>IF('Obra Mogetta'!G86="","",'Obra Mogetta'!N86)</f>
        <v/>
      </c>
    </row>
    <row r="911" spans="1:6">
      <c r="A911" t="str">
        <f>IF('Obra Mogetta'!G87="","","Obra Mogetta")</f>
        <v/>
      </c>
      <c r="B911" t="str">
        <f>IF('Obra Mogetta'!G87="","",'Obra Mogetta'!G87)</f>
        <v/>
      </c>
      <c r="C911" t="str">
        <f>IF('Obra Mogetta'!G87="","",'Obra Mogetta'!I87)</f>
        <v/>
      </c>
      <c r="D911" t="str">
        <f>IF('Obra Mogetta'!G87="","",'Obra Mogetta'!L87)</f>
        <v/>
      </c>
      <c r="E911" t="str">
        <f>IF('Obra Mogetta'!G87="","",'Obra Mogetta'!M87)</f>
        <v/>
      </c>
      <c r="F911" t="str">
        <f>IF('Obra Mogetta'!G87="","",'Obra Mogetta'!N87)</f>
        <v/>
      </c>
    </row>
    <row r="912" spans="1:6">
      <c r="A912" t="str">
        <f>IF('Obra Mogetta'!G88="","","Obra Mogetta")</f>
        <v/>
      </c>
      <c r="B912" t="str">
        <f>IF('Obra Mogetta'!G88="","",'Obra Mogetta'!G88)</f>
        <v/>
      </c>
      <c r="C912" t="str">
        <f>IF('Obra Mogetta'!G88="","",'Obra Mogetta'!I88)</f>
        <v/>
      </c>
      <c r="D912" t="str">
        <f>IF('Obra Mogetta'!G88="","",'Obra Mogetta'!L88)</f>
        <v/>
      </c>
      <c r="E912" t="str">
        <f>IF('Obra Mogetta'!G88="","",'Obra Mogetta'!M88)</f>
        <v/>
      </c>
      <c r="F912" t="str">
        <f>IF('Obra Mogetta'!G88="","",'Obra Mogetta'!N88)</f>
        <v/>
      </c>
    </row>
    <row r="913" spans="1:6">
      <c r="A913" t="str">
        <f>IF('Obra Mogetta'!G89="","","Obra Mogetta")</f>
        <v/>
      </c>
      <c r="B913" t="str">
        <f>IF('Obra Mogetta'!G89="","",'Obra Mogetta'!G89)</f>
        <v/>
      </c>
      <c r="C913" t="str">
        <f>IF('Obra Mogetta'!G89="","",'Obra Mogetta'!I89)</f>
        <v/>
      </c>
      <c r="D913" t="str">
        <f>IF('Obra Mogetta'!G89="","",'Obra Mogetta'!L89)</f>
        <v/>
      </c>
      <c r="E913" t="str">
        <f>IF('Obra Mogetta'!G89="","",'Obra Mogetta'!M89)</f>
        <v/>
      </c>
      <c r="F913" t="str">
        <f>IF('Obra Mogetta'!G89="","",'Obra Mogetta'!N89)</f>
        <v/>
      </c>
    </row>
    <row r="914" spans="1:6">
      <c r="A914" t="str">
        <f>IF('Obra Mogetta'!G90="","","Obra Mogetta")</f>
        <v/>
      </c>
      <c r="B914" t="str">
        <f>IF('Obra Mogetta'!G90="","",'Obra Mogetta'!G90)</f>
        <v/>
      </c>
      <c r="C914" t="str">
        <f>IF('Obra Mogetta'!G90="","",'Obra Mogetta'!I90)</f>
        <v/>
      </c>
      <c r="D914" t="str">
        <f>IF('Obra Mogetta'!G90="","",'Obra Mogetta'!L90)</f>
        <v/>
      </c>
      <c r="E914" t="str">
        <f>IF('Obra Mogetta'!G90="","",'Obra Mogetta'!M90)</f>
        <v/>
      </c>
      <c r="F914" t="str">
        <f>IF('Obra Mogetta'!G90="","",'Obra Mogetta'!N90)</f>
        <v/>
      </c>
    </row>
    <row r="915" spans="1:6">
      <c r="A915" t="str">
        <f>IF('Obra Mogetta'!G91="","","Obra Mogetta")</f>
        <v/>
      </c>
      <c r="B915" t="str">
        <f>IF('Obra Mogetta'!G91="","",'Obra Mogetta'!G91)</f>
        <v/>
      </c>
      <c r="C915" t="str">
        <f>IF('Obra Mogetta'!G91="","",'Obra Mogetta'!I91)</f>
        <v/>
      </c>
      <c r="D915" t="str">
        <f>IF('Obra Mogetta'!G91="","",'Obra Mogetta'!L91)</f>
        <v/>
      </c>
      <c r="E915" t="str">
        <f>IF('Obra Mogetta'!G91="","",'Obra Mogetta'!M91)</f>
        <v/>
      </c>
      <c r="F915" t="str">
        <f>IF('Obra Mogetta'!G91="","",'Obra Mogetta'!N91)</f>
        <v/>
      </c>
    </row>
    <row r="916" spans="1:6">
      <c r="A916" t="str">
        <f>IF('Obra Mogetta'!G92="","","Obra Mogetta")</f>
        <v/>
      </c>
      <c r="B916" t="str">
        <f>IF('Obra Mogetta'!G92="","",'Obra Mogetta'!G92)</f>
        <v/>
      </c>
      <c r="C916" t="str">
        <f>IF('Obra Mogetta'!G92="","",'Obra Mogetta'!I92)</f>
        <v/>
      </c>
      <c r="D916" t="str">
        <f>IF('Obra Mogetta'!G92="","",'Obra Mogetta'!L92)</f>
        <v/>
      </c>
      <c r="E916" t="str">
        <f>IF('Obra Mogetta'!G92="","",'Obra Mogetta'!M92)</f>
        <v/>
      </c>
      <c r="F916" t="str">
        <f>IF('Obra Mogetta'!G92="","",'Obra Mogetta'!N92)</f>
        <v/>
      </c>
    </row>
    <row r="917" spans="1:6">
      <c r="A917" t="str">
        <f>IF('Obra RR'!G10="","","Obra RR")</f>
        <v>Obra RR</v>
      </c>
      <c r="B917" t="str">
        <f>IF('Obra RR'!G10="","",'Obra RR'!G10)</f>
        <v>Steel Brox</v>
      </c>
      <c r="C917">
        <f>IF('Obra RR'!G10="","",'Obra RR'!I10)</f>
        <v>9416519.6099999994</v>
      </c>
      <c r="D917" t="str">
        <f>IF('Obra RR'!G10="","",'Obra RR'!L10)</f>
        <v>Pagado</v>
      </c>
      <c r="E917" t="str">
        <f>IF('Obra RR'!G10="","",'Obra RR'!M10)</f>
        <v>Pagado</v>
      </c>
      <c r="F917" t="str">
        <f>IF('Obra RR'!G10="","",'Obra RR'!N10)</f>
        <v>Recibido en obra</v>
      </c>
    </row>
    <row r="918" spans="1:6">
      <c r="A918" t="str">
        <f>IF('Obra RR'!G11="","","Obra RR")</f>
        <v>Obra RR</v>
      </c>
      <c r="B918" t="str">
        <f>IF('Obra RR'!G11="","",'Obra RR'!G11)</f>
        <v>Cerroplast</v>
      </c>
      <c r="C918">
        <f>IF('Obra RR'!G11="","",'Obra RR'!I11)</f>
        <v>420462.9</v>
      </c>
      <c r="D918" t="str">
        <f>IF('Obra RR'!G11="","",'Obra RR'!L11)</f>
        <v>Pagado</v>
      </c>
      <c r="E918" t="str">
        <f>IF('Obra RR'!G11="","",'Obra RR'!M11)</f>
        <v>Pagado</v>
      </c>
      <c r="F918" t="str">
        <f>IF('Obra RR'!G11="","",'Obra RR'!N11)</f>
        <v>Recibido en obra</v>
      </c>
    </row>
    <row r="919" spans="1:6">
      <c r="A919" t="str">
        <f>IF('Obra RR'!G12="","","Obra RR")</f>
        <v>Obra RR</v>
      </c>
      <c r="B919" t="str">
        <f>IF('Obra RR'!G12="","",'Obra RR'!G12)</f>
        <v>Mendio</v>
      </c>
      <c r="C919">
        <f>IF('Obra RR'!G12="","",'Obra RR'!I12)</f>
        <v>1028351.91</v>
      </c>
      <c r="D919" t="str">
        <f>IF('Obra RR'!G12="","",'Obra RR'!L12)</f>
        <v>Pagado</v>
      </c>
      <c r="E919" t="str">
        <f>IF('Obra RR'!G12="","",'Obra RR'!M12)</f>
        <v>Pagado</v>
      </c>
      <c r="F919" t="str">
        <f>IF('Obra RR'!G12="","",'Obra RR'!N12)</f>
        <v>Recibido en obra</v>
      </c>
    </row>
    <row r="920" spans="1:6">
      <c r="A920" t="str">
        <f>IF('Obra RR'!G13="","","Obra RR")</f>
        <v>Obra RR</v>
      </c>
      <c r="B920" t="str">
        <f>IF('Obra RR'!G13="","",'Obra RR'!G13)</f>
        <v>Feyro</v>
      </c>
      <c r="C920">
        <f>IF('Obra RR'!G13="","",'Obra RR'!I13)</f>
        <v>173752.87</v>
      </c>
      <c r="D920" t="str">
        <f>IF('Obra RR'!G13="","",'Obra RR'!L13)</f>
        <v>Pagado</v>
      </c>
      <c r="E920" t="str">
        <f>IF('Obra RR'!G13="","",'Obra RR'!M13)</f>
        <v>Pagado</v>
      </c>
      <c r="F920" t="str">
        <f>IF('Obra RR'!G13="","",'Obra RR'!N13)</f>
        <v>Recibido en obra</v>
      </c>
    </row>
    <row r="921" spans="1:6">
      <c r="A921" t="str">
        <f>IF('Obra RR'!G14="","","Obra RR")</f>
        <v>Obra RR</v>
      </c>
      <c r="B921" t="str">
        <f>IF('Obra RR'!G14="","",'Obra RR'!G14)</f>
        <v>Natalia Obrador</v>
      </c>
      <c r="C921">
        <f>IF('Obra RR'!G14="","",'Obra RR'!I14)</f>
        <v>2740000</v>
      </c>
      <c r="D921" t="str">
        <f>IF('Obra RR'!G14="","",'Obra RR'!L14)</f>
        <v>Pagado</v>
      </c>
      <c r="E921" t="str">
        <f>IF('Obra RR'!G14="","",'Obra RR'!M14)</f>
        <v>Pagado</v>
      </c>
      <c r="F921" t="str">
        <f>IF('Obra RR'!G14="","",'Obra RR'!N14)</f>
        <v>Recibido en obra</v>
      </c>
    </row>
    <row r="922" spans="1:6">
      <c r="A922" t="str">
        <f>IF('Obra RR'!G15="","","Obra RR")</f>
        <v>Obra RR</v>
      </c>
      <c r="B922" t="str">
        <f>IF('Obra RR'!G15="","",'Obra RR'!G15)</f>
        <v>Deplano</v>
      </c>
      <c r="C922">
        <f>IF('Obra RR'!G15="","",'Obra RR'!I15)</f>
        <v>43028.22</v>
      </c>
      <c r="D922" t="str">
        <f>IF('Obra RR'!G15="","",'Obra RR'!L15)</f>
        <v>Cuenta Corriente</v>
      </c>
      <c r="E922">
        <f>IF('Obra RR'!G15="","",'Obra RR'!M15)</f>
        <v>0</v>
      </c>
      <c r="F922" t="str">
        <f>IF('Obra RR'!G15="","",'Obra RR'!N15)</f>
        <v>Recibido en obra</v>
      </c>
    </row>
    <row r="923" spans="1:6">
      <c r="A923" t="str">
        <f>IF('Obra RR'!G16="","","Obra RR")</f>
        <v>Obra RR</v>
      </c>
      <c r="B923" t="str">
        <f>IF('Obra RR'!G16="","",'Obra RR'!G16)</f>
        <v>Deplano</v>
      </c>
      <c r="C923">
        <f>IF('Obra RR'!G16="","",'Obra RR'!I16)</f>
        <v>158243.85</v>
      </c>
      <c r="D923" t="str">
        <f>IF('Obra RR'!G16="","",'Obra RR'!L16)</f>
        <v>Cuenta Corriente</v>
      </c>
      <c r="E923">
        <f>IF('Obra RR'!G16="","",'Obra RR'!M16)</f>
        <v>0</v>
      </c>
      <c r="F923" t="str">
        <f>IF('Obra RR'!G16="","",'Obra RR'!N16)</f>
        <v>Recibido en obra</v>
      </c>
    </row>
    <row r="924" spans="1:6">
      <c r="A924" t="str">
        <f>IF('Obra RR'!G17="","","Obra RR")</f>
        <v>Obra RR</v>
      </c>
      <c r="B924" t="str">
        <f>IF('Obra RR'!G17="","",'Obra RR'!G17)</f>
        <v>Holcim</v>
      </c>
      <c r="C924">
        <f>IF('Obra RR'!G17="","",'Obra RR'!I17)</f>
        <v>401418</v>
      </c>
      <c r="D924" t="str">
        <f>IF('Obra RR'!G17="","",'Obra RR'!L17)</f>
        <v>Pagado</v>
      </c>
      <c r="E924" t="str">
        <f>IF('Obra RR'!G17="","",'Obra RR'!M17)</f>
        <v>Pagado</v>
      </c>
      <c r="F924" t="str">
        <f>IF('Obra RR'!G17="","",'Obra RR'!N17)</f>
        <v>Recibido en obra</v>
      </c>
    </row>
    <row r="925" spans="1:6">
      <c r="A925" t="str">
        <f>IF('Obra RR'!G18="","","Obra RR")</f>
        <v>Obra RR</v>
      </c>
      <c r="B925" t="str">
        <f>IF('Obra RR'!G18="","",'Obra RR'!G18)</f>
        <v>Holcim</v>
      </c>
      <c r="C925">
        <f>IF('Obra RR'!G18="","",'Obra RR'!I18)</f>
        <v>280992.59999999998</v>
      </c>
      <c r="D925" t="str">
        <f>IF('Obra RR'!G18="","",'Obra RR'!L18)</f>
        <v>Pagado</v>
      </c>
      <c r="E925" t="str">
        <f>IF('Obra RR'!G18="","",'Obra RR'!M18)</f>
        <v>Pagado</v>
      </c>
      <c r="F925" t="str">
        <f>IF('Obra RR'!G18="","",'Obra RR'!N18)</f>
        <v>Recibido en obra</v>
      </c>
    </row>
    <row r="926" spans="1:6">
      <c r="A926" t="str">
        <f>IF('Obra RR'!G19="","","Obra RR")</f>
        <v>Obra RR</v>
      </c>
      <c r="B926" t="str">
        <f>IF('Obra RR'!G19="","",'Obra RR'!G19)</f>
        <v>Holcim</v>
      </c>
      <c r="C926">
        <f>IF('Obra RR'!G19="","",'Obra RR'!I19)</f>
        <v>3090918.6</v>
      </c>
      <c r="D926" t="str">
        <f>IF('Obra RR'!G19="","",'Obra RR'!L19)</f>
        <v>Pagado</v>
      </c>
      <c r="E926" t="str">
        <f>IF('Obra RR'!G19="","",'Obra RR'!M19)</f>
        <v>Pagado</v>
      </c>
      <c r="F926" t="str">
        <f>IF('Obra RR'!G19="","",'Obra RR'!N19)</f>
        <v>Recibido en obra</v>
      </c>
    </row>
    <row r="927" spans="1:6">
      <c r="A927" t="str">
        <f>IF('Obra RR'!G20="","","Obra RR")</f>
        <v>Obra RR</v>
      </c>
      <c r="B927" t="str">
        <f>IF('Obra RR'!G20="","",'Obra RR'!G20)</f>
        <v>Dimotec</v>
      </c>
      <c r="C927">
        <f>IF('Obra RR'!G20="","",'Obra RR'!I20)</f>
        <v>230850</v>
      </c>
      <c r="D927" t="str">
        <f>IF('Obra RR'!G20="","",'Obra RR'!L20)</f>
        <v>Pagado</v>
      </c>
      <c r="E927" t="str">
        <f>IF('Obra RR'!G20="","",'Obra RR'!M20)</f>
        <v>Pagado</v>
      </c>
      <c r="F927" t="str">
        <f>IF('Obra RR'!G20="","",'Obra RR'!N20)</f>
        <v>Recibido en obra</v>
      </c>
    </row>
    <row r="928" spans="1:6">
      <c r="A928" t="str">
        <f>IF('Obra RR'!G21="","","Obra RR")</f>
        <v>Obra RR</v>
      </c>
      <c r="B928" t="str">
        <f>IF('Obra RR'!G21="","",'Obra RR'!G21)</f>
        <v>Pilca</v>
      </c>
      <c r="C928">
        <f>IF('Obra RR'!G21="","",'Obra RR'!I21)</f>
        <v>4722050.1100000003</v>
      </c>
      <c r="D928" t="str">
        <f>IF('Obra RR'!G21="","",'Obra RR'!L21)</f>
        <v>Pagado</v>
      </c>
      <c r="E928" t="str">
        <f>IF('Obra RR'!G21="","",'Obra RR'!M21)</f>
        <v>Pagado</v>
      </c>
      <c r="F928" t="str">
        <f>IF('Obra RR'!G21="","",'Obra RR'!N21)</f>
        <v>Recibido en obra</v>
      </c>
    </row>
    <row r="929" spans="1:6">
      <c r="A929" t="str">
        <f>IF('Obra RR'!G22="","","Obra RR")</f>
        <v/>
      </c>
      <c r="B929" t="str">
        <f>IF('Obra RR'!G22="","",'Obra RR'!G22)</f>
        <v/>
      </c>
      <c r="C929" t="str">
        <f>IF('Obra RR'!G22="","",'Obra RR'!I22)</f>
        <v/>
      </c>
      <c r="D929" t="str">
        <f>IF('Obra RR'!G22="","",'Obra RR'!L22)</f>
        <v/>
      </c>
      <c r="E929" t="str">
        <f>IF('Obra RR'!G22="","",'Obra RR'!M22)</f>
        <v/>
      </c>
      <c r="F929" t="str">
        <f>IF('Obra RR'!G22="","",'Obra RR'!N22)</f>
        <v/>
      </c>
    </row>
    <row r="930" spans="1:6">
      <c r="A930" t="str">
        <f>IF('Obra RR'!G23="","","Obra RR")</f>
        <v>Obra RR</v>
      </c>
      <c r="B930" t="str">
        <f>IF('Obra RR'!G23="","",'Obra RR'!G23)</f>
        <v>Mendio</v>
      </c>
      <c r="C930">
        <f>IF('Obra RR'!G23="","",'Obra RR'!I23)</f>
        <v>4426851.37</v>
      </c>
      <c r="D930" t="str">
        <f>IF('Obra RR'!G23="","",'Obra RR'!L23)</f>
        <v>Pagado</v>
      </c>
      <c r="E930" t="str">
        <f>IF('Obra RR'!G23="","",'Obra RR'!M23)</f>
        <v>Pagado</v>
      </c>
      <c r="F930" t="str">
        <f>IF('Obra RR'!G23="","",'Obra RR'!N23)</f>
        <v>Recibido en obra</v>
      </c>
    </row>
    <row r="931" spans="1:6">
      <c r="A931" t="str">
        <f>IF('Obra RR'!G24="","","Obra RR")</f>
        <v>Obra RR</v>
      </c>
      <c r="B931" t="str">
        <f>IF('Obra RR'!G24="","",'Obra RR'!G24)</f>
        <v>Acerco</v>
      </c>
      <c r="C931">
        <f>IF('Obra RR'!G24="","",'Obra RR'!I24)</f>
        <v>4889683.53</v>
      </c>
      <c r="D931" t="str">
        <f>IF('Obra RR'!G24="","",'Obra RR'!L24)</f>
        <v>Pagado</v>
      </c>
      <c r="E931" t="str">
        <f>IF('Obra RR'!G24="","",'Obra RR'!M24)</f>
        <v>Pagado</v>
      </c>
      <c r="F931" t="str">
        <f>IF('Obra RR'!G24="","",'Obra RR'!N24)</f>
        <v>Recibido en obra</v>
      </c>
    </row>
    <row r="932" spans="1:6">
      <c r="A932" t="str">
        <f>IF('Obra RR'!G25="","","Obra RR")</f>
        <v>Obra RR</v>
      </c>
      <c r="B932" t="str">
        <f>IF('Obra RR'!G25="","",'Obra RR'!G25)</f>
        <v>Enas</v>
      </c>
      <c r="C932">
        <f>IF('Obra RR'!G25="","",'Obra RR'!I25)</f>
        <v>1387870</v>
      </c>
      <c r="D932" t="str">
        <f>IF('Obra RR'!G25="","",'Obra RR'!L25)</f>
        <v>Pagado</v>
      </c>
      <c r="E932" t="str">
        <f>IF('Obra RR'!G25="","",'Obra RR'!M25)</f>
        <v>Pagado</v>
      </c>
      <c r="F932" t="str">
        <f>IF('Obra RR'!G25="","",'Obra RR'!N25)</f>
        <v>Recibido en obra</v>
      </c>
    </row>
    <row r="933" spans="1:6">
      <c r="A933" t="str">
        <f>IF('Obra RR'!G26="","","Obra RR")</f>
        <v>Obra RR</v>
      </c>
      <c r="B933" t="str">
        <f>IF('Obra RR'!G26="","",'Obra RR'!G26)</f>
        <v>Apromax</v>
      </c>
      <c r="C933">
        <f>IF('Obra RR'!G26="","",'Obra RR'!I26)</f>
        <v>10830204.9</v>
      </c>
      <c r="D933" t="str">
        <f>IF('Obra RR'!G26="","",'Obra RR'!L26)</f>
        <v>Pagado</v>
      </c>
      <c r="E933" t="str">
        <f>IF('Obra RR'!G26="","",'Obra RR'!M26)</f>
        <v>Pagado</v>
      </c>
      <c r="F933" t="str">
        <f>IF('Obra RR'!G26="","",'Obra RR'!N26)</f>
        <v>Acopio</v>
      </c>
    </row>
    <row r="934" spans="1:6">
      <c r="A934" t="str">
        <f>IF('Obra RR'!G27="","","Obra RR")</f>
        <v>Obra RR</v>
      </c>
      <c r="B934" t="str">
        <f>IF('Obra RR'!G27="","",'Obra RR'!G27)</f>
        <v>A definir</v>
      </c>
      <c r="C934">
        <f>IF('Obra RR'!G27="","",'Obra RR'!I27)</f>
        <v>4360746.83</v>
      </c>
      <c r="D934" t="str">
        <f>IF('Obra RR'!G27="","",'Obra RR'!L27)</f>
        <v>Pagado</v>
      </c>
      <c r="E934">
        <f>IF('Obra RR'!G27="","",'Obra RR'!M27)</f>
        <v>0</v>
      </c>
      <c r="F934">
        <f>IF('Obra RR'!G27="","",'Obra RR'!N27)</f>
        <v>0</v>
      </c>
    </row>
    <row r="935" spans="1:6">
      <c r="A935" t="str">
        <f>IF('Obra RR'!G28="","","Obra RR")</f>
        <v>Obra RR</v>
      </c>
      <c r="B935" t="str">
        <f>IF('Obra RR'!G28="","",'Obra RR'!G28)</f>
        <v>Hierros Industriales</v>
      </c>
      <c r="C935">
        <f>IF('Obra RR'!G28="","",'Obra RR'!I28)</f>
        <v>795549.58</v>
      </c>
      <c r="D935" t="str">
        <f>IF('Obra RR'!G28="","",'Obra RR'!L28)</f>
        <v>Pagado</v>
      </c>
      <c r="E935" t="str">
        <f>IF('Obra RR'!G28="","",'Obra RR'!M28)</f>
        <v>Pagado</v>
      </c>
      <c r="F935" t="str">
        <f>IF('Obra RR'!G28="","",'Obra RR'!N28)</f>
        <v>Recibido en obra</v>
      </c>
    </row>
    <row r="936" spans="1:6">
      <c r="A936" t="str">
        <f>IF('Obra RR'!G29="","","Obra RR")</f>
        <v>Obra RR</v>
      </c>
      <c r="B936" t="str">
        <f>IF('Obra RR'!G29="","",'Obra RR'!G29)</f>
        <v>Sinis</v>
      </c>
      <c r="C936">
        <f>IF('Obra RR'!G29="","",'Obra RR'!I29)</f>
        <v>479755.32</v>
      </c>
      <c r="D936" t="str">
        <f>IF('Obra RR'!G29="","",'Obra RR'!L29)</f>
        <v>Pagado</v>
      </c>
      <c r="E936" t="str">
        <f>IF('Obra RR'!G29="","",'Obra RR'!M29)</f>
        <v>Pagado</v>
      </c>
      <c r="F936" t="str">
        <f>IF('Obra RR'!G29="","",'Obra RR'!N29)</f>
        <v>Recibido en obra</v>
      </c>
    </row>
    <row r="937" spans="1:6">
      <c r="A937" t="str">
        <f>IF('Obra RR'!G30="","","Obra RR")</f>
        <v>Obra RR</v>
      </c>
      <c r="B937" t="str">
        <f>IF('Obra RR'!G30="","",'Obra RR'!G30)</f>
        <v>Feyro</v>
      </c>
      <c r="C937">
        <f>IF('Obra RR'!G30="","",'Obra RR'!I30)</f>
        <v>1140238.2</v>
      </c>
      <c r="D937" t="str">
        <f>IF('Obra RR'!G30="","",'Obra RR'!L30)</f>
        <v>Pagado</v>
      </c>
      <c r="E937" t="str">
        <f>IF('Obra RR'!G30="","",'Obra RR'!M30)</f>
        <v>Pagado</v>
      </c>
      <c r="F937" t="str">
        <f>IF('Obra RR'!G30="","",'Obra RR'!N30)</f>
        <v>Recibido en obra</v>
      </c>
    </row>
    <row r="938" spans="1:6">
      <c r="A938" t="str">
        <f>IF('Obra RR'!G31="","","Obra RR")</f>
        <v>Obra RR</v>
      </c>
      <c r="B938" t="str">
        <f>IF('Obra RR'!G31="","",'Obra RR'!G31)</f>
        <v>Pilca</v>
      </c>
      <c r="C938">
        <f>IF('Obra RR'!G31="","",'Obra RR'!I31)</f>
        <v>7095091.6699999999</v>
      </c>
      <c r="D938" t="str">
        <f>IF('Obra RR'!G31="","",'Obra RR'!L31)</f>
        <v>Pagado</v>
      </c>
      <c r="E938" t="str">
        <f>IF('Obra RR'!G31="","",'Obra RR'!M31)</f>
        <v>Pagado</v>
      </c>
      <c r="F938">
        <f>IF('Obra RR'!G31="","",'Obra RR'!N31)</f>
        <v>0</v>
      </c>
    </row>
    <row r="939" spans="1:6">
      <c r="A939" t="str">
        <f>IF('Obra RR'!G32="","","Obra RR")</f>
        <v/>
      </c>
      <c r="B939" t="str">
        <f>IF('Obra RR'!G32="","",'Obra RR'!G32)</f>
        <v/>
      </c>
      <c r="C939" t="str">
        <f>IF('Obra RR'!G32="","",'Obra RR'!I32)</f>
        <v/>
      </c>
      <c r="D939" t="str">
        <f>IF('Obra RR'!G32="","",'Obra RR'!L32)</f>
        <v/>
      </c>
      <c r="E939" t="str">
        <f>IF('Obra RR'!G32="","",'Obra RR'!M32)</f>
        <v/>
      </c>
      <c r="F939" t="str">
        <f>IF('Obra RR'!G32="","",'Obra RR'!N32)</f>
        <v/>
      </c>
    </row>
    <row r="940" spans="1:6">
      <c r="A940" t="str">
        <f>IF('Obra RR'!G33="","","Obra RR")</f>
        <v>Obra RR</v>
      </c>
      <c r="B940" t="str">
        <f>IF('Obra RR'!G33="","",'Obra RR'!G33)</f>
        <v>Saniplast</v>
      </c>
      <c r="C940">
        <f>IF('Obra RR'!G33="","",'Obra RR'!I33)</f>
        <v>169554.67</v>
      </c>
      <c r="D940" t="str">
        <f>IF('Obra RR'!G33="","",'Obra RR'!L33)</f>
        <v>Pagado</v>
      </c>
      <c r="E940" t="str">
        <f>IF('Obra RR'!G33="","",'Obra RR'!M33)</f>
        <v>Pagado</v>
      </c>
      <c r="F940" t="str">
        <f>IF('Obra RR'!G33="","",'Obra RR'!N33)</f>
        <v>Recibido en obra</v>
      </c>
    </row>
    <row r="941" spans="1:6">
      <c r="A941" t="str">
        <f>IF('Obra RR'!G34="","","Obra RR")</f>
        <v>Obra RR</v>
      </c>
      <c r="B941" t="str">
        <f>IF('Obra RR'!G34="","",'Obra RR'!G34)</f>
        <v>Flete Hugo Godoy</v>
      </c>
      <c r="C941">
        <f>IF('Obra RR'!G34="","",'Obra RR'!I34)</f>
        <v>175000</v>
      </c>
      <c r="D941" t="str">
        <f>IF('Obra RR'!G34="","",'Obra RR'!L34)</f>
        <v>Pagado</v>
      </c>
      <c r="E941" t="str">
        <f>IF('Obra RR'!G34="","",'Obra RR'!M34)</f>
        <v>Pagado</v>
      </c>
      <c r="F941" t="str">
        <f>IF('Obra RR'!G34="","",'Obra RR'!N34)</f>
        <v>Recibido en obra</v>
      </c>
    </row>
    <row r="942" spans="1:6">
      <c r="A942" t="str">
        <f>IF('Obra RR'!G35="","","Obra RR")</f>
        <v>Obra RR</v>
      </c>
      <c r="B942" t="str">
        <f>IF('Obra RR'!G35="","",'Obra RR'!G35)</f>
        <v>Enas</v>
      </c>
      <c r="C942">
        <f>IF('Obra RR'!G35="","",'Obra RR'!I35)</f>
        <v>896610</v>
      </c>
      <c r="D942" t="str">
        <f>IF('Obra RR'!G35="","",'Obra RR'!L35)</f>
        <v>Pagado</v>
      </c>
      <c r="E942" t="str">
        <f>IF('Obra RR'!G35="","",'Obra RR'!M35)</f>
        <v>Pagado</v>
      </c>
      <c r="F942" t="str">
        <f>IF('Obra RR'!G35="","",'Obra RR'!N35)</f>
        <v>Recibido en obra</v>
      </c>
    </row>
    <row r="943" spans="1:6">
      <c r="A943" t="str">
        <f>IF('Obra RR'!G36="","","Obra RR")</f>
        <v/>
      </c>
      <c r="B943" t="str">
        <f>IF('Obra RR'!G36="","",'Obra RR'!G36)</f>
        <v/>
      </c>
      <c r="C943" t="str">
        <f>IF('Obra RR'!G36="","",'Obra RR'!I36)</f>
        <v/>
      </c>
      <c r="D943" t="str">
        <f>IF('Obra RR'!G36="","",'Obra RR'!L36)</f>
        <v/>
      </c>
      <c r="E943" t="str">
        <f>IF('Obra RR'!G36="","",'Obra RR'!M36)</f>
        <v/>
      </c>
      <c r="F943" t="str">
        <f>IF('Obra RR'!G36="","",'Obra RR'!N36)</f>
        <v/>
      </c>
    </row>
    <row r="944" spans="1:6">
      <c r="A944" t="str">
        <f>IF('Obra RR'!G37="","","Obra RR")</f>
        <v/>
      </c>
      <c r="B944" t="str">
        <f>IF('Obra RR'!G37="","",'Obra RR'!G37)</f>
        <v/>
      </c>
      <c r="C944" t="str">
        <f>IF('Obra RR'!G37="","",'Obra RR'!I37)</f>
        <v/>
      </c>
      <c r="D944" t="str">
        <f>IF('Obra RR'!G37="","",'Obra RR'!L37)</f>
        <v/>
      </c>
      <c r="E944" t="str">
        <f>IF('Obra RR'!G37="","",'Obra RR'!M37)</f>
        <v/>
      </c>
      <c r="F944" t="str">
        <f>IF('Obra RR'!G37="","",'Obra RR'!N37)</f>
        <v/>
      </c>
    </row>
    <row r="945" spans="1:6">
      <c r="A945" t="str">
        <f>IF('Obra RR'!G38="","","Obra RR")</f>
        <v>Obra RR</v>
      </c>
      <c r="B945" t="str">
        <f>IF('Obra RR'!G38="","",'Obra RR'!G38)</f>
        <v>Roncaglia</v>
      </c>
      <c r="C945">
        <f>IF('Obra RR'!G38="","",'Obra RR'!I38)</f>
        <v>184000</v>
      </c>
      <c r="D945" t="str">
        <f>IF('Obra RR'!G38="","",'Obra RR'!L38)</f>
        <v>Pagado</v>
      </c>
      <c r="E945" t="str">
        <f>IF('Obra RR'!G38="","",'Obra RR'!M38)</f>
        <v>Pagado</v>
      </c>
      <c r="F945" t="str">
        <f>IF('Obra RR'!G38="","",'Obra RR'!N38)</f>
        <v>Recibido en obra</v>
      </c>
    </row>
    <row r="946" spans="1:6">
      <c r="A946" t="str">
        <f>IF('Obra RR'!G39="","","Obra RR")</f>
        <v>Obra RR</v>
      </c>
      <c r="B946" t="str">
        <f>IF('Obra RR'!G39="","",'Obra RR'!G39)</f>
        <v>Saniplast</v>
      </c>
      <c r="C946">
        <f>IF('Obra RR'!G39="","",'Obra RR'!I39)</f>
        <v>7215137.54</v>
      </c>
      <c r="D946" t="str">
        <f>IF('Obra RR'!G39="","",'Obra RR'!L39)</f>
        <v>Pagado</v>
      </c>
      <c r="E946" t="str">
        <f>IF('Obra RR'!G39="","",'Obra RR'!M39)</f>
        <v>Pagado</v>
      </c>
      <c r="F946" t="str">
        <f>IF('Obra RR'!G39="","",'Obra RR'!N39)</f>
        <v>Recibido en obra</v>
      </c>
    </row>
    <row r="947" spans="1:6">
      <c r="A947" t="str">
        <f>IF('Obra RR'!G40="","","Obra RR")</f>
        <v>Obra RR</v>
      </c>
      <c r="B947" t="str">
        <f>IF('Obra RR'!G40="","",'Obra RR'!G40)</f>
        <v>Pilca</v>
      </c>
      <c r="C947">
        <f>IF('Obra RR'!G40="","",'Obra RR'!I40)</f>
        <v>4103527.57</v>
      </c>
      <c r="D947" t="str">
        <f>IF('Obra RR'!G40="","",'Obra RR'!L40)</f>
        <v>Pagado</v>
      </c>
      <c r="E947" t="str">
        <f>IF('Obra RR'!G40="","",'Obra RR'!M40)</f>
        <v>Pagado</v>
      </c>
      <c r="F947">
        <f>IF('Obra RR'!G40="","",'Obra RR'!N40)</f>
        <v>0</v>
      </c>
    </row>
    <row r="948" spans="1:6">
      <c r="A948" t="str">
        <f>IF('Obra RR'!G41="","","Obra RR")</f>
        <v>Obra RR</v>
      </c>
      <c r="B948" t="str">
        <f>IF('Obra RR'!G41="","",'Obra RR'!G41)</f>
        <v>Canteras El Alto</v>
      </c>
      <c r="C948">
        <f>IF('Obra RR'!G41="","",'Obra RR'!I41)</f>
        <v>509476.55</v>
      </c>
      <c r="D948" t="str">
        <f>IF('Obra RR'!G41="","",'Obra RR'!L41)</f>
        <v>Pagado</v>
      </c>
      <c r="E948" t="str">
        <f>IF('Obra RR'!G41="","",'Obra RR'!M41)</f>
        <v>Pagado</v>
      </c>
      <c r="F948" t="str">
        <f>IF('Obra RR'!G41="","",'Obra RR'!N41)</f>
        <v>Recibido en obra</v>
      </c>
    </row>
    <row r="949" spans="1:6">
      <c r="A949" t="str">
        <f>IF('Obra RR'!G42="","","Obra RR")</f>
        <v>Obra RR</v>
      </c>
      <c r="B949" t="str">
        <f>IF('Obra RR'!G42="","",'Obra RR'!G42)</f>
        <v>Apromax</v>
      </c>
      <c r="C949">
        <f>IF('Obra RR'!G42="","",'Obra RR'!I42)</f>
        <v>2908060</v>
      </c>
      <c r="D949" t="str">
        <f>IF('Obra RR'!G42="","",'Obra RR'!L42)</f>
        <v>Pagado</v>
      </c>
      <c r="E949" t="str">
        <f>IF('Obra RR'!G42="","",'Obra RR'!M42)</f>
        <v>Pagado</v>
      </c>
      <c r="F949" t="str">
        <f>IF('Obra RR'!G42="","",'Obra RR'!N42)</f>
        <v>Recibido en obra</v>
      </c>
    </row>
    <row r="950" spans="1:6">
      <c r="A950" t="str">
        <f>IF('Obra RR'!G43="","","Obra RR")</f>
        <v>Obra RR</v>
      </c>
      <c r="B950" t="str">
        <f>IF('Obra RR'!G43="","",'Obra RR'!G43)</f>
        <v>Alquilo Todo</v>
      </c>
      <c r="C950">
        <f>IF('Obra RR'!G43="","",'Obra RR'!I43)</f>
        <v>100000</v>
      </c>
      <c r="D950" t="str">
        <f>IF('Obra RR'!G43="","",'Obra RR'!L43)</f>
        <v>Pagado</v>
      </c>
      <c r="E950" t="str">
        <f>IF('Obra RR'!G43="","",'Obra RR'!M43)</f>
        <v>Pagado</v>
      </c>
      <c r="F950" t="str">
        <f>IF('Obra RR'!G43="","",'Obra RR'!N43)</f>
        <v>Recibido en obra</v>
      </c>
    </row>
    <row r="951" spans="1:6">
      <c r="A951" t="str">
        <f>IF('Obra RR'!G44="","","Obra RR")</f>
        <v>Obra RR</v>
      </c>
      <c r="B951" t="str">
        <f>IF('Obra RR'!G44="","",'Obra RR'!G44)</f>
        <v>Flete Hugo Godoy</v>
      </c>
      <c r="C951">
        <f>IF('Obra RR'!G44="","",'Obra RR'!I44)</f>
        <v>95000</v>
      </c>
      <c r="D951" t="str">
        <f>IF('Obra RR'!G44="","",'Obra RR'!L44)</f>
        <v>Pagado</v>
      </c>
      <c r="E951" t="str">
        <f>IF('Obra RR'!G44="","",'Obra RR'!M44)</f>
        <v>Pagado</v>
      </c>
      <c r="F951" t="str">
        <f>IF('Obra RR'!G44="","",'Obra RR'!N44)</f>
        <v>Recibido en obra</v>
      </c>
    </row>
    <row r="952" spans="1:6">
      <c r="A952" t="str">
        <f>IF('Obra RR'!G45="","","Obra RR")</f>
        <v/>
      </c>
      <c r="B952" t="str">
        <f>IF('Obra RR'!G45="","",'Obra RR'!G45)</f>
        <v/>
      </c>
      <c r="C952" t="str">
        <f>IF('Obra RR'!G45="","",'Obra RR'!I45)</f>
        <v/>
      </c>
      <c r="D952" t="str">
        <f>IF('Obra RR'!G45="","",'Obra RR'!L45)</f>
        <v/>
      </c>
      <c r="E952" t="str">
        <f>IF('Obra RR'!G45="","",'Obra RR'!M45)</f>
        <v/>
      </c>
      <c r="F952" t="str">
        <f>IF('Obra RR'!G45="","",'Obra RR'!N45)</f>
        <v/>
      </c>
    </row>
    <row r="953" spans="1:6">
      <c r="A953" t="str">
        <f>IF('Obra RR'!G46="","","Obra RR")</f>
        <v>Obra RR</v>
      </c>
      <c r="B953" t="str">
        <f>IF('Obra RR'!G46="","",'Obra RR'!G46)</f>
        <v>Flete Hugo Godoy</v>
      </c>
      <c r="C953">
        <f>IF('Obra RR'!G46="","",'Obra RR'!I46)</f>
        <v>45000</v>
      </c>
      <c r="D953" t="str">
        <f>IF('Obra RR'!G46="","",'Obra RR'!L46)</f>
        <v>Pagado</v>
      </c>
      <c r="E953" t="str">
        <f>IF('Obra RR'!G46="","",'Obra RR'!M46)</f>
        <v>Pagado</v>
      </c>
      <c r="F953" t="str">
        <f>IF('Obra RR'!G46="","",'Obra RR'!N46)</f>
        <v>Recibido en obra</v>
      </c>
    </row>
    <row r="954" spans="1:6">
      <c r="A954" t="str">
        <f>IF('Obra RR'!G47="","","Obra RR")</f>
        <v>Obra RR</v>
      </c>
      <c r="B954" t="str">
        <f>IF('Obra RR'!G47="","",'Obra RR'!G47)</f>
        <v>Flete Yonatan</v>
      </c>
      <c r="C954">
        <f>IF('Obra RR'!G47="","",'Obra RR'!I47)</f>
        <v>380000</v>
      </c>
      <c r="D954" t="str">
        <f>IF('Obra RR'!G47="","",'Obra RR'!L47)</f>
        <v>Pagado</v>
      </c>
      <c r="E954" t="str">
        <f>IF('Obra RR'!G47="","",'Obra RR'!M47)</f>
        <v>Pagado</v>
      </c>
      <c r="F954" t="str">
        <f>IF('Obra RR'!G47="","",'Obra RR'!N47)</f>
        <v>Recibido en obra</v>
      </c>
    </row>
    <row r="955" spans="1:6">
      <c r="A955" t="str">
        <f>IF('Obra RR'!G48="","","Obra RR")</f>
        <v>Obra RR</v>
      </c>
      <c r="B955" t="str">
        <f>IF('Obra RR'!G48="","",'Obra RR'!G48)</f>
        <v>Apromax</v>
      </c>
      <c r="C955">
        <f>IF('Obra RR'!G48="","",'Obra RR'!I48)</f>
        <v>10742273.5</v>
      </c>
      <c r="D955" t="str">
        <f>IF('Obra RR'!G48="","",'Obra RR'!L48)</f>
        <v>Pagado</v>
      </c>
      <c r="E955" t="str">
        <f>IF('Obra RR'!G48="","",'Obra RR'!M48)</f>
        <v>Pagado</v>
      </c>
      <c r="F955" t="str">
        <f>IF('Obra RR'!G48="","",'Obra RR'!N48)</f>
        <v>Acopio</v>
      </c>
    </row>
    <row r="956" spans="1:6">
      <c r="A956" t="str">
        <f>IF('Obra RR'!G49="","","Obra RR")</f>
        <v>Obra RR</v>
      </c>
      <c r="B956" t="str">
        <f>IF('Obra RR'!G49="","",'Obra RR'!G49)</f>
        <v>Cerroplast</v>
      </c>
      <c r="C956">
        <f>IF('Obra RR'!G49="","",'Obra RR'!I49)</f>
        <v>49059.45</v>
      </c>
      <c r="D956" t="str">
        <f>IF('Obra RR'!G49="","",'Obra RR'!L49)</f>
        <v>Pagado</v>
      </c>
      <c r="E956" t="str">
        <f>IF('Obra RR'!G49="","",'Obra RR'!M49)</f>
        <v>Pagado</v>
      </c>
      <c r="F956" t="str">
        <f>IF('Obra RR'!G49="","",'Obra RR'!N49)</f>
        <v>Recibido en obra</v>
      </c>
    </row>
    <row r="957" spans="1:6">
      <c r="A957" t="str">
        <f>IF('Obra RR'!G50="","","Obra RR")</f>
        <v/>
      </c>
      <c r="B957" t="str">
        <f>IF('Obra RR'!G50="","",'Obra RR'!G50)</f>
        <v/>
      </c>
      <c r="C957" t="str">
        <f>IF('Obra RR'!G50="","",'Obra RR'!I50)</f>
        <v/>
      </c>
      <c r="D957" t="str">
        <f>IF('Obra RR'!G50="","",'Obra RR'!L50)</f>
        <v/>
      </c>
      <c r="E957" t="str">
        <f>IF('Obra RR'!G50="","",'Obra RR'!M50)</f>
        <v/>
      </c>
      <c r="F957" t="str">
        <f>IF('Obra RR'!G50="","",'Obra RR'!N50)</f>
        <v/>
      </c>
    </row>
    <row r="958" spans="1:6">
      <c r="A958" t="str">
        <f>IF('Obra RR'!G51="","","Obra RR")</f>
        <v>Obra RR</v>
      </c>
      <c r="B958" t="str">
        <f>IF('Obra RR'!G51="","",'Obra RR'!G51)</f>
        <v>Apromax</v>
      </c>
      <c r="C958">
        <f>IF('Obra RR'!G51="","",'Obra RR'!I51)</f>
        <v>2681848.2000000002</v>
      </c>
      <c r="D958" t="str">
        <f>IF('Obra RR'!G51="","",'Obra RR'!L51)</f>
        <v>Pagado</v>
      </c>
      <c r="E958">
        <f>IF('Obra RR'!G51="","",'Obra RR'!M51)</f>
        <v>0</v>
      </c>
      <c r="F958" t="str">
        <f>IF('Obra RR'!G51="","",'Obra RR'!N51)</f>
        <v>Recibido en obra</v>
      </c>
    </row>
    <row r="959" spans="1:6">
      <c r="A959" t="str">
        <f>IF('Obra RR'!G52="","","Obra RR")</f>
        <v>Obra RR</v>
      </c>
      <c r="B959" t="str">
        <f>IF('Obra RR'!G52="","",'Obra RR'!G52)</f>
        <v>Enas</v>
      </c>
      <c r="C959">
        <f>IF('Obra RR'!G52="","",'Obra RR'!I52)</f>
        <v>802692.97</v>
      </c>
      <c r="D959" t="str">
        <f>IF('Obra RR'!G52="","",'Obra RR'!L52)</f>
        <v>Pagado</v>
      </c>
      <c r="E959">
        <f>IF('Obra RR'!G52="","",'Obra RR'!M52)</f>
        <v>0</v>
      </c>
      <c r="F959" t="str">
        <f>IF('Obra RR'!G52="","",'Obra RR'!N52)</f>
        <v>Recibido en obra</v>
      </c>
    </row>
    <row r="960" spans="1:6">
      <c r="A960" t="str">
        <f>IF('Obra RR'!G53="","","Obra RR")</f>
        <v>Obra RR</v>
      </c>
      <c r="B960" t="str">
        <f>IF('Obra RR'!G53="","",'Obra RR'!G53)</f>
        <v>Enas</v>
      </c>
      <c r="C960">
        <f>IF('Obra RR'!G53="","",'Obra RR'!I53)</f>
        <v>761178.33</v>
      </c>
      <c r="D960" t="str">
        <f>IF('Obra RR'!G53="","",'Obra RR'!L53)</f>
        <v>Pagado</v>
      </c>
      <c r="E960">
        <f>IF('Obra RR'!G53="","",'Obra RR'!M53)</f>
        <v>0</v>
      </c>
      <c r="F960" t="str">
        <f>IF('Obra RR'!G53="","",'Obra RR'!N53)</f>
        <v>Recibido en obra</v>
      </c>
    </row>
    <row r="961" spans="1:6">
      <c r="A961" t="str">
        <f>IF('Obra RR'!G54="","","Obra RR")</f>
        <v>Obra RR</v>
      </c>
      <c r="B961" t="str">
        <f>IF('Obra RR'!G54="","",'Obra RR'!G54)</f>
        <v>Flete Hugo Godoy</v>
      </c>
      <c r="C961">
        <f>IF('Obra RR'!G54="","",'Obra RR'!I54)</f>
        <v>185000</v>
      </c>
      <c r="D961" t="str">
        <f>IF('Obra RR'!G54="","",'Obra RR'!L54)</f>
        <v>Pagado</v>
      </c>
      <c r="E961">
        <f>IF('Obra RR'!G54="","",'Obra RR'!M54)</f>
        <v>0</v>
      </c>
      <c r="F961" t="str">
        <f>IF('Obra RR'!G54="","",'Obra RR'!N54)</f>
        <v>Recibido en obra</v>
      </c>
    </row>
    <row r="962" spans="1:6">
      <c r="A962" t="str">
        <f>IF('Obra RR'!G55="","","Obra RR")</f>
        <v>Obra RR</v>
      </c>
      <c r="B962" t="str">
        <f>IF('Obra RR'!G55="","",'Obra RR'!G55)</f>
        <v>Mendio</v>
      </c>
      <c r="C962">
        <f>IF('Obra RR'!G55="","",'Obra RR'!I55)</f>
        <v>2742735.17</v>
      </c>
      <c r="D962" t="str">
        <f>IF('Obra RR'!G55="","",'Obra RR'!L55)</f>
        <v>Pagado</v>
      </c>
      <c r="E962">
        <f>IF('Obra RR'!G55="","",'Obra RR'!M55)</f>
        <v>0</v>
      </c>
      <c r="F962" t="str">
        <f>IF('Obra RR'!G55="","",'Obra RR'!N55)</f>
        <v>Recibido en obra</v>
      </c>
    </row>
    <row r="963" spans="1:6">
      <c r="A963" t="str">
        <f>IF('Obra RR'!G56="","","Obra RR")</f>
        <v>Obra RR</v>
      </c>
      <c r="B963" t="str">
        <f>IF('Obra RR'!G56="","",'Obra RR'!G56)</f>
        <v>Apromax</v>
      </c>
      <c r="C963">
        <f>IF('Obra RR'!G56="","",'Obra RR'!I56)</f>
        <v>13033669.699999999</v>
      </c>
      <c r="D963" t="str">
        <f>IF('Obra RR'!G56="","",'Obra RR'!L56)</f>
        <v>Pagado</v>
      </c>
      <c r="E963">
        <f>IF('Obra RR'!G56="","",'Obra RR'!M56)</f>
        <v>0</v>
      </c>
      <c r="F963" t="str">
        <f>IF('Obra RR'!G56="","",'Obra RR'!N56)</f>
        <v>Recibido en obra</v>
      </c>
    </row>
    <row r="964" spans="1:6">
      <c r="A964" t="str">
        <f>IF('Obra RR'!G57="","","Obra RR")</f>
        <v/>
      </c>
      <c r="B964" t="str">
        <f>IF('Obra RR'!G57="","",'Obra RR'!G57)</f>
        <v/>
      </c>
      <c r="C964" t="str">
        <f>IF('Obra RR'!G57="","",'Obra RR'!I57)</f>
        <v/>
      </c>
      <c r="D964" t="str">
        <f>IF('Obra RR'!G57="","",'Obra RR'!L57)</f>
        <v/>
      </c>
      <c r="E964" t="str">
        <f>IF('Obra RR'!G57="","",'Obra RR'!M57)</f>
        <v/>
      </c>
      <c r="F964" t="str">
        <f>IF('Obra RR'!G57="","",'Obra RR'!N57)</f>
        <v/>
      </c>
    </row>
    <row r="965" spans="1:6">
      <c r="A965" t="str">
        <f>IF('Obra RR'!G58="","","Obra RR")</f>
        <v/>
      </c>
      <c r="B965" t="str">
        <f>IF('Obra RR'!G58="","",'Obra RR'!G58)</f>
        <v/>
      </c>
      <c r="C965" t="str">
        <f>IF('Obra RR'!G58="","",'Obra RR'!I58)</f>
        <v/>
      </c>
      <c r="D965" t="str">
        <f>IF('Obra RR'!G58="","",'Obra RR'!L58)</f>
        <v/>
      </c>
      <c r="E965" t="str">
        <f>IF('Obra RR'!G58="","",'Obra RR'!M58)</f>
        <v/>
      </c>
      <c r="F965" t="str">
        <f>IF('Obra RR'!G58="","",'Obra RR'!N58)</f>
        <v/>
      </c>
    </row>
    <row r="966" spans="1:6">
      <c r="A966" t="str">
        <f>IF('Obra RR'!G59="","","Obra RR")</f>
        <v/>
      </c>
      <c r="B966" t="str">
        <f>IF('Obra RR'!G59="","",'Obra RR'!G59)</f>
        <v/>
      </c>
      <c r="C966" t="str">
        <f>IF('Obra RR'!G59="","",'Obra RR'!I59)</f>
        <v/>
      </c>
      <c r="D966" t="str">
        <f>IF('Obra RR'!G59="","",'Obra RR'!L59)</f>
        <v/>
      </c>
      <c r="E966" t="str">
        <f>IF('Obra RR'!G59="","",'Obra RR'!M59)</f>
        <v/>
      </c>
      <c r="F966" t="str">
        <f>IF('Obra RR'!G59="","",'Obra RR'!N59)</f>
        <v/>
      </c>
    </row>
    <row r="967" spans="1:6">
      <c r="A967" t="str">
        <f>IF('Obra RR'!G60="","","Obra RR")</f>
        <v>Obra RR</v>
      </c>
      <c r="B967" t="str">
        <f>IF('Obra RR'!G60="","",'Obra RR'!G60)</f>
        <v>Enas</v>
      </c>
      <c r="C967">
        <f>IF('Obra RR'!G60="","",'Obra RR'!I60)</f>
        <v>1336445</v>
      </c>
      <c r="D967" t="str">
        <f>IF('Obra RR'!G60="","",'Obra RR'!L60)</f>
        <v>Pagado</v>
      </c>
      <c r="E967">
        <f>IF('Obra RR'!G60="","",'Obra RR'!M60)</f>
        <v>0</v>
      </c>
      <c r="F967" t="str">
        <f>IF('Obra RR'!G60="","",'Obra RR'!N60)</f>
        <v>Recibido en obra</v>
      </c>
    </row>
    <row r="968" spans="1:6">
      <c r="A968" t="str">
        <f>IF('Obra RR'!G61="","","Obra RR")</f>
        <v>Obra RR</v>
      </c>
      <c r="B968" t="str">
        <f>IF('Obra RR'!G61="","",'Obra RR'!G61)</f>
        <v>Enas</v>
      </c>
      <c r="C968">
        <f>IF('Obra RR'!G61="","",'Obra RR'!I61)</f>
        <v>813127.97</v>
      </c>
      <c r="D968" t="str">
        <f>IF('Obra RR'!G61="","",'Obra RR'!L61)</f>
        <v>Pagado</v>
      </c>
      <c r="E968">
        <f>IF('Obra RR'!G61="","",'Obra RR'!M61)</f>
        <v>0</v>
      </c>
      <c r="F968" t="str">
        <f>IF('Obra RR'!G61="","",'Obra RR'!N61)</f>
        <v>Recibido en obra</v>
      </c>
    </row>
    <row r="969" spans="1:6">
      <c r="A969" t="str">
        <f>IF('Obra RR'!G62="","","Obra RR")</f>
        <v>Obra RR</v>
      </c>
      <c r="B969" t="str">
        <f>IF('Obra RR'!G62="","",'Obra RR'!G62)</f>
        <v>Pilca</v>
      </c>
      <c r="C969">
        <f>IF('Obra RR'!G62="","",'Obra RR'!I62)</f>
        <v>4179591.98</v>
      </c>
      <c r="D969" t="str">
        <f>IF('Obra RR'!G62="","",'Obra RR'!L62)</f>
        <v>Pagado</v>
      </c>
      <c r="E969">
        <f>IF('Obra RR'!G62="","",'Obra RR'!M62)</f>
        <v>0</v>
      </c>
      <c r="F969" t="str">
        <f>IF('Obra RR'!G62="","",'Obra RR'!N62)</f>
        <v>Recibido en obra</v>
      </c>
    </row>
    <row r="970" spans="1:6">
      <c r="A970" t="str">
        <f>IF('Obra RR'!G63="","","Obra RR")</f>
        <v>Obra RR</v>
      </c>
      <c r="B970" t="str">
        <f>IF('Obra RR'!G63="","",'Obra RR'!G63)</f>
        <v>Pilca</v>
      </c>
      <c r="C970">
        <f>IF('Obra RR'!G63="","",'Obra RR'!I63)</f>
        <v>4084060.85</v>
      </c>
      <c r="D970" t="str">
        <f>IF('Obra RR'!G63="","",'Obra RR'!L63)</f>
        <v>Pagado</v>
      </c>
      <c r="E970">
        <f>IF('Obra RR'!G63="","",'Obra RR'!M63)</f>
        <v>0</v>
      </c>
      <c r="F970" t="str">
        <f>IF('Obra RR'!G63="","",'Obra RR'!N63)</f>
        <v>Recibido en obra</v>
      </c>
    </row>
    <row r="971" spans="1:6">
      <c r="A971" t="str">
        <f>IF('Obra RR'!G66="","","Obra RR")</f>
        <v/>
      </c>
      <c r="B971" t="str">
        <f>IF('Obra RR'!G66="","",'Obra RR'!G66)</f>
        <v/>
      </c>
      <c r="C971" t="str">
        <f>IF('Obra RR'!G66="","",'Obra RR'!I66)</f>
        <v/>
      </c>
      <c r="D971" t="str">
        <f>IF('Obra RR'!G66="","",'Obra RR'!L66)</f>
        <v/>
      </c>
      <c r="E971" t="str">
        <f>IF('Obra RR'!G66="","",'Obra RR'!M66)</f>
        <v/>
      </c>
      <c r="F971" t="str">
        <f>IF('Obra RR'!G66="","",'Obra RR'!N66)</f>
        <v/>
      </c>
    </row>
    <row r="972" spans="1:6">
      <c r="A972" t="str">
        <f>IF('Obra RR'!G67="","","Obra RR")</f>
        <v>Obra RR</v>
      </c>
      <c r="B972" t="str">
        <f>IF('Obra RR'!G67="","",'Obra RR'!G67)</f>
        <v>Serin</v>
      </c>
      <c r="C972">
        <f>IF('Obra RR'!G67="","",'Obra RR'!I67)</f>
        <v>1770534.65</v>
      </c>
      <c r="D972" t="str">
        <f>IF('Obra RR'!G67="","",'Obra RR'!L67)</f>
        <v>Pagado</v>
      </c>
      <c r="E972">
        <f>IF('Obra RR'!G67="","",'Obra RR'!M67)</f>
        <v>0</v>
      </c>
      <c r="F972" t="str">
        <f>IF('Obra RR'!G67="","",'Obra RR'!N67)</f>
        <v>Recibido en obra</v>
      </c>
    </row>
    <row r="973" spans="1:6">
      <c r="A973" t="str">
        <f>IF('Obra RR'!G68="","","Obra RR")</f>
        <v>Obra RR</v>
      </c>
      <c r="B973" t="str">
        <f>IF('Obra RR'!G68="","",'Obra RR'!G68)</f>
        <v>Serin</v>
      </c>
      <c r="C973">
        <f>IF('Obra RR'!G68="","",'Obra RR'!I68)</f>
        <v>2283844.5499999998</v>
      </c>
      <c r="D973" t="str">
        <f>IF('Obra RR'!G68="","",'Obra RR'!L68)</f>
        <v>Pagado</v>
      </c>
      <c r="E973">
        <f>IF('Obra RR'!G68="","",'Obra RR'!M68)</f>
        <v>0</v>
      </c>
      <c r="F973" t="str">
        <f>IF('Obra RR'!G68="","",'Obra RR'!N68)</f>
        <v>Recibido en obra</v>
      </c>
    </row>
    <row r="974" spans="1:6">
      <c r="A974" t="str">
        <f>IF('Obra RR'!G69="","","Obra RR")</f>
        <v>Obra RR</v>
      </c>
      <c r="B974" t="str">
        <f>IF('Obra RR'!G69="","",'Obra RR'!G69)</f>
        <v>Serin</v>
      </c>
      <c r="C974">
        <f>IF('Obra RR'!G69="","",'Obra RR'!I69)</f>
        <v>1348409.72</v>
      </c>
      <c r="D974" t="str">
        <f>IF('Obra RR'!G69="","",'Obra RR'!L69)</f>
        <v>Pagado</v>
      </c>
      <c r="E974">
        <f>IF('Obra RR'!G69="","",'Obra RR'!M69)</f>
        <v>0</v>
      </c>
      <c r="F974" t="str">
        <f>IF('Obra RR'!G69="","",'Obra RR'!N69)</f>
        <v>Recibido en obra</v>
      </c>
    </row>
    <row r="975" spans="1:6">
      <c r="A975" t="str">
        <f>IF('Obra RR'!G70="","","Obra RR")</f>
        <v/>
      </c>
      <c r="B975" t="str">
        <f>IF('Obra RR'!G70="","",'Obra RR'!G70)</f>
        <v/>
      </c>
      <c r="C975" t="str">
        <f>IF('Obra RR'!G70="","",'Obra RR'!I70)</f>
        <v/>
      </c>
      <c r="D975" t="str">
        <f>IF('Obra RR'!G70="","",'Obra RR'!L70)</f>
        <v/>
      </c>
      <c r="E975" t="str">
        <f>IF('Obra RR'!G70="","",'Obra RR'!M70)</f>
        <v/>
      </c>
      <c r="F975" t="str">
        <f>IF('Obra RR'!G70="","",'Obra RR'!N70)</f>
        <v/>
      </c>
    </row>
    <row r="976" spans="1:6">
      <c r="A976" t="str">
        <f>IF('Obra RR'!G71="","","Obra RR")</f>
        <v>Obra RR</v>
      </c>
      <c r="B976" t="str">
        <f>IF('Obra RR'!G71="","",'Obra RR'!G71)</f>
        <v>Enas</v>
      </c>
      <c r="C976">
        <f>IF('Obra RR'!G71="","",'Obra RR'!I71)</f>
        <v>777163.07</v>
      </c>
      <c r="D976" t="str">
        <f>IF('Obra RR'!G71="","",'Obra RR'!L71)</f>
        <v>Pagado</v>
      </c>
      <c r="E976">
        <f>IF('Obra RR'!G71="","",'Obra RR'!M71)</f>
        <v>0</v>
      </c>
      <c r="F976" t="str">
        <f>IF('Obra RR'!G71="","",'Obra RR'!N71)</f>
        <v>Recibido en obra</v>
      </c>
    </row>
    <row r="977" spans="1:6">
      <c r="A977" t="str">
        <f>IF('Obra RR'!G184="","","Obra RR")</f>
        <v/>
      </c>
      <c r="B977" t="str">
        <f>IF('Obra RR'!G184="","",'Obra RR'!G184)</f>
        <v/>
      </c>
      <c r="C977" t="str">
        <f>IF('Obra RR'!G184="","",'Obra RR'!I184)</f>
        <v/>
      </c>
      <c r="D977" t="str">
        <f>IF('Obra RR'!G184="","",'Obra RR'!L184)</f>
        <v/>
      </c>
      <c r="E977" t="str">
        <f>IF('Obra RR'!G184="","",'Obra RR'!M184)</f>
        <v/>
      </c>
      <c r="F977" t="str">
        <f>IF('Obra RR'!G184="","",'Obra RR'!N184)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51E2-BC68-4FD0-BFF1-30DDF787CFAC}">
  <dimension ref="B8:B17"/>
  <sheetViews>
    <sheetView workbookViewId="0">
      <selection activeCell="B13" sqref="B13"/>
    </sheetView>
  </sheetViews>
  <sheetFormatPr defaultColWidth="11.42578125" defaultRowHeight="14.45"/>
  <cols>
    <col min="2" max="2" width="17.28515625" customWidth="1"/>
    <col min="6" max="6" width="17" customWidth="1"/>
  </cols>
  <sheetData>
    <row r="8" spans="2:2">
      <c r="B8" s="7" t="s">
        <v>1320</v>
      </c>
    </row>
    <row r="9" spans="2:2">
      <c r="B9" t="s">
        <v>209</v>
      </c>
    </row>
    <row r="10" spans="2:2">
      <c r="B10" t="s">
        <v>732</v>
      </c>
    </row>
    <row r="11" spans="2:2">
      <c r="B11" t="s">
        <v>202</v>
      </c>
    </row>
    <row r="12" spans="2:2">
      <c r="B12" s="7" t="s">
        <v>1321</v>
      </c>
    </row>
    <row r="13" spans="2:2">
      <c r="B13" t="s">
        <v>353</v>
      </c>
    </row>
    <row r="14" spans="2:2">
      <c r="B14" t="s">
        <v>461</v>
      </c>
    </row>
    <row r="15" spans="2:2">
      <c r="B15" t="s">
        <v>305</v>
      </c>
    </row>
    <row r="16" spans="2:2">
      <c r="B16" t="s">
        <v>1322</v>
      </c>
    </row>
    <row r="17" spans="2:2">
      <c r="B17" t="s">
        <v>1323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7F8406-CFC8-427E-BD53-3D02BE1C4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Sole velez</dc:creator>
  <cp:keywords/>
  <dc:description/>
  <cp:lastModifiedBy>Diego Joaquin Panero</cp:lastModifiedBy>
  <cp:revision/>
  <dcterms:created xsi:type="dcterms:W3CDTF">2022-08-31T11:38:06Z</dcterms:created>
  <dcterms:modified xsi:type="dcterms:W3CDTF">2026-09-24T18:55:38Z</dcterms:modified>
  <cp:category/>
  <cp:contentStatus/>
</cp:coreProperties>
</file>