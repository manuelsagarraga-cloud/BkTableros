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35E7D7-BA9D-45B0-A3E2-C159673A3E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yectos" sheetId="1" r:id="rId1"/>
  </sheets>
  <definedNames>
    <definedName name="_xlnm._FilterDatabase" localSheetId="0" hidden="1">Proyectos!$A$1:$M$12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2" i="1"/>
  <c r="H10" i="1"/>
  <c r="G10" i="1"/>
  <c r="H7" i="1"/>
  <c r="G7" i="1"/>
  <c r="H6" i="1"/>
  <c r="H4" i="1"/>
  <c r="H3" i="1"/>
</calcChain>
</file>

<file path=xl/sharedStrings.xml><?xml version="1.0" encoding="utf-8"?>
<sst xmlns="http://schemas.openxmlformats.org/spreadsheetml/2006/main" count="202" uniqueCount="115">
  <si>
    <t>Proyecto</t>
  </si>
  <si>
    <t>Estado</t>
  </si>
  <si>
    <t>Ciclo de Vida</t>
  </si>
  <si>
    <t>Provincia</t>
  </si>
  <si>
    <t>Ciudad / Localidad</t>
  </si>
  <si>
    <t>Comitente</t>
  </si>
  <si>
    <t>m² Construidos cubierta</t>
  </si>
  <si>
    <t>m² Construidos semicubierta</t>
  </si>
  <si>
    <t>m² Terreno</t>
  </si>
  <si>
    <t>Ubicación / Dirección</t>
  </si>
  <si>
    <t>Contratista Principal</t>
  </si>
  <si>
    <t>Archivo XML</t>
  </si>
  <si>
    <t>Notas</t>
  </si>
  <si>
    <t>Viviendas Hermanos Rossi</t>
  </si>
  <si>
    <t>Activo</t>
  </si>
  <si>
    <t>Obra</t>
  </si>
  <si>
    <t>Córdoba</t>
  </si>
  <si>
    <t>Villa ciudad parque - Molvento</t>
  </si>
  <si>
    <t>Vivienda Hermanos Rossi.xml</t>
  </si>
  <si>
    <t>253 tareas / 27% avance</t>
  </si>
  <si>
    <t>Vivienda Julieta Santiago</t>
  </si>
  <si>
    <t>JULIETA SANTIAGO - IVAN PETRINI</t>
  </si>
  <si>
    <t>Vivienda Julieta Santiago.xml</t>
  </si>
  <si>
    <t>248 tareas / 41% avance</t>
  </si>
  <si>
    <t>Vivienda Esteban y Matías</t>
  </si>
  <si>
    <t>La Calera - Vistas de la Deseada</t>
  </si>
  <si>
    <t>Esteban y Matías</t>
  </si>
  <si>
    <t>Vivienda Esteban y Matias.xml</t>
  </si>
  <si>
    <t>232 tareas / 1% avance</t>
  </si>
  <si>
    <t>Vivienda Roberto Conde</t>
  </si>
  <si>
    <t>En pausa</t>
  </si>
  <si>
    <t>2-En Proyecto</t>
  </si>
  <si>
    <t>Molvento</t>
  </si>
  <si>
    <t>Vivienda RC.xml</t>
  </si>
  <si>
    <t>225 tareas / 7% avance</t>
  </si>
  <si>
    <t>Vivienda Lugón</t>
  </si>
  <si>
    <t>Mendiolaza - Q2</t>
  </si>
  <si>
    <t>RODRIGO LUGON</t>
  </si>
  <si>
    <t>Vivienda Lugon.xml</t>
  </si>
  <si>
    <t>179 tareas / 1% avance</t>
  </si>
  <si>
    <t>Vivienda Reboni</t>
  </si>
  <si>
    <t>Mendiolaza - El terrón</t>
  </si>
  <si>
    <t>Hernan Reboni</t>
  </si>
  <si>
    <t>Vivienda Reboni.xml</t>
  </si>
  <si>
    <t>178 tareas / 47% avance</t>
  </si>
  <si>
    <t>Vivienda Venturelli - Bernal</t>
  </si>
  <si>
    <t>Chubut</t>
  </si>
  <si>
    <t>Malagueño - Cañitas</t>
  </si>
  <si>
    <t>Venturelli-Bernal</t>
  </si>
  <si>
    <t>Vivienda Venturelli-Bernal.xml</t>
  </si>
  <si>
    <t>106 tareas / 8% avance</t>
  </si>
  <si>
    <t>La Vicenta</t>
  </si>
  <si>
    <t>Loteo - La Vicenta.xml</t>
  </si>
  <si>
    <t>49 tareas / 15% avance</t>
  </si>
  <si>
    <t>Vivienda AZ</t>
  </si>
  <si>
    <t>Agustin Zampol</t>
  </si>
  <si>
    <t>Vivienda AZ.xml</t>
  </si>
  <si>
    <t>32 tareas / 0% avance</t>
  </si>
  <si>
    <t>Losa Mogetta</t>
  </si>
  <si>
    <t>Losa Mogetta.xml</t>
  </si>
  <si>
    <t>19 tareas / 87% avance</t>
  </si>
  <si>
    <t>Vivienda Lew-Subías</t>
  </si>
  <si>
    <t>Rodolfo Subias y Melisa Lew</t>
  </si>
  <si>
    <t>Vivienda Lew-Subias.xml</t>
  </si>
  <si>
    <t>5 tareas / 24% avance</t>
  </si>
  <si>
    <t>Casa en Blanco</t>
  </si>
  <si>
    <t>Finalizado</t>
  </si>
  <si>
    <t>Casa en Blanco.xml</t>
  </si>
  <si>
    <t>Local Comercial MB</t>
  </si>
  <si>
    <t>Local Comercial MB.xml</t>
  </si>
  <si>
    <t>Losa Herrera</t>
  </si>
  <si>
    <t>Losa Herrera.xml</t>
  </si>
  <si>
    <t>Oficinas Pagos 360</t>
  </si>
  <si>
    <t>Oficinas Pagos 360.xml</t>
  </si>
  <si>
    <t>Quincho Andrea-Bonetto</t>
  </si>
  <si>
    <t>Qincho Andrea-Bonetto.xml</t>
  </si>
  <si>
    <t>Vivienda Giaveno - Remodelación</t>
  </si>
  <si>
    <t>Vivienda Giaveno - Remodelación.xml</t>
  </si>
  <si>
    <t>Vivienda Jardin Ingles</t>
  </si>
  <si>
    <t>Vivienda Jardin Ingles.xml</t>
  </si>
  <si>
    <t>Vivienda La Deseada Fernando Arzola</t>
  </si>
  <si>
    <t>Vivienda La Deseada Fernando Arzola.xml</t>
  </si>
  <si>
    <t>Vivienda Lomas de la Carolina</t>
  </si>
  <si>
    <t>Vivienda Lomas de la Carolina.xml</t>
  </si>
  <si>
    <t>Vivienda Pasquali</t>
  </si>
  <si>
    <t>Vivienda Pasquali.xml</t>
  </si>
  <si>
    <t>Vivienda Potrerillo Fernando Arzola</t>
  </si>
  <si>
    <t>Vivienda Potrerillo Fernando Arzola.xml</t>
  </si>
  <si>
    <t>Vivienda Vergara</t>
  </si>
  <si>
    <t>Vivienda Vergara.xml</t>
  </si>
  <si>
    <t>Vivivenda Villanueva - Casa 01</t>
  </si>
  <si>
    <t>Vivienda Villanueva - Casa 01.xml</t>
  </si>
  <si>
    <t>Vivivenda Villanueva - Casa 02</t>
  </si>
  <si>
    <t>Vivienda Villanueva - Casa 02.xml</t>
  </si>
  <si>
    <t>Vivienda ODDO</t>
  </si>
  <si>
    <t>Viviendas ODDO.xml</t>
  </si>
  <si>
    <t>Fernando Arzola</t>
  </si>
  <si>
    <t>Cancelada</t>
  </si>
  <si>
    <t>Córdoba Capital</t>
  </si>
  <si>
    <t>La Calera - La Deseada</t>
  </si>
  <si>
    <t>Alta gracia</t>
  </si>
  <si>
    <t>Villa Allende</t>
  </si>
  <si>
    <t>Villa del Dique</t>
  </si>
  <si>
    <t>Edificor</t>
  </si>
  <si>
    <t>Maria Bacur</t>
  </si>
  <si>
    <t>Blussand-Tosco</t>
  </si>
  <si>
    <t>Pagos 360</t>
  </si>
  <si>
    <t>Andrea Bonetto</t>
  </si>
  <si>
    <t>Gabriel Giaveno</t>
  </si>
  <si>
    <t>Celeste carballido</t>
  </si>
  <si>
    <t xml:space="preserve">Ignacio </t>
  </si>
  <si>
    <t>Sergio Pasquali</t>
  </si>
  <si>
    <t>Lisandro Vergara</t>
  </si>
  <si>
    <t>Guillermo Villanueva</t>
  </si>
  <si>
    <t>Martin Oddo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</si>
</sst>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9E0101"/>
        <bgColor rgb="FF9E0101"/>
      </patternFill>
    </fill>
    <fill>
      <patternFill patternType="solid">
        <fgColor rgb="FFF9F9F9"/>
        <bgColor rgb="FFF9F9F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right"/>
    </xf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0" fontId="2" fillId="0" borderId="2" xfId="0" applyFont="1" applyBorder="1"/>
    <xf numFmtId="0" fontId="2" fillId="3" borderId="2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pane ySplit="1" topLeftCell="A5" activePane="bottomLeft" state="frozen"/>
      <selection pane="bottomLeft" activeCell="F28" sqref="F28"/>
    </sheetView>
  </sheetViews>
  <sheetFormatPr baseColWidth="10" defaultColWidth="8.88671875" defaultRowHeight="14.4" x14ac:dyDescent="0.3"/>
  <cols>
    <col min="1" max="1" width="35" customWidth="1"/>
    <col min="2" max="2" width="14" customWidth="1"/>
    <col min="3" max="3" width="16" customWidth="1"/>
    <col min="4" max="4" width="14" customWidth="1"/>
    <col min="5" max="5" width="38.109375" customWidth="1"/>
    <col min="6" max="6" width="35" customWidth="1"/>
    <col min="7" max="7" width="21.88671875" customWidth="1"/>
    <col min="8" max="8" width="25.33203125" customWidth="1"/>
    <col min="9" max="9" width="13.88671875" customWidth="1"/>
    <col min="10" max="10" width="30" customWidth="1"/>
    <col min="11" max="11" width="22" customWidth="1"/>
    <col min="12" max="12" width="30" customWidth="1"/>
    <col min="13" max="13" width="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4" t="s">
        <v>17</v>
      </c>
      <c r="F2" s="2"/>
      <c r="G2" s="3">
        <v>404.69</v>
      </c>
      <c r="H2" s="3">
        <v>41.66</v>
      </c>
      <c r="I2" s="3">
        <v>1056.3900000000001</v>
      </c>
      <c r="J2" s="4"/>
      <c r="K2" s="2"/>
      <c r="L2" s="2" t="s">
        <v>18</v>
      </c>
      <c r="M2" s="2" t="s">
        <v>19</v>
      </c>
    </row>
    <row r="3" spans="1:13" x14ac:dyDescent="0.3">
      <c r="A3" s="4" t="s">
        <v>20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21</v>
      </c>
      <c r="G3" s="5">
        <v>533.79999999999995</v>
      </c>
      <c r="H3" s="5">
        <f>65.36</f>
        <v>65.36</v>
      </c>
      <c r="I3" s="5">
        <v>4601</v>
      </c>
      <c r="K3" s="4"/>
      <c r="L3" s="4" t="s">
        <v>22</v>
      </c>
      <c r="M3" s="4" t="s">
        <v>23</v>
      </c>
    </row>
    <row r="4" spans="1:13" x14ac:dyDescent="0.3">
      <c r="A4" s="2" t="s">
        <v>24</v>
      </c>
      <c r="B4" s="2" t="s">
        <v>14</v>
      </c>
      <c r="C4" s="2" t="s">
        <v>15</v>
      </c>
      <c r="D4" s="2" t="s">
        <v>16</v>
      </c>
      <c r="E4" s="2" t="s">
        <v>25</v>
      </c>
      <c r="F4" s="2" t="s">
        <v>26</v>
      </c>
      <c r="G4" s="3">
        <v>319.20999999999998</v>
      </c>
      <c r="H4" s="3">
        <f>53.23+56.23</f>
        <v>109.46</v>
      </c>
      <c r="I4" s="3">
        <v>1382.23</v>
      </c>
      <c r="J4" s="2"/>
      <c r="K4" s="2"/>
      <c r="L4" s="2" t="s">
        <v>27</v>
      </c>
      <c r="M4" s="2" t="s">
        <v>28</v>
      </c>
    </row>
    <row r="5" spans="1:13" x14ac:dyDescent="0.3">
      <c r="A5" s="4" t="s">
        <v>29</v>
      </c>
      <c r="B5" s="4" t="s">
        <v>30</v>
      </c>
      <c r="C5" s="4" t="s">
        <v>31</v>
      </c>
      <c r="D5" s="4" t="s">
        <v>16</v>
      </c>
      <c r="E5" s="4" t="s">
        <v>32</v>
      </c>
      <c r="F5" s="4"/>
      <c r="G5" s="5"/>
      <c r="H5" s="5"/>
      <c r="I5" s="5"/>
      <c r="J5" s="4"/>
      <c r="K5" s="4"/>
      <c r="L5" s="4" t="s">
        <v>33</v>
      </c>
      <c r="M5" s="4" t="s">
        <v>34</v>
      </c>
    </row>
    <row r="6" spans="1:13" x14ac:dyDescent="0.3">
      <c r="A6" s="2" t="s">
        <v>35</v>
      </c>
      <c r="B6" s="2" t="s">
        <v>14</v>
      </c>
      <c r="C6" s="2" t="s">
        <v>15</v>
      </c>
      <c r="D6" s="2" t="s">
        <v>16</v>
      </c>
      <c r="E6" s="2" t="s">
        <v>36</v>
      </c>
      <c r="F6" s="2" t="s">
        <v>37</v>
      </c>
      <c r="G6" s="3">
        <v>727.55</v>
      </c>
      <c r="H6" s="3">
        <f>10.35+43.3</f>
        <v>53.65</v>
      </c>
      <c r="I6" s="3">
        <v>2039</v>
      </c>
      <c r="J6" s="2"/>
      <c r="K6" s="2"/>
      <c r="L6" s="2" t="s">
        <v>38</v>
      </c>
      <c r="M6" s="2" t="s">
        <v>39</v>
      </c>
    </row>
    <row r="7" spans="1:13" x14ac:dyDescent="0.3">
      <c r="A7" s="4" t="s">
        <v>40</v>
      </c>
      <c r="B7" s="4" t="s">
        <v>14</v>
      </c>
      <c r="C7" s="4" t="s">
        <v>15</v>
      </c>
      <c r="D7" s="4" t="s">
        <v>16</v>
      </c>
      <c r="E7" s="2" t="s">
        <v>41</v>
      </c>
      <c r="F7" s="4" t="s">
        <v>42</v>
      </c>
      <c r="G7" s="5">
        <f>367+279</f>
        <v>646</v>
      </c>
      <c r="H7" s="5">
        <f>88+7</f>
        <v>95</v>
      </c>
      <c r="I7" s="5">
        <v>1739.16</v>
      </c>
      <c r="J7" s="4"/>
      <c r="K7" s="4"/>
      <c r="L7" s="4" t="s">
        <v>43</v>
      </c>
      <c r="M7" s="4" t="s">
        <v>44</v>
      </c>
    </row>
    <row r="8" spans="1:13" x14ac:dyDescent="0.3">
      <c r="A8" s="2" t="s">
        <v>45</v>
      </c>
      <c r="B8" s="2" t="s">
        <v>14</v>
      </c>
      <c r="C8" s="2" t="s">
        <v>15</v>
      </c>
      <c r="D8" s="2" t="s">
        <v>46</v>
      </c>
      <c r="E8" s="2" t="s">
        <v>47</v>
      </c>
      <c r="F8" s="2" t="s">
        <v>48</v>
      </c>
      <c r="G8" s="3">
        <v>292</v>
      </c>
      <c r="H8" s="3"/>
      <c r="I8" s="3"/>
      <c r="J8" s="2"/>
      <c r="K8" s="2"/>
      <c r="L8" s="2" t="s">
        <v>49</v>
      </c>
      <c r="M8" s="2" t="s">
        <v>50</v>
      </c>
    </row>
    <row r="9" spans="1:13" x14ac:dyDescent="0.3">
      <c r="A9" s="4" t="s">
        <v>51</v>
      </c>
      <c r="B9" s="4" t="s">
        <v>30</v>
      </c>
      <c r="C9" s="4" t="s">
        <v>0</v>
      </c>
      <c r="D9" s="4" t="s">
        <v>16</v>
      </c>
      <c r="E9" s="4"/>
      <c r="F9" s="4"/>
      <c r="G9" s="5"/>
      <c r="H9" s="5"/>
      <c r="I9" s="5"/>
      <c r="J9" s="4"/>
      <c r="K9" s="4"/>
      <c r="L9" s="4" t="s">
        <v>52</v>
      </c>
      <c r="M9" s="4" t="s">
        <v>53</v>
      </c>
    </row>
    <row r="10" spans="1:13" x14ac:dyDescent="0.3">
      <c r="A10" s="2" t="s">
        <v>54</v>
      </c>
      <c r="B10" s="2" t="s">
        <v>14</v>
      </c>
      <c r="C10" s="2" t="s">
        <v>0</v>
      </c>
      <c r="D10" s="2" t="s">
        <v>16</v>
      </c>
      <c r="E10" s="2" t="s">
        <v>25</v>
      </c>
      <c r="F10" s="2" t="s">
        <v>55</v>
      </c>
      <c r="G10" s="3">
        <f>241+185</f>
        <v>426</v>
      </c>
      <c r="H10" s="3">
        <f>18.7+45</f>
        <v>63.7</v>
      </c>
      <c r="I10" s="3">
        <v>1153.8699999999999</v>
      </c>
      <c r="J10" s="2"/>
      <c r="K10" s="2"/>
      <c r="L10" s="2" t="s">
        <v>56</v>
      </c>
      <c r="M10" s="2" t="s">
        <v>57</v>
      </c>
    </row>
    <row r="11" spans="1:13" x14ac:dyDescent="0.3">
      <c r="A11" s="4" t="s">
        <v>58</v>
      </c>
      <c r="B11" s="4" t="s">
        <v>14</v>
      </c>
      <c r="C11" s="4" t="s">
        <v>15</v>
      </c>
      <c r="D11" s="4" t="s">
        <v>16</v>
      </c>
      <c r="E11" s="4" t="s">
        <v>101</v>
      </c>
      <c r="F11" s="4" t="s">
        <v>58</v>
      </c>
      <c r="G11" s="5"/>
      <c r="H11" s="5"/>
      <c r="I11" s="5"/>
      <c r="J11" s="4"/>
      <c r="K11" s="4"/>
      <c r="L11" s="4" t="s">
        <v>59</v>
      </c>
      <c r="M11" s="4" t="s">
        <v>60</v>
      </c>
    </row>
    <row r="12" spans="1:13" x14ac:dyDescent="0.3">
      <c r="A12" s="2" t="s">
        <v>61</v>
      </c>
      <c r="B12" s="2" t="s">
        <v>14</v>
      </c>
      <c r="C12" s="2" t="s">
        <v>15</v>
      </c>
      <c r="D12" s="2" t="s">
        <v>16</v>
      </c>
      <c r="E12" s="2" t="s">
        <v>41</v>
      </c>
      <c r="F12" s="2" t="s">
        <v>62</v>
      </c>
      <c r="G12" s="3">
        <f>238+78+98</f>
        <v>414</v>
      </c>
      <c r="H12" s="3">
        <f>71+31</f>
        <v>102</v>
      </c>
      <c r="I12" s="3">
        <v>1368</v>
      </c>
      <c r="J12" s="2"/>
      <c r="K12" s="2"/>
      <c r="L12" s="2" t="s">
        <v>63</v>
      </c>
      <c r="M12" s="2" t="s">
        <v>64</v>
      </c>
    </row>
    <row r="13" spans="1:13" x14ac:dyDescent="0.3">
      <c r="A13" s="6" t="s">
        <v>65</v>
      </c>
      <c r="B13" s="6" t="s">
        <v>66</v>
      </c>
      <c r="C13" s="6" t="s">
        <v>66</v>
      </c>
      <c r="D13" s="2" t="s">
        <v>16</v>
      </c>
      <c r="E13" s="8" t="s">
        <v>98</v>
      </c>
      <c r="F13" s="8" t="s">
        <v>103</v>
      </c>
      <c r="L13" t="s">
        <v>67</v>
      </c>
    </row>
    <row r="14" spans="1:13" x14ac:dyDescent="0.3">
      <c r="A14" s="7" t="s">
        <v>68</v>
      </c>
      <c r="B14" s="6" t="s">
        <v>66</v>
      </c>
      <c r="C14" s="6" t="s">
        <v>66</v>
      </c>
      <c r="D14" s="2" t="s">
        <v>16</v>
      </c>
      <c r="E14" s="8" t="s">
        <v>98</v>
      </c>
      <c r="F14" s="7" t="s">
        <v>104</v>
      </c>
      <c r="L14" t="s">
        <v>69</v>
      </c>
    </row>
    <row r="15" spans="1:13" x14ac:dyDescent="0.3">
      <c r="A15" s="6" t="s">
        <v>70</v>
      </c>
      <c r="B15" s="6" t="s">
        <v>66</v>
      </c>
      <c r="C15" s="6" t="s">
        <v>66</v>
      </c>
      <c r="D15" s="2" t="s">
        <v>16</v>
      </c>
      <c r="E15" s="2" t="s">
        <v>41</v>
      </c>
      <c r="F15" s="8" t="s">
        <v>105</v>
      </c>
      <c r="L15" t="s">
        <v>71</v>
      </c>
    </row>
    <row r="16" spans="1:13" x14ac:dyDescent="0.3">
      <c r="A16" s="7" t="s">
        <v>72</v>
      </c>
      <c r="B16" s="6" t="s">
        <v>66</v>
      </c>
      <c r="C16" s="6" t="s">
        <v>66</v>
      </c>
      <c r="D16" s="2" t="s">
        <v>16</v>
      </c>
      <c r="E16" s="8" t="s">
        <v>98</v>
      </c>
      <c r="F16" s="7" t="s">
        <v>106</v>
      </c>
      <c r="L16" t="s">
        <v>73</v>
      </c>
    </row>
    <row r="17" spans="1:12" x14ac:dyDescent="0.3">
      <c r="A17" s="6" t="s">
        <v>74</v>
      </c>
      <c r="B17" s="6" t="s">
        <v>66</v>
      </c>
      <c r="C17" s="6" t="s">
        <v>66</v>
      </c>
      <c r="D17" s="2" t="s">
        <v>16</v>
      </c>
      <c r="E17" s="8" t="s">
        <v>98</v>
      </c>
      <c r="F17" s="8" t="s">
        <v>107</v>
      </c>
      <c r="L17" t="s">
        <v>75</v>
      </c>
    </row>
    <row r="18" spans="1:12" x14ac:dyDescent="0.3">
      <c r="A18" s="7" t="s">
        <v>76</v>
      </c>
      <c r="B18" s="6" t="s">
        <v>66</v>
      </c>
      <c r="C18" s="6" t="s">
        <v>66</v>
      </c>
      <c r="D18" s="2" t="s">
        <v>16</v>
      </c>
      <c r="E18" s="8" t="s">
        <v>98</v>
      </c>
      <c r="F18" s="7" t="s">
        <v>108</v>
      </c>
      <c r="L18" t="s">
        <v>77</v>
      </c>
    </row>
    <row r="19" spans="1:12" x14ac:dyDescent="0.3">
      <c r="A19" s="6" t="s">
        <v>78</v>
      </c>
      <c r="B19" s="6" t="s">
        <v>66</v>
      </c>
      <c r="C19" s="6" t="s">
        <v>66</v>
      </c>
      <c r="D19" s="2" t="s">
        <v>16</v>
      </c>
      <c r="E19" s="8" t="s">
        <v>98</v>
      </c>
      <c r="F19" s="8" t="s">
        <v>109</v>
      </c>
      <c r="L19" t="s">
        <v>79</v>
      </c>
    </row>
    <row r="20" spans="1:12" x14ac:dyDescent="0.3">
      <c r="A20" s="7" t="s">
        <v>80</v>
      </c>
      <c r="B20" s="6" t="s">
        <v>97</v>
      </c>
      <c r="C20" s="6" t="s">
        <v>66</v>
      </c>
      <c r="D20" s="2" t="s">
        <v>16</v>
      </c>
      <c r="E20" s="2" t="s">
        <v>99</v>
      </c>
      <c r="F20" t="s">
        <v>96</v>
      </c>
      <c r="L20" t="s">
        <v>81</v>
      </c>
    </row>
    <row r="21" spans="1:12" x14ac:dyDescent="0.3">
      <c r="A21" s="6" t="s">
        <v>82</v>
      </c>
      <c r="B21" s="6" t="s">
        <v>97</v>
      </c>
      <c r="C21" s="6" t="s">
        <v>66</v>
      </c>
      <c r="D21" s="2" t="s">
        <v>16</v>
      </c>
      <c r="E21" s="8" t="s">
        <v>98</v>
      </c>
      <c r="F21" s="8" t="s">
        <v>110</v>
      </c>
      <c r="L21" t="s">
        <v>83</v>
      </c>
    </row>
    <row r="22" spans="1:12" x14ac:dyDescent="0.3">
      <c r="A22" s="7" t="s">
        <v>84</v>
      </c>
      <c r="B22" s="6" t="s">
        <v>66</v>
      </c>
      <c r="C22" s="6" t="s">
        <v>66</v>
      </c>
      <c r="D22" s="2" t="s">
        <v>16</v>
      </c>
      <c r="E22" s="8" t="s">
        <v>32</v>
      </c>
      <c r="F22" s="9" t="s">
        <v>111</v>
      </c>
      <c r="L22" t="s">
        <v>85</v>
      </c>
    </row>
    <row r="23" spans="1:12" x14ac:dyDescent="0.3">
      <c r="A23" s="6" t="s">
        <v>86</v>
      </c>
      <c r="B23" s="6" t="s">
        <v>97</v>
      </c>
      <c r="C23" s="6" t="s">
        <v>66</v>
      </c>
      <c r="D23" s="2" t="s">
        <v>16</v>
      </c>
      <c r="E23" s="8" t="s">
        <v>100</v>
      </c>
      <c r="F23" t="s">
        <v>96</v>
      </c>
      <c r="L23" t="s">
        <v>87</v>
      </c>
    </row>
    <row r="24" spans="1:12" x14ac:dyDescent="0.3">
      <c r="A24" s="7" t="s">
        <v>88</v>
      </c>
      <c r="B24" s="6" t="s">
        <v>66</v>
      </c>
      <c r="C24" s="6" t="s">
        <v>66</v>
      </c>
      <c r="D24" s="2" t="s">
        <v>16</v>
      </c>
      <c r="E24" s="2" t="s">
        <v>41</v>
      </c>
      <c r="F24" s="9" t="s">
        <v>112</v>
      </c>
      <c r="L24" t="s">
        <v>89</v>
      </c>
    </row>
    <row r="25" spans="1:12" x14ac:dyDescent="0.3">
      <c r="A25" s="6" t="s">
        <v>90</v>
      </c>
      <c r="B25" s="6" t="s">
        <v>97</v>
      </c>
      <c r="C25" s="6" t="s">
        <v>66</v>
      </c>
      <c r="D25" s="2" t="s">
        <v>16</v>
      </c>
      <c r="E25" s="8" t="s">
        <v>102</v>
      </c>
      <c r="F25" s="9" t="s">
        <v>113</v>
      </c>
      <c r="L25" t="s">
        <v>91</v>
      </c>
    </row>
    <row r="26" spans="1:12" x14ac:dyDescent="0.3">
      <c r="A26" s="6" t="s">
        <v>92</v>
      </c>
      <c r="B26" s="6" t="s">
        <v>97</v>
      </c>
      <c r="C26" s="6" t="s">
        <v>66</v>
      </c>
      <c r="D26" s="2" t="s">
        <v>16</v>
      </c>
      <c r="E26" s="8" t="s">
        <v>102</v>
      </c>
      <c r="F26" s="9" t="s">
        <v>113</v>
      </c>
      <c r="L26" t="s">
        <v>93</v>
      </c>
    </row>
    <row r="27" spans="1:12" x14ac:dyDescent="0.3">
      <c r="A27" s="7" t="s">
        <v>94</v>
      </c>
      <c r="B27" s="6" t="s">
        <v>66</v>
      </c>
      <c r="C27" s="6" t="s">
        <v>66</v>
      </c>
      <c r="D27" s="2" t="s">
        <v>16</v>
      </c>
      <c r="E27" s="2" t="s">
        <v>41</v>
      </c>
      <c r="F27" s="9" t="s">
        <v>114</v>
      </c>
      <c r="L27" t="s">
        <v>95</v>
      </c>
    </row>
  </sheetData>
  <autoFilter ref="A1:M1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S</cp:lastModifiedBy>
  <dcterms:created xsi:type="dcterms:W3CDTF">2026-09-23T17:26:38Z</dcterms:created>
  <dcterms:modified xsi:type="dcterms:W3CDTF">2026-09-30T17:10:32Z</dcterms:modified>
</cp:coreProperties>
</file>